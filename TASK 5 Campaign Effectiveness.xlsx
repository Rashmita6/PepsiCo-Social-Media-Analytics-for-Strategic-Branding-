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romia\Downloads\"/>
    </mc:Choice>
  </mc:AlternateContent>
  <xr:revisionPtr revIDLastSave="0" documentId="13_ncr:1_{C12A3975-118F-45E1-B418-CFD2D651D5FC}" xr6:coauthVersionLast="47" xr6:coauthVersionMax="47" xr10:uidLastSave="{00000000-0000-0000-0000-000000000000}"/>
  <bookViews>
    <workbookView xWindow="-110" yWindow="-110" windowWidth="19420" windowHeight="10300" firstSheet="4" activeTab="5" xr2:uid="{00000000-000D-0000-FFFF-FFFF00000000}"/>
  </bookViews>
  <sheets>
    <sheet name="PIVOT TABLE" sheetId="4" r:id="rId1"/>
    <sheet name="Posts (2)" sheetId="5" r:id="rId2"/>
    <sheet name="post" sheetId="7" r:id="rId3"/>
    <sheet name="Engagement Summary" sheetId="2" r:id="rId4"/>
    <sheet name="Campaign MetaData" sheetId="3" r:id="rId5"/>
    <sheet name="Campaign Result" sheetId="6" r:id="rId6"/>
  </sheets>
  <externalReferences>
    <externalReference r:id="rId7"/>
    <externalReference r:id="rId8"/>
  </externalReferences>
  <definedNames>
    <definedName name="_xlnm._FilterDatabase" localSheetId="4" hidden="1">'Campaign MetaData'!$E$1:$E$1000</definedName>
    <definedName name="_xlcn.WorksheetConnection_PostsAN1" hidden="1">[2]Posts!$A:$N</definedName>
    <definedName name="_xlcn.WorksheetConnection_TASK5CampaignEffectiveness.xlsxPosts1" hidden="1">Posts[]</definedName>
    <definedName name="ExternalData_1" localSheetId="1" hidden="1">'Posts (2)'!$A$1:$N$1039</definedName>
  </definedNames>
  <calcPr calcId="191029"/>
  <pivotCaches>
    <pivotCache cacheId="49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osts!$A:$N"/>
          <x15:modelTable id="Posts" name="Posts" connection="WorksheetConnection_TASK 5 Campaign Effectiveness.xlsx!Pos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bhSlxfWvTgv8XKEk2OsP6o8jWik31LnAbkDVGdJdyIg="/>
    </ext>
  </extLst>
</workbook>
</file>

<file path=xl/calcChain.xml><?xml version="1.0" encoding="utf-8"?>
<calcChain xmlns="http://schemas.openxmlformats.org/spreadsheetml/2006/main">
  <c r="F17" i="6" l="1"/>
  <c r="G17" i="6" s="1"/>
  <c r="F19" i="6"/>
  <c r="G19" i="6" s="1"/>
  <c r="F18" i="6"/>
  <c r="G18" i="6" s="1"/>
  <c r="F16" i="6"/>
  <c r="G16" i="6" s="1"/>
  <c r="F3" i="6"/>
  <c r="F4" i="6"/>
  <c r="F5" i="6"/>
  <c r="F2" i="6"/>
  <c r="G3" i="6"/>
  <c r="G4" i="6"/>
  <c r="H17" i="6" l="1"/>
  <c r="H19" i="6"/>
  <c r="H18" i="6"/>
  <c r="H16" i="6"/>
  <c r="L301" i="7" l="1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G2" i="6" s="1"/>
  <c r="I2" i="6" s="1"/>
  <c r="L11" i="7"/>
  <c r="L10" i="7"/>
  <c r="L9" i="7"/>
  <c r="L8" i="7"/>
  <c r="L7" i="7"/>
  <c r="L6" i="7"/>
  <c r="L5" i="7"/>
  <c r="L4" i="7"/>
  <c r="L3" i="7"/>
  <c r="L2" i="7"/>
  <c r="D5" i="6"/>
  <c r="E5" i="6" s="1"/>
  <c r="D2" i="6"/>
  <c r="E2" i="6" s="1"/>
  <c r="D4" i="6"/>
  <c r="D3" i="6"/>
  <c r="H2" i="6" l="1"/>
  <c r="J2" i="6" s="1"/>
  <c r="E4" i="6"/>
  <c r="I4" i="6"/>
  <c r="E3" i="6"/>
  <c r="I3" i="6"/>
  <c r="H5" i="6"/>
  <c r="H4" i="6"/>
  <c r="G5" i="6"/>
  <c r="I5" i="6" s="1"/>
  <c r="J5" i="6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J4" i="6" l="1"/>
  <c r="H3" i="6"/>
  <c r="J3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F44E04-D85D-4809-90D9-01579D89F273}" keepAlive="1" name="Query - Posts" description="Connection to the 'Posts' query in the workbook." type="5" refreshedVersion="7" background="1" saveData="1">
    <dbPr connection="Provider=Microsoft.Mashup.OleDb.1;Data Source=$Workbook$;Location=Posts;Extended Properties=&quot;&quot;" command="SELECT * FROM [Posts]"/>
  </connection>
  <connection id="2" xr16:uid="{76948205-591D-47EE-86E0-4617AE3ED9F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D771A4F-98E7-4769-91AA-0583AAF0BB4F}" name="WorksheetConnection_Posts!$A:$N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ostsAN1"/>
        </x15:connection>
      </ext>
    </extLst>
  </connection>
  <connection id="4" xr16:uid="{5DF852CA-7120-494D-B786-7E9189A73749}" name="WorksheetConnection_TASK 5 Campaign Effectiveness.xlsx!Posts" type="102" refreshedVersion="7" minRefreshableVersion="5">
    <extLst>
      <ext xmlns:x15="http://schemas.microsoft.com/office/spreadsheetml/2010/11/main" uri="{DE250136-89BD-433C-8126-D09CA5730AF9}">
        <x15:connection id="Posts">
          <x15:rangePr sourceName="_xlcn.WorksheetConnection_TASK5CampaignEffectiveness.xlsxPosts1"/>
        </x15:connection>
      </ext>
    </extLst>
  </connection>
</connections>
</file>

<file path=xl/sharedStrings.xml><?xml version="1.0" encoding="utf-8"?>
<sst xmlns="http://schemas.openxmlformats.org/spreadsheetml/2006/main" count="4273" uniqueCount="460">
  <si>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</si>
  <si>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</si>
  <si>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</si>
  <si>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</si>
  <si>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</si>
  <si>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</si>
  <si>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</si>
  <si>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</si>
  <si>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</si>
  <si>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</si>
  <si>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</si>
  <si>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</si>
  <si>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</si>
  <si>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</si>
  <si>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</si>
  <si>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</si>
  <si>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</si>
  <si>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</si>
  <si>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SummerSplash</t>
  </si>
  <si>
    <t>P002</t>
  </si>
  <si>
    <t>Text</t>
  </si>
  <si>
    <t>Check out our latest text on twitter!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</si>
  <si>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</si>
  <si>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</si>
  <si>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</si>
  <si>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</si>
  <si>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</si>
  <si>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</si>
  <si>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</si>
  <si>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</si>
  <si>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</si>
  <si>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</si>
  <si>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</si>
  <si>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</si>
  <si>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</si>
  <si>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</si>
  <si>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</si>
  <si>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</si>
  <si>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</si>
  <si>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</si>
  <si>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</si>
  <si>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</si>
  <si>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</si>
  <si>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</si>
  <si>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</si>
  <si>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</si>
  <si>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</si>
  <si>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</si>
  <si>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</si>
  <si>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</si>
  <si>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</si>
  <si>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</si>
  <si>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</si>
  <si>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#LiveForNow</t>
  </si>
  <si>
    <t>P012</t>
  </si>
  <si>
    <t>Check out our latest reel on facebook!</t>
  </si>
  <si>
    <t>P013</t>
  </si>
  <si>
    <t>2024-11-18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</si>
  <si>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</si>
  <si>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</si>
  <si>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</si>
  <si>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</si>
  <si>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</si>
  <si>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</si>
  <si>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</si>
  <si>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</si>
  <si>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</si>
  <si>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</si>
  <si>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</si>
  <si>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</si>
  <si>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</si>
  <si>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</si>
  <si>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Check out our latest video on instagram!</t>
  </si>
  <si>
    <t>P020</t>
  </si>
  <si>
    <t>2024-09-09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</si>
  <si>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</si>
  <si>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</si>
  <si>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</si>
  <si>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</si>
  <si>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</si>
  <si>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</si>
  <si>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</si>
  <si>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</si>
  <si>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</si>
  <si>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</si>
  <si>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</si>
  <si>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</si>
  <si>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</si>
  <si>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2024-12-16</t>
  </si>
  <si>
    <t>Check out our latest text on instagram!</t>
  </si>
  <si>
    <t>P032</t>
  </si>
  <si>
    <t>P033</t>
  </si>
  <si>
    <t>P034</t>
  </si>
  <si>
    <t>P035</t>
  </si>
  <si>
    <t>P036</t>
  </si>
  <si>
    <t>P037</t>
  </si>
  <si>
    <t>2025-01-06</t>
  </si>
  <si>
    <t>P038</t>
  </si>
  <si>
    <t>2025-02-17</t>
  </si>
  <si>
    <t>P039</t>
  </si>
  <si>
    <t>2024-11-25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</si>
  <si>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</si>
  <si>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</si>
  <si>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</si>
  <si>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</si>
  <si>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</si>
  <si>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</si>
  <si>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</si>
  <si>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</si>
  <si>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</si>
  <si>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</si>
  <si>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</si>
  <si>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</si>
  <si>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</si>
  <si>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</si>
  <si>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</si>
  <si>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</si>
  <si>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Check out our latest story on youtube!</t>
  </si>
  <si>
    <t>P051</t>
  </si>
  <si>
    <t>P052</t>
  </si>
  <si>
    <t>P053</t>
  </si>
  <si>
    <t>P054</t>
  </si>
  <si>
    <t>P055</t>
  </si>
  <si>
    <t>2024-06-17</t>
  </si>
  <si>
    <t>P056</t>
  </si>
  <si>
    <t>P057</t>
  </si>
  <si>
    <t>2024-10-21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</si>
  <si>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</si>
  <si>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</si>
  <si>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</si>
  <si>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</si>
  <si>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</si>
  <si>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</si>
  <si>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</si>
  <si>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</si>
  <si>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</si>
  <si>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</si>
  <si>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</si>
  <si>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</si>
  <si>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</si>
  <si>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</si>
  <si>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2024-09-02</t>
  </si>
  <si>
    <t>P072</t>
  </si>
  <si>
    <t>2025-03-03</t>
  </si>
  <si>
    <t>P073</t>
  </si>
  <si>
    <t>P074</t>
  </si>
  <si>
    <t>2024-10-28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</si>
  <si>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</si>
  <si>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</si>
  <si>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</si>
  <si>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</si>
  <si>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</si>
  <si>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</si>
  <si>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</si>
  <si>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</si>
  <si>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</si>
  <si>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</si>
  <si>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</si>
  <si>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</si>
  <si>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</si>
  <si>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</si>
  <si>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</si>
  <si>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</si>
  <si>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</si>
  <si>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P088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</si>
  <si>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</si>
  <si>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</si>
  <si>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</si>
  <si>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</si>
  <si>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</si>
  <si>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</si>
  <si>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</si>
  <si>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</si>
  <si>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</si>
  <si>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</si>
  <si>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</si>
  <si>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</si>
  <si>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</si>
  <si>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</si>
  <si>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</si>
  <si>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2025-02-10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</si>
  <si>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</si>
  <si>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</si>
  <si>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</si>
  <si>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</si>
  <si>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</si>
  <si>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</si>
  <si>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</si>
  <si>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</si>
  <si>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</si>
  <si>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</si>
  <si>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2024-07-29</t>
  </si>
  <si>
    <t>P111</t>
  </si>
  <si>
    <t>P112</t>
  </si>
  <si>
    <t>P113</t>
  </si>
  <si>
    <t>P114</t>
  </si>
  <si>
    <t>P115</t>
  </si>
  <si>
    <t>P116</t>
  </si>
  <si>
    <t>P117</t>
  </si>
  <si>
    <t>2024-11-04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</si>
  <si>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</si>
  <si>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</si>
  <si>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</si>
  <si>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</si>
  <si>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</si>
  <si>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</si>
  <si>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</si>
  <si>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</si>
  <si>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</si>
  <si>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</si>
  <si>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</si>
  <si>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</si>
  <si>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</si>
  <si>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</si>
  <si>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</si>
  <si>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</si>
  <si>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</si>
  <si>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</si>
  <si>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</si>
  <si>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</si>
  <si>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</si>
  <si>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</si>
  <si>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</si>
  <si>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2024-07-15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</si>
  <si>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</si>
  <si>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</si>
  <si>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</si>
  <si>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</si>
  <si>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</si>
  <si>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</si>
  <si>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</si>
  <si>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</si>
  <si>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</si>
  <si>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</si>
  <si>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</si>
  <si>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</si>
  <si>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</si>
  <si>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</si>
  <si>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</si>
  <si>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</si>
  <si>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</si>
  <si>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</si>
  <si>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</si>
  <si>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</si>
  <si>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</si>
  <si>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</si>
  <si>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</si>
  <si>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</si>
  <si>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</si>
  <si>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</si>
  <si>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</si>
  <si>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</si>
  <si>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</si>
  <si>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</si>
  <si>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2025-04-28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</si>
  <si>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</si>
  <si>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</si>
  <si>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</si>
  <si>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</si>
  <si>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</si>
  <si>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</si>
  <si>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</si>
  <si>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</si>
  <si>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</si>
  <si>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</si>
  <si>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</si>
  <si>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</si>
  <si>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</si>
  <si>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</si>
  <si>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</si>
  <si>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</si>
  <si>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</si>
  <si>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</si>
  <si>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</si>
  <si>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</si>
  <si>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</si>
  <si>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</si>
  <si>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</si>
  <si>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</si>
  <si>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</si>
  <si>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</si>
  <si>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</si>
  <si>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</si>
  <si>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</si>
  <si>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</si>
  <si>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2025-04-07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</si>
  <si>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</si>
  <si>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</si>
  <si>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</si>
  <si>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</si>
  <si>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</si>
  <si>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</si>
  <si>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</si>
  <si>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</si>
  <si>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</si>
  <si>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</si>
  <si>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</si>
  <si>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</si>
  <si>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</si>
  <si>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</si>
  <si>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</si>
  <si>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</si>
  <si>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</si>
  <si>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</si>
  <si>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</si>
  <si>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</si>
  <si>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</si>
  <si>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</si>
  <si>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</si>
  <si>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</si>
  <si>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</si>
  <si>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</si>
  <si>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</si>
  <si>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</si>
  <si>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2024-07-01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</si>
  <si>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</si>
  <si>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</si>
  <si>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</si>
  <si>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</si>
  <si>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</si>
  <si>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</si>
  <si>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</si>
  <si>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</si>
  <si>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</si>
  <si>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</si>
  <si>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</si>
  <si>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</si>
  <si>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</si>
  <si>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</si>
  <si>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</si>
  <si>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</si>
  <si>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</si>
  <si>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</si>
  <si>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</si>
  <si>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</si>
  <si>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</si>
  <si>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</si>
  <si>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</si>
  <si>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</si>
  <si>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</si>
  <si>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</si>
  <si>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</si>
  <si>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</si>
  <si>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</si>
  <si>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</si>
  <si>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2024-08-05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</si>
  <si>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</si>
  <si>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</si>
  <si>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</si>
  <si>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</si>
  <si>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</si>
  <si>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</si>
  <si>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</si>
  <si>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</si>
  <si>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</si>
  <si>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</si>
  <si>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</si>
  <si>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</si>
  <si>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</si>
  <si>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</si>
  <si>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</si>
  <si>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</si>
  <si>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</si>
  <si>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</si>
  <si>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</si>
  <si>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</si>
  <si>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</si>
  <si>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</si>
  <si>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</si>
  <si>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</si>
  <si>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</si>
  <si>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</si>
  <si>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</si>
  <si>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</si>
  <si>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</si>
  <si>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</si>
  <si>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</si>
  <si>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</si>
  <si>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</si>
  <si>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</si>
  <si>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</si>
  <si>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</si>
  <si>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</si>
  <si>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</si>
  <si>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</si>
  <si>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</si>
  <si>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</si>
  <si>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</si>
  <si>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</si>
  <si>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</si>
  <si>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</si>
  <si>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</si>
  <si>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</si>
  <si>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</si>
  <si>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</si>
  <si>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</si>
  <si>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</si>
  <si>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</si>
  <si>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</si>
  <si>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</si>
  <si>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</si>
  <si>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</si>
  <si>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</si>
  <si>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</si>
  <si>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</si>
  <si>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</si>
  <si>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</si>
  <si>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</si>
  <si>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</si>
  <si>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</si>
  <si>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</si>
  <si>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</si>
  <si>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</si>
  <si>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</si>
  <si>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</si>
  <si>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</si>
  <si>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</si>
  <si>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</si>
  <si>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</si>
  <si>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Brand Awareness</t>
  </si>
  <si>
    <t>Instagram,Facebook</t>
  </si>
  <si>
    <t>2024-10-01</t>
  </si>
  <si>
    <t>Engagement</t>
  </si>
  <si>
    <t>Instagram,YouTube</t>
  </si>
  <si>
    <t>2024-12-25</t>
  </si>
  <si>
    <t>Product Launch</t>
  </si>
  <si>
    <t>Facebook,Twitter</t>
  </si>
  <si>
    <t>#SmoothLikeNitroPepsi</t>
  </si>
  <si>
    <t>2025-03-01</t>
  </si>
  <si>
    <t>Traffic</t>
  </si>
  <si>
    <t>Instagram,Twitter</t>
  </si>
  <si>
    <t>#AnytimeIsPepsiTime</t>
  </si>
  <si>
    <t>#BetterWithPepsi</t>
  </si>
  <si>
    <t>Net followers</t>
  </si>
  <si>
    <t>Engagament</t>
  </si>
  <si>
    <t>Row Labels</t>
  </si>
  <si>
    <t>(blank)</t>
  </si>
  <si>
    <t>Grand Total</t>
  </si>
  <si>
    <t>Sum of Clicks</t>
  </si>
  <si>
    <t>Sum of Impressions</t>
  </si>
  <si>
    <t>Sum of Likes</t>
  </si>
  <si>
    <t>Average of Impressions</t>
  </si>
  <si>
    <t>Average of Likes</t>
  </si>
  <si>
    <t>Average of Clicks</t>
  </si>
  <si>
    <t>Total and average impressions, likes, and clicks per campaign</t>
  </si>
  <si>
    <t>Primary_Hashtags 2</t>
  </si>
  <si>
    <t>Campaign_Period</t>
  </si>
  <si>
    <t>Pre_Campaign</t>
  </si>
  <si>
    <t>Engagement During</t>
  </si>
  <si>
    <t>Engagement Before</t>
  </si>
  <si>
    <t>Daily Engagement During</t>
  </si>
  <si>
    <t>Daily Engagement Before</t>
  </si>
  <si>
    <t>Engagement Uplift %</t>
  </si>
  <si>
    <t>Engagement </t>
  </si>
  <si>
    <t>Hashtags 1</t>
  </si>
  <si>
    <t>Hashtags 2</t>
  </si>
  <si>
    <t>Hashtags 3</t>
  </si>
  <si>
    <t>Total_Engagement</t>
  </si>
  <si>
    <t>ROI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</si>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</sst>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14009]yyyy/mm/dd;@"/>
    <numFmt numFmtId="171" formatCode="0.0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22"/>
      <color theme="1"/>
      <name val="Arial Black"/>
      <family val="2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4" fillId="0" borderId="0" xfId="0" applyFont="1"/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2" xfId="0" applyFont="1" applyFill="1" applyBorder="1" applyAlignment="1">
      <alignment horizontal="center" vertical="top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5" fillId="2" borderId="0" xfId="0" applyFont="1" applyFill="1" applyAlignment="1"/>
    <xf numFmtId="0" fontId="0" fillId="2" borderId="0" xfId="0" applyFont="1" applyFill="1" applyAlignment="1"/>
    <xf numFmtId="0" fontId="5" fillId="3" borderId="0" xfId="0" applyFont="1" applyFill="1" applyAlignment="1"/>
    <xf numFmtId="0" fontId="0" fillId="3" borderId="0" xfId="0" applyFont="1" applyFill="1" applyAlignment="1"/>
    <xf numFmtId="14" fontId="0" fillId="0" borderId="0" xfId="0" applyNumberFormat="1" applyFont="1" applyAlignment="1"/>
    <xf numFmtId="164" fontId="2" fillId="0" borderId="1" xfId="0" applyNumberFormat="1" applyFont="1" applyBorder="1" applyAlignment="1">
      <alignment horizontal="center" vertical="top" wrapText="1"/>
    </xf>
    <xf numFmtId="164" fontId="4" fillId="0" borderId="0" xfId="0" applyNumberFormat="1" applyFont="1"/>
    <xf numFmtId="164" fontId="0" fillId="0" borderId="0" xfId="0" applyNumberFormat="1" applyFont="1" applyAlignment="1"/>
    <xf numFmtId="14" fontId="4" fillId="0" borderId="1" xfId="0" applyNumberFormat="1" applyFont="1" applyBorder="1"/>
    <xf numFmtId="0" fontId="2" fillId="0" borderId="3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 wrapText="1"/>
    </xf>
    <xf numFmtId="1" fontId="2" fillId="0" borderId="3" xfId="1" applyNumberFormat="1" applyFont="1" applyBorder="1" applyAlignment="1">
      <alignment horizontal="center" vertical="top"/>
    </xf>
    <xf numFmtId="1" fontId="2" fillId="0" borderId="3" xfId="1" applyNumberFormat="1" applyFont="1" applyBorder="1" applyAlignment="1">
      <alignment horizontal="center" vertical="top" wrapText="1"/>
    </xf>
    <xf numFmtId="0" fontId="7" fillId="0" borderId="0" xfId="0" applyFont="1"/>
    <xf numFmtId="0" fontId="2" fillId="0" borderId="3" xfId="0" applyFont="1" applyBorder="1" applyAlignment="1">
      <alignment horizontal="center" vertical="top" wrapText="1"/>
    </xf>
    <xf numFmtId="0" fontId="1" fillId="0" borderId="0" xfId="1"/>
    <xf numFmtId="0" fontId="1" fillId="0" borderId="0" xfId="1" applyAlignment="1">
      <alignment horizontal="center"/>
    </xf>
    <xf numFmtId="165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0" fontId="4" fillId="0" borderId="0" xfId="1" applyFont="1" applyAlignment="1">
      <alignment wrapText="1"/>
    </xf>
    <xf numFmtId="0" fontId="8" fillId="0" borderId="0" xfId="1" applyFont="1"/>
    <xf numFmtId="0" fontId="1" fillId="0" borderId="0" xfId="1" applyAlignment="1">
      <alignment wrapText="1"/>
    </xf>
    <xf numFmtId="2" fontId="4" fillId="0" borderId="1" xfId="0" applyNumberFormat="1" applyFont="1" applyBorder="1"/>
    <xf numFmtId="0" fontId="2" fillId="0" borderId="5" xfId="0" applyFont="1" applyBorder="1" applyAlignment="1">
      <alignment horizontal="center" vertical="top" wrapText="1"/>
    </xf>
    <xf numFmtId="0" fontId="0" fillId="0" borderId="6" xfId="0" applyFont="1" applyBorder="1" applyAlignment="1"/>
    <xf numFmtId="0" fontId="6" fillId="0" borderId="4" xfId="0" applyFont="1" applyBorder="1" applyAlignment="1"/>
    <xf numFmtId="171" fontId="6" fillId="0" borderId="4" xfId="0" applyNumberFormat="1" applyFont="1" applyBorder="1" applyAlignment="1"/>
    <xf numFmtId="1" fontId="6" fillId="0" borderId="4" xfId="0" applyNumberFormat="1" applyFont="1" applyBorder="1" applyAlignment="1"/>
    <xf numFmtId="164" fontId="4" fillId="0" borderId="5" xfId="0" applyNumberFormat="1" applyFont="1" applyBorder="1" applyAlignment="1">
      <alignment wrapText="1"/>
    </xf>
  </cellXfs>
  <cellStyles count="2">
    <cellStyle name="Normal" xfId="0" builtinId="0"/>
    <cellStyle name="Normal 2" xfId="1" xr:uid="{6784A5F9-700D-494B-94F6-3931C1671138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20</xdr:row>
      <xdr:rowOff>165100</xdr:rowOff>
    </xdr:from>
    <xdr:to>
      <xdr:col>8</xdr:col>
      <xdr:colOff>209550</xdr:colOff>
      <xdr:row>30</xdr:row>
      <xdr:rowOff>25400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E5F10F5-25AD-4362-8AEC-7778AB4646AF}"/>
            </a:ext>
          </a:extLst>
        </xdr:cNvPr>
        <xdr:cNvSpPr/>
      </xdr:nvSpPr>
      <xdr:spPr>
        <a:xfrm>
          <a:off x="3022600" y="3721100"/>
          <a:ext cx="7258050" cy="1638300"/>
        </a:xfrm>
        <a:prstGeom prst="rect">
          <a:avLst/>
        </a:prstGeom>
        <a:solidFill>
          <a:schemeClr val="accent6">
            <a:lumMod val="60000"/>
            <a:lumOff val="4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en-IN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RESULT </a:t>
          </a:r>
          <a:endParaRPr lang="en-IN" sz="1400" b="1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en-IN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Based on the Total_Engagement i summed per campaign and dividing by each campaign’s Total_Budget, the campaign with the highest ROI (engagement per unit budget) is  NewYearRefresh (Rank 1), followed by FestiveRadiance (Rank 2),</a:t>
          </a:r>
          <a:r>
            <a:rPr lang="en-IN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SummerSplash  (Rank 3), and DailyWellness (Rank 4).</a:t>
          </a:r>
          <a:endParaRPr lang="en-IN" sz="1400" b="1">
            <a:solidFill>
              <a:schemeClr val="tx1"/>
            </a:solidFill>
            <a:effectLst/>
          </a:endParaRPr>
        </a:p>
        <a:p>
          <a:r>
            <a:rPr lang="en-IN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NewYearRefresh achieved the highest engagement ROI, indicating it’s the most cost-efficient campaign.</a:t>
          </a:r>
          <a:endParaRPr lang="en-IN" sz="1400" b="1">
            <a:solidFill>
              <a:schemeClr val="tx1"/>
            </a:solidFill>
            <a:effectLst/>
          </a:endParaRPr>
        </a:p>
        <a:p>
          <a:pPr algn="l"/>
          <a:endParaRPr lang="en-IN" sz="1400" b="1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sk5_Campaign%20Effectivenes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s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sts"/>
      <sheetName val="Pivot Table"/>
      <sheetName val="Campaign Metadata"/>
      <sheetName val="Engagement Summary"/>
      <sheetName val="Campaign Results"/>
      <sheetName val="Video Explana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Posts (2)"/>
      <sheetName val="post"/>
      <sheetName val="Engagement Summary"/>
      <sheetName val="Campaign MetaData"/>
      <sheetName val="Sheet4"/>
      <sheetName val="Campaign Result"/>
      <sheetName val="Posts"/>
    </sheetNames>
    <sheetDataSet>
      <sheetData sheetId="0"/>
      <sheetData sheetId="1">
        <row r="1">
          <cell r="C1" t="str">
            <v>Date</v>
          </cell>
        </row>
      </sheetData>
      <sheetData sheetId="2">
        <row r="1">
          <cell r="C1" t="str">
            <v>Date</v>
          </cell>
        </row>
      </sheetData>
      <sheetData sheetId="3">
        <row r="1">
          <cell r="C1" t="str">
            <v>New_Followers</v>
          </cell>
        </row>
      </sheetData>
      <sheetData sheetId="4"/>
      <sheetData sheetId="5"/>
      <sheetData sheetId="6"/>
      <sheetData sheetId="7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mita Pradhan" refreshedDate="46042.592584259262" backgroundQuery="1" createdVersion="7" refreshedVersion="7" minRefreshableVersion="3" recordCount="0" supportSubquery="1" supportAdvancedDrill="1" xr:uid="{7BF451A4-75C1-4B9F-B922-DBD679940662}">
  <cacheSource type="external" connectionId="2"/>
  <cacheFields count="7">
    <cacheField name="[Range].[Campaign_Name].[Campaign_Name]" caption="Campaign_Name" numFmtId="0" hierarchy="27" level="1">
      <sharedItems containsBlank="1" count="5">
        <m/>
        <s v="DailyWellness"/>
        <s v="FestiveRadiance"/>
        <s v="NewYearRefresh"/>
        <s v="SummerSplash"/>
      </sharedItems>
    </cacheField>
    <cacheField name="[Measures].[Sum of Clicks]" caption="Sum of Clicks" numFmtId="0" hierarchy="31" level="32767"/>
    <cacheField name="[Measures].[Sum of Likes]" caption="Sum of Likes" numFmtId="0" hierarchy="33" level="32767"/>
    <cacheField name="[Measures].[Sum of Impressions]" caption="Sum of Impressions" numFmtId="0" hierarchy="32" level="32767"/>
    <cacheField name="[Measures].[Average of Likes]" caption="Average of Likes" numFmtId="0" hierarchy="35" level="32767"/>
    <cacheField name="[Measures].[Average of Clicks]" caption="Average of Clicks" numFmtId="0" hierarchy="36" level="32767"/>
    <cacheField name="[Measures].[Average of Impressions]" caption="Average of Impressions" numFmtId="0" hierarchy="34" level="32767"/>
  </cacheFields>
  <cacheHierarchies count="37">
    <cacheHierarchy uniqueName="[Posts].[Post ID]" caption="Post ID" attribute="1" defaultMemberUniqueName="[Posts].[Post ID].[All]" allUniqueName="[Posts].[Post ID].[All]" dimensionUniqueName="[Posts]" displayFolder="" count="0" memberValueDatatype="130" unbalanced="0"/>
    <cacheHierarchy uniqueName="[Posts].[Platform]" caption="Platform" attribute="1" defaultMemberUniqueName="[Posts].[Platform].[All]" allUniqueName="[Posts].[Platform].[All]" dimensionUniqueName="[Posts]" displayFolder="" count="0" memberValueDatatype="130" unbalanced="0"/>
    <cacheHierarchy uniqueName="[Posts].[Date]" caption="Date" attribute="1" time="1" defaultMemberUniqueName="[Posts].[Date].[All]" allUniqueName="[Posts].[Date].[All]" dimensionUniqueName="[Posts]" displayFolder="" count="0" memberValueDatatype="7" unbalanced="0"/>
    <cacheHierarchy uniqueName="[Posts].[Content Type]" caption="Content Type" attribute="1" defaultMemberUniqueName="[Posts].[Content Type].[All]" allUniqueName="[Posts].[Content Type].[All]" dimensionUniqueName="[Posts]" displayFolder="" count="0" memberValueDatatype="130" unbalanced="0"/>
    <cacheHierarchy uniqueName="[Posts].[Post Text]" caption="Post Text" attribute="1" defaultMemberUniqueName="[Posts].[Post Text].[All]" allUniqueName="[Posts].[Post Text].[All]" dimensionUniqueName="[Posts]" displayFolder="" count="0" memberValueDatatype="130" unbalanced="0"/>
    <cacheHierarchy uniqueName="[Posts].[Likes]" caption="Likes" attribute="1" defaultMemberUniqueName="[Posts].[Likes].[All]" allUniqueName="[Posts].[Likes].[All]" dimensionUniqueName="[Posts]" displayFolder="" count="0" memberValueDatatype="20" unbalanced="0"/>
    <cacheHierarchy uniqueName="[Posts].[Shares]" caption="Shares" attribute="1" defaultMemberUniqueName="[Posts].[Shares].[All]" allUniqueName="[Posts].[Shares].[All]" dimensionUniqueName="[Posts]" displayFolder="" count="0" memberValueDatatype="20" unbalanced="0"/>
    <cacheHierarchy uniqueName="[Posts].[Comments]" caption="Comments" attribute="1" defaultMemberUniqueName="[Posts].[Comments].[All]" allUniqueName="[Posts].[Comments].[All]" dimensionUniqueName="[Posts]" displayFolder="" count="0" memberValueDatatype="20" unbalanced="0"/>
    <cacheHierarchy uniqueName="[Posts].[Impressions]" caption="Impressions" attribute="1" defaultMemberUniqueName="[Posts].[Impressions].[All]" allUniqueName="[Posts].[Impressions].[All]" dimensionUniqueName="[Posts]" displayFolder="" count="0" memberValueDatatype="20" unbalanced="0"/>
    <cacheHierarchy uniqueName="[Posts].[Reach]" caption="Reach" attribute="1" defaultMemberUniqueName="[Posts].[Reach].[All]" allUniqueName="[Posts].[Reach].[All]" dimensionUniqueName="[Posts]" displayFolder="" count="0" memberValueDatatype="20" unbalanced="0"/>
    <cacheHierarchy uniqueName="[Posts].[Engagament]" caption="Engagament" attribute="1" defaultMemberUniqueName="[Posts].[Engagament].[All]" allUniqueName="[Posts].[Engagament].[All]" dimensionUniqueName="[Posts]" displayFolder="" count="0" memberValueDatatype="20" unbalanced="0"/>
    <cacheHierarchy uniqueName="[Posts].[Clicks]" caption="Clicks" attribute="1" defaultMemberUniqueName="[Posts].[Clicks].[All]" allUniqueName="[Posts].[Clicks].[All]" dimensionUniqueName="[Posts]" displayFolder="" count="0" memberValueDatatype="20" unbalanced="0"/>
    <cacheHierarchy uniqueName="[Posts].[Hashtags Used]" caption="Hashtags Used" attribute="1" defaultMemberUniqueName="[Posts].[Hashtags Used].[All]" allUniqueName="[Posts].[Hashtags Used].[All]" dimensionUniqueName="[Posts]" displayFolder="" count="0" memberValueDatatype="130" unbalanced="0"/>
    <cacheHierarchy uniqueName="[Posts].[Campaign_Name]" caption="Campaign_Name" attribute="1" defaultMemberUniqueName="[Posts].[Campaign_Name].[All]" allUniqueName="[Posts].[Campaign_Name].[All]" dimensionUniqueName="[Posts]" displayFolder="" count="0" memberValueDatatype="130" unbalanced="0"/>
    <cacheHierarchy uniqueName="[Range].[Post ID]" caption="Post ID" attribute="1" defaultMemberUniqueName="[Range].[Post ID].[All]" allUniqueName="[Range].[Post ID].[All]" dimensionUniqueName="[Range]" displayFolder="" count="0" memberValueDatatype="130" unbalanced="0"/>
    <cacheHierarchy uniqueName="[Range].[Platform]" caption="Platform" attribute="1" defaultMemberUniqueName="[Range].[Platform].[All]" allUniqueName="[Range].[Platform].[All]" dimensionUniqueName="[Range]" displayFolder="" count="0" memberValueDatatype="130" unbalanced="0"/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Content Type]" caption="Content Type" attribute="1" defaultMemberUniqueName="[Range].[Content Type].[All]" allUniqueName="[Range].[Content Type].[All]" dimensionUniqueName="[Range]" displayFolder="" count="0" memberValueDatatype="130" unbalanced="0"/>
    <cacheHierarchy uniqueName="[Range].[Post Text]" caption="Post Text" attribute="1" defaultMemberUniqueName="[Range].[Post Text].[All]" allUniqueName="[Range].[Post Text].[All]" dimensionUniqueName="[Range]" displayFolder="" count="0" memberValueDatatype="130" unbalanced="0"/>
    <cacheHierarchy uniqueName="[Range].[Likes]" caption="Likes" attribute="1" defaultMemberUniqueName="[Range].[Likes].[All]" allUniqueName="[Range].[Likes].[All]" dimensionUniqueName="[Range]" displayFolder="" count="0" memberValueDatatype="20" unbalanced="0"/>
    <cacheHierarchy uniqueName="[Range].[Shares]" caption="Shares" attribute="1" defaultMemberUniqueName="[Range].[Shares].[All]" allUniqueName="[Range].[Shares].[All]" dimensionUniqueName="[Range]" displayFolder="" count="0" memberValueDatatype="20" unbalanced="0"/>
    <cacheHierarchy uniqueName="[Range].[Comments]" caption="Comments" attribute="1" defaultMemberUniqueName="[Range].[Comments].[All]" allUniqueName="[Range].[Comments].[All]" dimensionUniqueName="[Range]" displayFolder="" count="0" memberValueDatatype="2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Reach]" caption="Reach" attribute="1" defaultMemberUniqueName="[Range].[Reach].[All]" allUniqueName="[Range].[Reach].[All]" dimensionUniqueName="[Range]" displayFolder="" count="0" memberValueDatatype="20" unbalanced="0"/>
    <cacheHierarchy uniqueName="[Range].[Engagament]" caption="Engagament" attribute="1" defaultMemberUniqueName="[Range].[Engagament].[All]" allUniqueName="[Range].[Engagament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Hashtags Used]" caption="Hashtags Used" attribute="1" defaultMemberUniqueName="[Range].[Hashtags Used].[All]" allUniqueName="[Range].[Hashtags Used].[All]" dimensionUniqueName="[Range]" displayFolder="" count="0" memberValueDatatype="130" unbalanced="0"/>
    <cacheHierarchy uniqueName="[Range].[Campaign_Name]" caption="Campaign_Name" attribute="1" defaultMemberUniqueName="[Range].[Campaign_Name].[All]" allUniqueName="[Range].[Campaign_Name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Posts]" caption="__XL_Count Posts" measure="1" displayFolder="" measureGroup="Posts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Impressions]" caption="Sum of Impression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ikes]" caption="Sum of Lik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Impressions]" caption="Average of Impressions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Likes]" caption="Average of Likes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licks]" caption="Average of Clicks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Posts" uniqueName="[Posts]" caption="Posts"/>
    <dimension name="Range" uniqueName="[Range]" caption="Range"/>
  </dimensions>
  <measureGroups count="2">
    <measureGroup name="Posts" caption="Posts"/>
    <measureGroup name="Range" caption="Range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9987A-5C83-4C72-9100-24CA2A4EE7B5}" name="PivotTable1" cacheId="4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4:G10" firstHeaderRow="0" firstDataRow="1" firstDataCol="1"/>
  <pivotFields count="7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3" baseField="0" baseItem="0"/>
    <dataField name="Average of Impressions" fld="6" subtotal="average" baseField="0" baseItem="0"/>
    <dataField name="Sum of Clicks" fld="1" baseField="0" baseItem="0"/>
    <dataField name="Average of Clicks" fld="5" subtotal="average" baseField="0" baseItem="0"/>
    <dataField name="Sum of Likes" fld="2" baseField="0" baseItem="0"/>
    <dataField name="Average of Likes" fld="4" subtotal="average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Clicks"/>
    <pivotHierarchy dragToData="1" caption="Sum of Impressions"/>
    <pivotHierarchy dragToData="1" caption="Sum of Likes"/>
    <pivotHierarchy dragToData="1" caption="Average of Impressions"/>
    <pivotHierarchy dragToData="1" caption="Average of Likes"/>
    <pivotHierarchy dragToData="1" caption="Average of Clicks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sts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2B882E-4342-4749-993D-4B5B7124B28E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Engagament" tableColumnId="11"/>
      <queryTableField id="12" name="Clicks" tableColumnId="12"/>
      <queryTableField id="13" name="Hashtags Used" tableColumnId="13"/>
      <queryTableField id="14" name="Campaign_Nam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8DD5B-BA14-4874-A590-61F71A693A41}" name="Posts" displayName="Posts" ref="A1:N1039" tableType="queryTable" totalsRowShown="0">
  <autoFilter ref="A1:N1039" xr:uid="{D3F8DD5B-BA14-4874-A590-61F71A693A41}"/>
  <tableColumns count="14">
    <tableColumn id="1" xr3:uid="{5CD57C9B-DAE2-4672-9F39-249002C8658A}" uniqueName="1" name="Post ID" queryTableFieldId="1" dataDxfId="6"/>
    <tableColumn id="2" xr3:uid="{AC81E08B-92C2-4B3A-8F03-2F92AFCB6C14}" uniqueName="2" name="Platform" queryTableFieldId="2" dataDxfId="5"/>
    <tableColumn id="3" xr3:uid="{03AC23BE-2FF3-4633-8498-F93D927AF2DE}" uniqueName="3" name="Date" queryTableFieldId="3" dataDxfId="4"/>
    <tableColumn id="4" xr3:uid="{96D2E0BA-4663-4AE2-9A75-7A2210559236}" uniqueName="4" name="Content Type" queryTableFieldId="4" dataDxfId="3"/>
    <tableColumn id="5" xr3:uid="{E14D6987-DB56-41D3-84A0-061C17FB00EC}" uniqueName="5" name="Post Text" queryTableFieldId="5" dataDxfId="2"/>
    <tableColumn id="6" xr3:uid="{2767EE48-C477-4138-8F47-B197DFC5E5ED}" uniqueName="6" name="Likes" queryTableFieldId="6"/>
    <tableColumn id="7" xr3:uid="{4C9C2332-ABE7-4422-B1F5-98A1BA84D504}" uniqueName="7" name="Shares" queryTableFieldId="7"/>
    <tableColumn id="8" xr3:uid="{C1AC638B-DCDB-46B4-BE02-7EFD1AF4E2D6}" uniqueName="8" name="Comments" queryTableFieldId="8"/>
    <tableColumn id="9" xr3:uid="{4A12AA33-E263-488C-AB51-1DF7F2C314F3}" uniqueName="9" name="Impressions" queryTableFieldId="9"/>
    <tableColumn id="10" xr3:uid="{BAFFF643-7153-4D54-A4FF-7E17E3EAD793}" uniqueName="10" name="Reach" queryTableFieldId="10"/>
    <tableColumn id="11" xr3:uid="{FC9964B0-88D2-4B6F-9571-5EC7BBB1F18F}" uniqueName="11" name="Engagament" queryTableFieldId="11"/>
    <tableColumn id="12" xr3:uid="{2F6E2ED6-EDD1-4203-BC30-3B154754FCD5}" uniqueName="12" name="Clicks" queryTableFieldId="12"/>
    <tableColumn id="13" xr3:uid="{13D2FBD9-CCDA-404B-992A-CB73C1D21931}" uniqueName="13" name="Hashtags Used" queryTableFieldId="13" dataDxfId="1"/>
    <tableColumn id="14" xr3:uid="{F35DF421-2739-4EAA-A46C-8B705A337EAA}" uniqueName="14" name="Campaign_Nam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AF2D-192C-4E74-8E87-4B1CE8A05905}">
  <dimension ref="A1:Q10"/>
  <sheetViews>
    <sheetView workbookViewId="0">
      <selection activeCell="E16" sqref="E16"/>
    </sheetView>
  </sheetViews>
  <sheetFormatPr defaultRowHeight="14.5" x14ac:dyDescent="0.35"/>
  <cols>
    <col min="1" max="1" width="14.7265625" bestFit="1" customWidth="1"/>
    <col min="2" max="2" width="17.36328125" bestFit="1" customWidth="1"/>
    <col min="3" max="3" width="20.453125" bestFit="1" customWidth="1"/>
    <col min="4" max="4" width="11.7265625" bestFit="1" customWidth="1"/>
    <col min="5" max="5" width="14.90625" bestFit="1" customWidth="1"/>
    <col min="6" max="6" width="11.1796875" bestFit="1" customWidth="1"/>
    <col min="7" max="7" width="14.36328125" bestFit="1" customWidth="1"/>
    <col min="8" max="26" width="4.81640625" bestFit="1" customWidth="1"/>
    <col min="27" max="27" width="5.81640625" bestFit="1" customWidth="1"/>
    <col min="28" max="30" width="4.81640625" bestFit="1" customWidth="1"/>
    <col min="31" max="31" width="5.81640625" bestFit="1" customWidth="1"/>
    <col min="32" max="32" width="4.81640625" bestFit="1" customWidth="1"/>
    <col min="33" max="34" width="5.81640625" bestFit="1" customWidth="1"/>
    <col min="35" max="35" width="4.81640625" bestFit="1" customWidth="1"/>
    <col min="36" max="41" width="5.81640625" bestFit="1" customWidth="1"/>
    <col min="42" max="43" width="4.81640625" bestFit="1" customWidth="1"/>
    <col min="44" max="44" width="5.81640625" bestFit="1" customWidth="1"/>
    <col min="45" max="45" width="4.81640625" bestFit="1" customWidth="1"/>
    <col min="46" max="48" width="5.81640625" bestFit="1" customWidth="1"/>
    <col min="49" max="50" width="4.81640625" bestFit="1" customWidth="1"/>
    <col min="51" max="51" width="5.81640625" bestFit="1" customWidth="1"/>
    <col min="52" max="52" width="4.81640625" bestFit="1" customWidth="1"/>
    <col min="53" max="54" width="5.81640625" bestFit="1" customWidth="1"/>
    <col min="55" max="56" width="4.81640625" bestFit="1" customWidth="1"/>
    <col min="57" max="58" width="5.81640625" bestFit="1" customWidth="1"/>
    <col min="59" max="59" width="4.81640625" bestFit="1" customWidth="1"/>
    <col min="60" max="67" width="5.81640625" bestFit="1" customWidth="1"/>
    <col min="68" max="68" width="4.81640625" bestFit="1" customWidth="1"/>
    <col min="69" max="73" width="5.81640625" bestFit="1" customWidth="1"/>
    <col min="74" max="74" width="4.81640625" bestFit="1" customWidth="1"/>
    <col min="75" max="102" width="5.81640625" bestFit="1" customWidth="1"/>
    <col min="103" max="103" width="4.81640625" bestFit="1" customWidth="1"/>
    <col min="104" max="182" width="5.81640625" bestFit="1" customWidth="1"/>
    <col min="183" max="183" width="6.81640625" bestFit="1" customWidth="1"/>
    <col min="184" max="226" width="5.81640625" bestFit="1" customWidth="1"/>
    <col min="227" max="227" width="6.81640625" bestFit="1" customWidth="1"/>
    <col min="228" max="294" width="5.81640625" bestFit="1" customWidth="1"/>
    <col min="295" max="295" width="11.7265625" bestFit="1" customWidth="1"/>
    <col min="296" max="297" width="3.81640625" bestFit="1" customWidth="1"/>
    <col min="298" max="298" width="2.81640625" bestFit="1" customWidth="1"/>
    <col min="299" max="335" width="3.81640625" bestFit="1" customWidth="1"/>
    <col min="336" max="587" width="4.81640625" bestFit="1" customWidth="1"/>
    <col min="588" max="588" width="22.1796875" bestFit="1" customWidth="1"/>
    <col min="589" max="589" width="16.54296875" bestFit="1" customWidth="1"/>
  </cols>
  <sheetData>
    <row r="1" spans="1:17" ht="33.5" x14ac:dyDescent="0.95">
      <c r="B1" s="13" t="s">
        <v>444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33.5" x14ac:dyDescent="0.95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spans="1:17" x14ac:dyDescent="0.35">
      <c r="A4" s="10" t="s">
        <v>435</v>
      </c>
      <c r="B4" t="s">
        <v>439</v>
      </c>
      <c r="C4" t="s">
        <v>441</v>
      </c>
      <c r="D4" t="s">
        <v>438</v>
      </c>
      <c r="E4" t="s">
        <v>443</v>
      </c>
      <c r="F4" t="s">
        <v>440</v>
      </c>
      <c r="G4" t="s">
        <v>442</v>
      </c>
    </row>
    <row r="5" spans="1:17" x14ac:dyDescent="0.35">
      <c r="A5" s="11" t="s">
        <v>436</v>
      </c>
      <c r="B5" s="12">
        <v>1830608</v>
      </c>
      <c r="C5" s="12">
        <v>32689.428571428572</v>
      </c>
      <c r="D5" s="12">
        <v>8339</v>
      </c>
      <c r="E5" s="12">
        <v>148.91071428571428</v>
      </c>
      <c r="F5" s="12">
        <v>150160</v>
      </c>
      <c r="G5" s="12">
        <v>2681.4285714285716</v>
      </c>
    </row>
    <row r="6" spans="1:17" x14ac:dyDescent="0.35">
      <c r="A6" s="11" t="s">
        <v>35</v>
      </c>
      <c r="B6" s="12">
        <v>2464864</v>
      </c>
      <c r="C6" s="12">
        <v>34716.394366197186</v>
      </c>
      <c r="D6" s="12">
        <v>10689</v>
      </c>
      <c r="E6" s="12">
        <v>150.54929577464787</v>
      </c>
      <c r="F6" s="12">
        <v>187909</v>
      </c>
      <c r="G6" s="12">
        <v>2646.605633802817</v>
      </c>
    </row>
    <row r="7" spans="1:17" x14ac:dyDescent="0.35">
      <c r="A7" s="11" t="s">
        <v>22</v>
      </c>
      <c r="B7" s="12">
        <v>1986356</v>
      </c>
      <c r="C7" s="12">
        <v>34247.517241379312</v>
      </c>
      <c r="D7" s="12">
        <v>9872</v>
      </c>
      <c r="E7" s="12">
        <v>170.20689655172413</v>
      </c>
      <c r="F7" s="12">
        <v>159783</v>
      </c>
      <c r="G7" s="12">
        <v>2754.8793103448274</v>
      </c>
    </row>
    <row r="8" spans="1:17" x14ac:dyDescent="0.35">
      <c r="A8" s="11" t="s">
        <v>28</v>
      </c>
      <c r="B8" s="12">
        <v>2266053</v>
      </c>
      <c r="C8" s="12">
        <v>33821.686567164179</v>
      </c>
      <c r="D8" s="12">
        <v>10032</v>
      </c>
      <c r="E8" s="12">
        <v>149.73134328358208</v>
      </c>
      <c r="F8" s="12">
        <v>183346</v>
      </c>
      <c r="G8" s="12">
        <v>2736.5074626865671</v>
      </c>
    </row>
    <row r="9" spans="1:17" x14ac:dyDescent="0.35">
      <c r="A9" s="11" t="s">
        <v>18</v>
      </c>
      <c r="B9" s="12">
        <v>1846272</v>
      </c>
      <c r="C9" s="12">
        <v>38464</v>
      </c>
      <c r="D9" s="12">
        <v>6434</v>
      </c>
      <c r="E9" s="12">
        <v>134.04166666666666</v>
      </c>
      <c r="F9" s="12">
        <v>138793</v>
      </c>
      <c r="G9" s="12">
        <v>2891.5208333333335</v>
      </c>
    </row>
    <row r="10" spans="1:17" x14ac:dyDescent="0.35">
      <c r="A10" s="11" t="s">
        <v>437</v>
      </c>
      <c r="B10" s="12">
        <v>10394153</v>
      </c>
      <c r="C10" s="12">
        <v>34647.176666666666</v>
      </c>
      <c r="D10" s="12">
        <v>45366</v>
      </c>
      <c r="E10" s="12">
        <v>151.22</v>
      </c>
      <c r="F10" s="12">
        <v>819991</v>
      </c>
      <c r="G10" s="12">
        <v>2733.3033333333333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1D05-351C-45F4-BF50-3CCB3C909394}">
  <dimension ref="A1:N1039"/>
  <sheetViews>
    <sheetView topLeftCell="D1" workbookViewId="0">
      <selection activeCell="M1040" sqref="M1040"/>
    </sheetView>
  </sheetViews>
  <sheetFormatPr defaultRowHeight="14.5" x14ac:dyDescent="0.35"/>
  <cols>
    <col min="1" max="1" width="9.08984375" bestFit="1" customWidth="1"/>
    <col min="2" max="2" width="10.453125" bestFit="1" customWidth="1"/>
    <col min="3" max="3" width="10.08984375" bestFit="1" customWidth="1"/>
    <col min="4" max="4" width="14.36328125" bestFit="1" customWidth="1"/>
    <col min="5" max="5" width="37.453125" bestFit="1" customWidth="1"/>
    <col min="6" max="6" width="7.1796875" bestFit="1" customWidth="1"/>
    <col min="7" max="7" width="8.6328125" bestFit="1" customWidth="1"/>
    <col min="8" max="8" width="12.1796875" bestFit="1" customWidth="1"/>
    <col min="9" max="9" width="13.1796875" bestFit="1" customWidth="1"/>
    <col min="10" max="10" width="8.08984375" bestFit="1" customWidth="1"/>
    <col min="11" max="11" width="13.453125" bestFit="1" customWidth="1"/>
    <col min="12" max="12" width="7.7265625" bestFit="1" customWidth="1"/>
    <col min="13" max="13" width="20.1796875" bestFit="1" customWidth="1"/>
    <col min="14" max="14" width="17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434</v>
      </c>
      <c r="L1" t="s">
        <v>10</v>
      </c>
      <c r="M1" t="s">
        <v>11</v>
      </c>
      <c r="N1" t="s">
        <v>12</v>
      </c>
    </row>
    <row r="2" spans="1:14" x14ac:dyDescent="0.35">
      <c r="A2" s="12" t="s">
        <v>13</v>
      </c>
      <c r="B2" s="12" t="s">
        <v>14</v>
      </c>
      <c r="C2" s="17">
        <v>45649</v>
      </c>
      <c r="D2" s="12" t="s">
        <v>16</v>
      </c>
      <c r="E2" s="1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1989</v>
      </c>
      <c r="L2">
        <v>15</v>
      </c>
      <c r="M2" s="12" t="s">
        <v>53</v>
      </c>
      <c r="N2" s="12" t="s">
        <v>18</v>
      </c>
    </row>
    <row r="3" spans="1:14" x14ac:dyDescent="0.35">
      <c r="A3" s="12" t="s">
        <v>13</v>
      </c>
      <c r="B3" s="12" t="s">
        <v>14</v>
      </c>
      <c r="C3" s="17">
        <v>45649</v>
      </c>
      <c r="D3" s="12" t="s">
        <v>16</v>
      </c>
      <c r="E3" s="12" t="s">
        <v>17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1989</v>
      </c>
      <c r="L3">
        <v>15</v>
      </c>
      <c r="M3" s="12" t="s">
        <v>431</v>
      </c>
      <c r="N3" s="12" t="s">
        <v>18</v>
      </c>
    </row>
    <row r="4" spans="1:14" x14ac:dyDescent="0.35">
      <c r="A4" s="12" t="s">
        <v>19</v>
      </c>
      <c r="B4" s="12" t="s">
        <v>14</v>
      </c>
      <c r="C4" s="17">
        <v>45750</v>
      </c>
      <c r="D4" s="12" t="s">
        <v>20</v>
      </c>
      <c r="E4" s="12" t="s">
        <v>21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4936</v>
      </c>
      <c r="L4">
        <v>117</v>
      </c>
      <c r="M4" s="12" t="s">
        <v>27</v>
      </c>
      <c r="N4" s="12" t="s">
        <v>22</v>
      </c>
    </row>
    <row r="5" spans="1:14" x14ac:dyDescent="0.35">
      <c r="A5" s="12" t="s">
        <v>19</v>
      </c>
      <c r="B5" s="12" t="s">
        <v>14</v>
      </c>
      <c r="C5" s="17">
        <v>45750</v>
      </c>
      <c r="D5" s="12" t="s">
        <v>20</v>
      </c>
      <c r="E5" s="12" t="s">
        <v>21</v>
      </c>
      <c r="F5">
        <v>4054</v>
      </c>
      <c r="G5">
        <v>389</v>
      </c>
      <c r="H5">
        <v>493</v>
      </c>
      <c r="I5">
        <v>64864</v>
      </c>
      <c r="J5">
        <v>64383</v>
      </c>
      <c r="K5">
        <v>4936</v>
      </c>
      <c r="L5">
        <v>117</v>
      </c>
      <c r="M5" s="12" t="s">
        <v>432</v>
      </c>
      <c r="N5" s="12" t="s">
        <v>22</v>
      </c>
    </row>
    <row r="6" spans="1:14" x14ac:dyDescent="0.35">
      <c r="A6" s="12" t="s">
        <v>23</v>
      </c>
      <c r="B6" s="12" t="s">
        <v>24</v>
      </c>
      <c r="C6" s="17">
        <v>45789</v>
      </c>
      <c r="D6" s="12" t="s">
        <v>16</v>
      </c>
      <c r="E6" s="12" t="s">
        <v>26</v>
      </c>
      <c r="F6">
        <v>2795</v>
      </c>
      <c r="G6">
        <v>105</v>
      </c>
      <c r="H6">
        <v>49</v>
      </c>
      <c r="I6">
        <v>53105</v>
      </c>
      <c r="J6">
        <v>52307</v>
      </c>
      <c r="K6">
        <v>2949</v>
      </c>
      <c r="L6">
        <v>204</v>
      </c>
      <c r="M6" s="12" t="s">
        <v>27</v>
      </c>
      <c r="N6" s="12" t="s">
        <v>28</v>
      </c>
    </row>
    <row r="7" spans="1:14" x14ac:dyDescent="0.35">
      <c r="A7" s="12" t="s">
        <v>29</v>
      </c>
      <c r="B7" s="12" t="s">
        <v>30</v>
      </c>
      <c r="C7" s="17">
        <v>45516</v>
      </c>
      <c r="D7" s="12" t="s">
        <v>32</v>
      </c>
      <c r="E7" s="12" t="s">
        <v>33</v>
      </c>
      <c r="F7">
        <v>2404</v>
      </c>
      <c r="G7">
        <v>363</v>
      </c>
      <c r="H7">
        <v>138</v>
      </c>
      <c r="I7">
        <v>19232</v>
      </c>
      <c r="J7">
        <v>18636</v>
      </c>
      <c r="K7">
        <v>2905</v>
      </c>
      <c r="L7">
        <v>128</v>
      </c>
      <c r="M7" s="12" t="s">
        <v>34</v>
      </c>
      <c r="N7" s="12" t="s">
        <v>35</v>
      </c>
    </row>
    <row r="8" spans="1:14" x14ac:dyDescent="0.35">
      <c r="A8" s="12" t="s">
        <v>36</v>
      </c>
      <c r="B8" s="12" t="s">
        <v>24</v>
      </c>
      <c r="C8" s="17">
        <v>45469</v>
      </c>
      <c r="D8" s="12" t="s">
        <v>16</v>
      </c>
      <c r="E8" s="12" t="s">
        <v>26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4668</v>
      </c>
      <c r="L8">
        <v>224</v>
      </c>
      <c r="M8" s="12" t="s">
        <v>34</v>
      </c>
      <c r="N8" s="12" t="s">
        <v>18</v>
      </c>
    </row>
    <row r="9" spans="1:14" x14ac:dyDescent="0.35">
      <c r="A9" s="12" t="s">
        <v>36</v>
      </c>
      <c r="B9" s="12" t="s">
        <v>24</v>
      </c>
      <c r="C9" s="17">
        <v>45469</v>
      </c>
      <c r="D9" s="12" t="s">
        <v>16</v>
      </c>
      <c r="E9" s="12" t="s">
        <v>26</v>
      </c>
      <c r="F9">
        <v>3557</v>
      </c>
      <c r="G9">
        <v>687</v>
      </c>
      <c r="H9">
        <v>424</v>
      </c>
      <c r="I9">
        <v>71140</v>
      </c>
      <c r="J9">
        <v>70701</v>
      </c>
      <c r="K9">
        <v>4668</v>
      </c>
      <c r="L9">
        <v>224</v>
      </c>
      <c r="M9" s="12" t="s">
        <v>27</v>
      </c>
      <c r="N9" s="12" t="s">
        <v>18</v>
      </c>
    </row>
    <row r="10" spans="1:14" x14ac:dyDescent="0.35">
      <c r="A10" s="12" t="s">
        <v>37</v>
      </c>
      <c r="B10" s="12" t="s">
        <v>38</v>
      </c>
      <c r="C10" s="17">
        <v>45596</v>
      </c>
      <c r="D10" s="12" t="s">
        <v>40</v>
      </c>
      <c r="E10" s="12" t="s">
        <v>41</v>
      </c>
      <c r="F10">
        <v>2945</v>
      </c>
      <c r="G10">
        <v>930</v>
      </c>
      <c r="H10">
        <v>355</v>
      </c>
      <c r="I10">
        <v>23560</v>
      </c>
      <c r="J10">
        <v>23275</v>
      </c>
      <c r="K10">
        <v>4230</v>
      </c>
      <c r="L10">
        <v>256</v>
      </c>
      <c r="M10" s="12" t="s">
        <v>27</v>
      </c>
      <c r="N10" s="12" t="s">
        <v>22</v>
      </c>
    </row>
    <row r="11" spans="1:14" x14ac:dyDescent="0.35">
      <c r="A11" s="12" t="s">
        <v>42</v>
      </c>
      <c r="B11" s="12" t="s">
        <v>14</v>
      </c>
      <c r="C11" s="17">
        <v>45467</v>
      </c>
      <c r="D11" s="12" t="s">
        <v>40</v>
      </c>
      <c r="E11" s="12" t="s">
        <v>44</v>
      </c>
      <c r="F11">
        <v>3860</v>
      </c>
      <c r="G11">
        <v>201</v>
      </c>
      <c r="H11">
        <v>279</v>
      </c>
      <c r="I11">
        <v>61760</v>
      </c>
      <c r="J11">
        <v>61660</v>
      </c>
      <c r="K11">
        <v>4340</v>
      </c>
      <c r="L11">
        <v>235</v>
      </c>
      <c r="M11" s="12" t="s">
        <v>27</v>
      </c>
      <c r="N11" s="12" t="s">
        <v>22</v>
      </c>
    </row>
    <row r="12" spans="1:14" x14ac:dyDescent="0.35">
      <c r="A12" s="12" t="s">
        <v>45</v>
      </c>
      <c r="B12" s="12" t="s">
        <v>24</v>
      </c>
      <c r="C12" s="17">
        <v>45486</v>
      </c>
      <c r="D12" s="12" t="s">
        <v>46</v>
      </c>
      <c r="E12" s="12" t="s">
        <v>47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4469</v>
      </c>
      <c r="L12">
        <v>39</v>
      </c>
      <c r="M12" s="12" t="s">
        <v>34</v>
      </c>
      <c r="N12" s="12" t="s">
        <v>35</v>
      </c>
    </row>
    <row r="13" spans="1:14" x14ac:dyDescent="0.35">
      <c r="A13" s="12" t="s">
        <v>48</v>
      </c>
      <c r="B13" s="12" t="s">
        <v>38</v>
      </c>
      <c r="C13" s="17">
        <v>45534</v>
      </c>
      <c r="D13" s="12" t="s">
        <v>20</v>
      </c>
      <c r="E13" s="12" t="s">
        <v>49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4996</v>
      </c>
      <c r="L13">
        <v>131</v>
      </c>
      <c r="M13" s="12" t="s">
        <v>27</v>
      </c>
      <c r="N13" s="12" t="s">
        <v>22</v>
      </c>
    </row>
    <row r="14" spans="1:14" x14ac:dyDescent="0.35">
      <c r="A14" s="12" t="s">
        <v>50</v>
      </c>
      <c r="B14" s="12" t="s">
        <v>38</v>
      </c>
      <c r="C14" s="17">
        <v>45727</v>
      </c>
      <c r="D14" s="12" t="s">
        <v>46</v>
      </c>
      <c r="E14" s="12" t="s">
        <v>51</v>
      </c>
      <c r="F14">
        <v>4241</v>
      </c>
      <c r="G14">
        <v>902</v>
      </c>
      <c r="H14">
        <v>47</v>
      </c>
      <c r="I14">
        <v>72097</v>
      </c>
      <c r="J14">
        <v>71598</v>
      </c>
      <c r="K14">
        <v>5190</v>
      </c>
      <c r="L14">
        <v>167</v>
      </c>
      <c r="M14" s="12" t="s">
        <v>27</v>
      </c>
      <c r="N14" s="12" t="s">
        <v>22</v>
      </c>
    </row>
    <row r="15" spans="1:14" x14ac:dyDescent="0.35">
      <c r="A15" s="12" t="s">
        <v>52</v>
      </c>
      <c r="B15" s="12" t="s">
        <v>30</v>
      </c>
      <c r="C15" s="17">
        <v>45690</v>
      </c>
      <c r="D15" s="12" t="s">
        <v>32</v>
      </c>
      <c r="E15" s="12" t="s">
        <v>33</v>
      </c>
      <c r="F15">
        <v>1792</v>
      </c>
      <c r="G15">
        <v>614</v>
      </c>
      <c r="H15">
        <v>497</v>
      </c>
      <c r="I15">
        <v>25088</v>
      </c>
      <c r="J15">
        <v>24675</v>
      </c>
      <c r="K15">
        <v>2903</v>
      </c>
      <c r="L15">
        <v>65</v>
      </c>
      <c r="M15" s="12" t="s">
        <v>53</v>
      </c>
      <c r="N15" s="12" t="s">
        <v>35</v>
      </c>
    </row>
    <row r="16" spans="1:14" x14ac:dyDescent="0.35">
      <c r="A16" s="12" t="s">
        <v>54</v>
      </c>
      <c r="B16" s="12" t="s">
        <v>38</v>
      </c>
      <c r="C16" s="17">
        <v>45494</v>
      </c>
      <c r="D16" s="12" t="s">
        <v>16</v>
      </c>
      <c r="E16" s="12" t="s">
        <v>55</v>
      </c>
      <c r="F16">
        <v>1946</v>
      </c>
      <c r="G16">
        <v>686</v>
      </c>
      <c r="H16">
        <v>377</v>
      </c>
      <c r="I16">
        <v>23352</v>
      </c>
      <c r="J16">
        <v>22982</v>
      </c>
      <c r="K16">
        <v>3009</v>
      </c>
      <c r="L16">
        <v>213</v>
      </c>
      <c r="M16" s="12" t="s">
        <v>53</v>
      </c>
      <c r="N16" s="12" t="s">
        <v>28</v>
      </c>
    </row>
    <row r="17" spans="1:14" x14ac:dyDescent="0.35">
      <c r="A17" s="12" t="s">
        <v>56</v>
      </c>
      <c r="B17" s="12" t="s">
        <v>24</v>
      </c>
      <c r="C17" s="17">
        <v>45614</v>
      </c>
      <c r="D17" s="12" t="s">
        <v>40</v>
      </c>
      <c r="E17" s="12" t="s">
        <v>58</v>
      </c>
      <c r="F17">
        <v>1171</v>
      </c>
      <c r="G17">
        <v>286</v>
      </c>
      <c r="H17">
        <v>231</v>
      </c>
      <c r="I17">
        <v>22249</v>
      </c>
      <c r="J17">
        <v>21282</v>
      </c>
      <c r="K17">
        <v>1688</v>
      </c>
      <c r="L17">
        <v>114</v>
      </c>
      <c r="M17" s="12" t="s">
        <v>34</v>
      </c>
      <c r="N17" s="12" t="s">
        <v>18</v>
      </c>
    </row>
    <row r="18" spans="1:14" x14ac:dyDescent="0.35">
      <c r="A18" s="12" t="s">
        <v>59</v>
      </c>
      <c r="B18" s="12" t="s">
        <v>38</v>
      </c>
      <c r="C18" s="17">
        <v>45704</v>
      </c>
      <c r="D18" s="12" t="s">
        <v>32</v>
      </c>
      <c r="E18" s="12" t="s">
        <v>60</v>
      </c>
      <c r="F18">
        <v>4242</v>
      </c>
      <c r="G18">
        <v>555</v>
      </c>
      <c r="H18">
        <v>131</v>
      </c>
      <c r="I18">
        <v>33936</v>
      </c>
      <c r="J18">
        <v>33802</v>
      </c>
      <c r="K18">
        <v>4928</v>
      </c>
      <c r="L18">
        <v>265</v>
      </c>
      <c r="M18" s="12" t="s">
        <v>53</v>
      </c>
      <c r="N18" s="12"/>
    </row>
    <row r="19" spans="1:14" x14ac:dyDescent="0.35">
      <c r="A19" s="12" t="s">
        <v>61</v>
      </c>
      <c r="B19" s="12" t="s">
        <v>38</v>
      </c>
      <c r="C19" s="17">
        <v>45589</v>
      </c>
      <c r="D19" s="12" t="s">
        <v>62</v>
      </c>
      <c r="E19" s="12" t="s">
        <v>63</v>
      </c>
      <c r="F19">
        <v>3888</v>
      </c>
      <c r="G19">
        <v>604</v>
      </c>
      <c r="H19">
        <v>128</v>
      </c>
      <c r="I19">
        <v>77760</v>
      </c>
      <c r="J19">
        <v>77167</v>
      </c>
      <c r="K19">
        <v>4620</v>
      </c>
      <c r="L19">
        <v>20</v>
      </c>
      <c r="M19" s="12" t="s">
        <v>53</v>
      </c>
      <c r="N19" s="12" t="s">
        <v>18</v>
      </c>
    </row>
    <row r="20" spans="1:14" x14ac:dyDescent="0.35">
      <c r="A20" s="12" t="s">
        <v>64</v>
      </c>
      <c r="B20" s="12" t="s">
        <v>38</v>
      </c>
      <c r="C20" s="17">
        <v>45530</v>
      </c>
      <c r="D20" s="12" t="s">
        <v>20</v>
      </c>
      <c r="E20" s="12" t="s">
        <v>49</v>
      </c>
      <c r="F20">
        <v>3452</v>
      </c>
      <c r="G20">
        <v>377</v>
      </c>
      <c r="H20">
        <v>360</v>
      </c>
      <c r="I20">
        <v>55232</v>
      </c>
      <c r="J20">
        <v>55075</v>
      </c>
      <c r="K20">
        <v>4189</v>
      </c>
      <c r="L20">
        <v>87</v>
      </c>
      <c r="M20" s="12" t="s">
        <v>53</v>
      </c>
      <c r="N20" s="12" t="s">
        <v>28</v>
      </c>
    </row>
    <row r="21" spans="1:14" x14ac:dyDescent="0.35">
      <c r="A21" s="12" t="s">
        <v>66</v>
      </c>
      <c r="B21" s="12" t="s">
        <v>38</v>
      </c>
      <c r="C21" s="17">
        <v>45782</v>
      </c>
      <c r="D21" s="12" t="s">
        <v>20</v>
      </c>
      <c r="E21" s="12" t="s">
        <v>49</v>
      </c>
      <c r="F21">
        <v>4441</v>
      </c>
      <c r="G21">
        <v>511</v>
      </c>
      <c r="H21">
        <v>70</v>
      </c>
      <c r="I21">
        <v>53292</v>
      </c>
      <c r="J21">
        <v>53082</v>
      </c>
      <c r="K21">
        <v>5022</v>
      </c>
      <c r="L21">
        <v>159</v>
      </c>
      <c r="M21" s="12" t="s">
        <v>34</v>
      </c>
      <c r="N21" s="12" t="s">
        <v>35</v>
      </c>
    </row>
    <row r="22" spans="1:14" x14ac:dyDescent="0.35">
      <c r="A22" s="12" t="s">
        <v>68</v>
      </c>
      <c r="B22" s="12" t="s">
        <v>30</v>
      </c>
      <c r="C22" s="17">
        <v>45523</v>
      </c>
      <c r="D22" s="12" t="s">
        <v>16</v>
      </c>
      <c r="E22" s="12" t="s">
        <v>70</v>
      </c>
      <c r="F22">
        <v>3000</v>
      </c>
      <c r="G22">
        <v>382</v>
      </c>
      <c r="H22">
        <v>325</v>
      </c>
      <c r="I22">
        <v>36000</v>
      </c>
      <c r="J22">
        <v>35819</v>
      </c>
      <c r="K22">
        <v>3707</v>
      </c>
      <c r="L22">
        <v>19</v>
      </c>
      <c r="M22" s="12" t="s">
        <v>53</v>
      </c>
      <c r="N22" s="12" t="s">
        <v>18</v>
      </c>
    </row>
    <row r="23" spans="1:14" x14ac:dyDescent="0.35">
      <c r="A23" s="12" t="s">
        <v>71</v>
      </c>
      <c r="B23" s="12" t="s">
        <v>30</v>
      </c>
      <c r="C23" s="17">
        <v>45466</v>
      </c>
      <c r="D23" s="12" t="s">
        <v>62</v>
      </c>
      <c r="E23" s="12" t="s">
        <v>72</v>
      </c>
      <c r="F23">
        <v>1071</v>
      </c>
      <c r="G23">
        <v>519</v>
      </c>
      <c r="H23">
        <v>22</v>
      </c>
      <c r="I23">
        <v>16065</v>
      </c>
      <c r="J23">
        <v>15865</v>
      </c>
      <c r="K23">
        <v>1612</v>
      </c>
      <c r="L23">
        <v>103</v>
      </c>
      <c r="M23" s="12" t="s">
        <v>27</v>
      </c>
      <c r="N23" s="12" t="s">
        <v>35</v>
      </c>
    </row>
    <row r="24" spans="1:14" x14ac:dyDescent="0.35">
      <c r="A24" s="12" t="s">
        <v>73</v>
      </c>
      <c r="B24" s="12" t="s">
        <v>30</v>
      </c>
      <c r="C24" s="17">
        <v>45544</v>
      </c>
      <c r="D24" s="12" t="s">
        <v>40</v>
      </c>
      <c r="E24" s="12" t="s">
        <v>75</v>
      </c>
      <c r="F24">
        <v>4054</v>
      </c>
      <c r="G24">
        <v>488</v>
      </c>
      <c r="H24">
        <v>373</v>
      </c>
      <c r="I24">
        <v>77026</v>
      </c>
      <c r="J24">
        <v>76881</v>
      </c>
      <c r="K24">
        <v>4915</v>
      </c>
      <c r="L24">
        <v>25</v>
      </c>
      <c r="M24" s="12" t="s">
        <v>27</v>
      </c>
      <c r="N24" s="12" t="s">
        <v>18</v>
      </c>
    </row>
    <row r="25" spans="1:14" x14ac:dyDescent="0.35">
      <c r="A25" s="12" t="s">
        <v>76</v>
      </c>
      <c r="B25" s="12" t="s">
        <v>30</v>
      </c>
      <c r="C25" s="17">
        <v>45661</v>
      </c>
      <c r="D25" s="12" t="s">
        <v>16</v>
      </c>
      <c r="E25" s="12" t="s">
        <v>70</v>
      </c>
      <c r="F25">
        <v>4838</v>
      </c>
      <c r="G25">
        <v>640</v>
      </c>
      <c r="H25">
        <v>128</v>
      </c>
      <c r="I25">
        <v>72570</v>
      </c>
      <c r="J25">
        <v>72396</v>
      </c>
      <c r="K25">
        <v>5606</v>
      </c>
      <c r="L25">
        <v>83</v>
      </c>
      <c r="M25" s="12" t="s">
        <v>53</v>
      </c>
      <c r="N25" s="12" t="s">
        <v>35</v>
      </c>
    </row>
    <row r="26" spans="1:14" x14ac:dyDescent="0.35">
      <c r="A26" s="12" t="s">
        <v>77</v>
      </c>
      <c r="B26" s="12" t="s">
        <v>38</v>
      </c>
      <c r="C26" s="17">
        <v>45715</v>
      </c>
      <c r="D26" s="12" t="s">
        <v>20</v>
      </c>
      <c r="E26" s="12" t="s">
        <v>49</v>
      </c>
      <c r="F26">
        <v>1570</v>
      </c>
      <c r="G26">
        <v>187</v>
      </c>
      <c r="H26">
        <v>260</v>
      </c>
      <c r="I26">
        <v>25120</v>
      </c>
      <c r="J26">
        <v>24613</v>
      </c>
      <c r="K26">
        <v>2017</v>
      </c>
      <c r="L26">
        <v>133</v>
      </c>
      <c r="M26" s="12" t="s">
        <v>27</v>
      </c>
      <c r="N26" s="12" t="s">
        <v>35</v>
      </c>
    </row>
    <row r="27" spans="1:14" x14ac:dyDescent="0.35">
      <c r="A27" s="12" t="s">
        <v>78</v>
      </c>
      <c r="B27" s="12" t="s">
        <v>38</v>
      </c>
      <c r="C27" s="17">
        <v>45602</v>
      </c>
      <c r="D27" s="12" t="s">
        <v>62</v>
      </c>
      <c r="E27" s="12" t="s">
        <v>63</v>
      </c>
      <c r="F27">
        <v>1606</v>
      </c>
      <c r="G27">
        <v>547</v>
      </c>
      <c r="H27">
        <v>316</v>
      </c>
      <c r="I27">
        <v>32120</v>
      </c>
      <c r="J27">
        <v>31736</v>
      </c>
      <c r="K27">
        <v>2469</v>
      </c>
      <c r="L27">
        <v>225</v>
      </c>
      <c r="M27" s="12" t="s">
        <v>27</v>
      </c>
      <c r="N27" s="12" t="s">
        <v>22</v>
      </c>
    </row>
    <row r="28" spans="1:14" x14ac:dyDescent="0.35">
      <c r="A28" s="12" t="s">
        <v>78</v>
      </c>
      <c r="B28" s="12" t="s">
        <v>38</v>
      </c>
      <c r="C28" s="17">
        <v>45602</v>
      </c>
      <c r="D28" s="12" t="s">
        <v>62</v>
      </c>
      <c r="E28" s="12" t="s">
        <v>63</v>
      </c>
      <c r="F28">
        <v>1606</v>
      </c>
      <c r="G28">
        <v>547</v>
      </c>
      <c r="H28">
        <v>316</v>
      </c>
      <c r="I28">
        <v>32120</v>
      </c>
      <c r="J28">
        <v>31736</v>
      </c>
      <c r="K28">
        <v>2469</v>
      </c>
      <c r="L28">
        <v>225</v>
      </c>
      <c r="M28" s="12" t="s">
        <v>431</v>
      </c>
      <c r="N28" s="12" t="s">
        <v>22</v>
      </c>
    </row>
    <row r="29" spans="1:14" x14ac:dyDescent="0.35">
      <c r="A29" s="12" t="s">
        <v>79</v>
      </c>
      <c r="B29" s="12" t="s">
        <v>38</v>
      </c>
      <c r="C29" s="17">
        <v>45680</v>
      </c>
      <c r="D29" s="12" t="s">
        <v>62</v>
      </c>
      <c r="E29" s="12" t="s">
        <v>63</v>
      </c>
      <c r="F29">
        <v>3961</v>
      </c>
      <c r="G29">
        <v>761</v>
      </c>
      <c r="H29">
        <v>131</v>
      </c>
      <c r="I29">
        <v>67337</v>
      </c>
      <c r="J29">
        <v>66615</v>
      </c>
      <c r="K29">
        <v>4853</v>
      </c>
      <c r="L29">
        <v>161</v>
      </c>
      <c r="M29" s="12" t="s">
        <v>53</v>
      </c>
      <c r="N29" s="12" t="s">
        <v>28</v>
      </c>
    </row>
    <row r="30" spans="1:14" x14ac:dyDescent="0.35">
      <c r="A30" s="12" t="s">
        <v>80</v>
      </c>
      <c r="B30" s="12" t="s">
        <v>14</v>
      </c>
      <c r="C30" s="17">
        <v>45757</v>
      </c>
      <c r="D30" s="12" t="s">
        <v>40</v>
      </c>
      <c r="E30" s="12" t="s">
        <v>44</v>
      </c>
      <c r="F30">
        <v>3128</v>
      </c>
      <c r="G30">
        <v>211</v>
      </c>
      <c r="H30">
        <v>197</v>
      </c>
      <c r="I30">
        <v>59432</v>
      </c>
      <c r="J30">
        <v>59182</v>
      </c>
      <c r="K30">
        <v>3536</v>
      </c>
      <c r="L30">
        <v>238</v>
      </c>
      <c r="M30" s="12" t="s">
        <v>34</v>
      </c>
      <c r="N30" s="12"/>
    </row>
    <row r="31" spans="1:14" x14ac:dyDescent="0.35">
      <c r="A31" s="12" t="s">
        <v>81</v>
      </c>
      <c r="B31" s="12" t="s">
        <v>24</v>
      </c>
      <c r="C31" s="17">
        <v>45752</v>
      </c>
      <c r="D31" s="12" t="s">
        <v>16</v>
      </c>
      <c r="E31" s="12" t="s">
        <v>26</v>
      </c>
      <c r="F31">
        <v>3009</v>
      </c>
      <c r="G31">
        <v>413</v>
      </c>
      <c r="H31">
        <v>358</v>
      </c>
      <c r="I31">
        <v>42126</v>
      </c>
      <c r="J31">
        <v>41309</v>
      </c>
      <c r="K31">
        <v>3780</v>
      </c>
      <c r="L31">
        <v>211</v>
      </c>
      <c r="M31" s="12" t="s">
        <v>53</v>
      </c>
      <c r="N31" s="12" t="s">
        <v>22</v>
      </c>
    </row>
    <row r="32" spans="1:14" x14ac:dyDescent="0.35">
      <c r="A32" s="12" t="s">
        <v>82</v>
      </c>
      <c r="B32" s="12" t="s">
        <v>24</v>
      </c>
      <c r="C32" s="17">
        <v>45552</v>
      </c>
      <c r="D32" s="12" t="s">
        <v>20</v>
      </c>
      <c r="E32" s="12" t="s">
        <v>83</v>
      </c>
      <c r="F32">
        <v>2076</v>
      </c>
      <c r="G32">
        <v>195</v>
      </c>
      <c r="H32">
        <v>104</v>
      </c>
      <c r="I32">
        <v>33216</v>
      </c>
      <c r="J32">
        <v>32244</v>
      </c>
      <c r="K32">
        <v>2375</v>
      </c>
      <c r="L32">
        <v>51</v>
      </c>
      <c r="M32" s="12" t="s">
        <v>53</v>
      </c>
      <c r="N32" s="12" t="s">
        <v>35</v>
      </c>
    </row>
    <row r="33" spans="1:14" x14ac:dyDescent="0.35">
      <c r="A33" s="12" t="s">
        <v>84</v>
      </c>
      <c r="B33" s="12" t="s">
        <v>30</v>
      </c>
      <c r="C33" s="17">
        <v>45720</v>
      </c>
      <c r="D33" s="12" t="s">
        <v>62</v>
      </c>
      <c r="E33" s="12" t="s">
        <v>72</v>
      </c>
      <c r="F33">
        <v>432</v>
      </c>
      <c r="G33">
        <v>624</v>
      </c>
      <c r="H33">
        <v>123</v>
      </c>
      <c r="I33">
        <v>6912</v>
      </c>
      <c r="J33">
        <v>6259</v>
      </c>
      <c r="K33">
        <v>1179</v>
      </c>
      <c r="L33">
        <v>79</v>
      </c>
      <c r="M33" s="12" t="s">
        <v>53</v>
      </c>
      <c r="N33" s="12" t="s">
        <v>35</v>
      </c>
    </row>
    <row r="34" spans="1:14" x14ac:dyDescent="0.35">
      <c r="A34" s="12" t="s">
        <v>85</v>
      </c>
      <c r="B34" s="12" t="s">
        <v>30</v>
      </c>
      <c r="C34" s="17">
        <v>45688</v>
      </c>
      <c r="D34" s="12" t="s">
        <v>40</v>
      </c>
      <c r="E34" s="12" t="s">
        <v>75</v>
      </c>
      <c r="F34">
        <v>2566</v>
      </c>
      <c r="G34">
        <v>118</v>
      </c>
      <c r="H34">
        <v>37</v>
      </c>
      <c r="I34">
        <v>12830</v>
      </c>
      <c r="J34">
        <v>12264</v>
      </c>
      <c r="K34">
        <v>2721</v>
      </c>
      <c r="L34">
        <v>221</v>
      </c>
      <c r="M34" s="12" t="s">
        <v>53</v>
      </c>
      <c r="N34" s="12" t="s">
        <v>28</v>
      </c>
    </row>
    <row r="35" spans="1:14" x14ac:dyDescent="0.35">
      <c r="A35" s="12" t="s">
        <v>86</v>
      </c>
      <c r="B35" s="12" t="s">
        <v>30</v>
      </c>
      <c r="C35" s="17">
        <v>45713</v>
      </c>
      <c r="D35" s="12" t="s">
        <v>62</v>
      </c>
      <c r="E35" s="12" t="s">
        <v>72</v>
      </c>
      <c r="F35">
        <v>3095</v>
      </c>
      <c r="G35">
        <v>39</v>
      </c>
      <c r="H35">
        <v>78</v>
      </c>
      <c r="I35">
        <v>55710</v>
      </c>
      <c r="J35">
        <v>54808</v>
      </c>
      <c r="K35">
        <v>3212</v>
      </c>
      <c r="L35">
        <v>93</v>
      </c>
      <c r="M35" s="12" t="s">
        <v>34</v>
      </c>
      <c r="N35" s="12"/>
    </row>
    <row r="36" spans="1:14" x14ac:dyDescent="0.35">
      <c r="A36" s="12" t="s">
        <v>87</v>
      </c>
      <c r="B36" s="12" t="s">
        <v>30</v>
      </c>
      <c r="C36" s="17">
        <v>45642</v>
      </c>
      <c r="D36" s="12" t="s">
        <v>20</v>
      </c>
      <c r="E36" s="12" t="s">
        <v>89</v>
      </c>
      <c r="F36">
        <v>438</v>
      </c>
      <c r="G36">
        <v>153</v>
      </c>
      <c r="H36">
        <v>275</v>
      </c>
      <c r="I36">
        <v>3066</v>
      </c>
      <c r="J36">
        <v>2701</v>
      </c>
      <c r="K36">
        <v>866</v>
      </c>
      <c r="L36">
        <v>282</v>
      </c>
      <c r="M36" s="12" t="s">
        <v>27</v>
      </c>
      <c r="N36" s="12" t="s">
        <v>22</v>
      </c>
    </row>
    <row r="37" spans="1:14" x14ac:dyDescent="0.35">
      <c r="A37" s="12" t="s">
        <v>90</v>
      </c>
      <c r="B37" s="12" t="s">
        <v>14</v>
      </c>
      <c r="C37" s="17">
        <v>45504</v>
      </c>
      <c r="D37" s="12" t="s">
        <v>40</v>
      </c>
      <c r="E37" s="12" t="s">
        <v>44</v>
      </c>
      <c r="F37">
        <v>2278</v>
      </c>
      <c r="G37">
        <v>10</v>
      </c>
      <c r="H37">
        <v>321</v>
      </c>
      <c r="I37">
        <v>13668</v>
      </c>
      <c r="J37">
        <v>12676</v>
      </c>
      <c r="K37">
        <v>2609</v>
      </c>
      <c r="L37">
        <v>275</v>
      </c>
      <c r="M37" s="12" t="s">
        <v>34</v>
      </c>
      <c r="N37" s="12" t="s">
        <v>18</v>
      </c>
    </row>
    <row r="38" spans="1:14" x14ac:dyDescent="0.35">
      <c r="A38" s="12" t="s">
        <v>91</v>
      </c>
      <c r="B38" s="12" t="s">
        <v>38</v>
      </c>
      <c r="C38" s="17">
        <v>45525</v>
      </c>
      <c r="D38" s="12" t="s">
        <v>46</v>
      </c>
      <c r="E38" s="12" t="s">
        <v>51</v>
      </c>
      <c r="F38">
        <v>1407</v>
      </c>
      <c r="G38">
        <v>400</v>
      </c>
      <c r="H38">
        <v>351</v>
      </c>
      <c r="I38">
        <v>16884</v>
      </c>
      <c r="J38">
        <v>15954</v>
      </c>
      <c r="K38">
        <v>2158</v>
      </c>
      <c r="L38">
        <v>113</v>
      </c>
      <c r="M38" s="12" t="s">
        <v>27</v>
      </c>
      <c r="N38" s="12" t="s">
        <v>18</v>
      </c>
    </row>
    <row r="39" spans="1:14" x14ac:dyDescent="0.35">
      <c r="A39" s="12" t="s">
        <v>92</v>
      </c>
      <c r="B39" s="12" t="s">
        <v>38</v>
      </c>
      <c r="C39" s="17">
        <v>45742</v>
      </c>
      <c r="D39" s="12" t="s">
        <v>20</v>
      </c>
      <c r="E39" s="12" t="s">
        <v>49</v>
      </c>
      <c r="F39">
        <v>1652</v>
      </c>
      <c r="G39">
        <v>89</v>
      </c>
      <c r="H39">
        <v>357</v>
      </c>
      <c r="I39">
        <v>29736</v>
      </c>
      <c r="J39">
        <v>28771</v>
      </c>
      <c r="K39">
        <v>2098</v>
      </c>
      <c r="L39">
        <v>215</v>
      </c>
      <c r="M39" s="12" t="s">
        <v>27</v>
      </c>
      <c r="N39" s="12" t="s">
        <v>28</v>
      </c>
    </row>
    <row r="40" spans="1:14" x14ac:dyDescent="0.35">
      <c r="A40" s="12" t="s">
        <v>93</v>
      </c>
      <c r="B40" s="12" t="s">
        <v>30</v>
      </c>
      <c r="C40" s="17">
        <v>45626</v>
      </c>
      <c r="D40" s="12" t="s">
        <v>62</v>
      </c>
      <c r="E40" s="12" t="s">
        <v>72</v>
      </c>
      <c r="F40">
        <v>3775</v>
      </c>
      <c r="G40">
        <v>16</v>
      </c>
      <c r="H40">
        <v>239</v>
      </c>
      <c r="I40">
        <v>33975</v>
      </c>
      <c r="J40">
        <v>33310</v>
      </c>
      <c r="K40">
        <v>4030</v>
      </c>
      <c r="L40">
        <v>271</v>
      </c>
      <c r="M40" s="12" t="s">
        <v>53</v>
      </c>
      <c r="N40" s="12" t="s">
        <v>22</v>
      </c>
    </row>
    <row r="41" spans="1:14" x14ac:dyDescent="0.35">
      <c r="A41" s="12" t="s">
        <v>94</v>
      </c>
      <c r="B41" s="12" t="s">
        <v>30</v>
      </c>
      <c r="C41" s="17">
        <v>45766</v>
      </c>
      <c r="D41" s="12" t="s">
        <v>32</v>
      </c>
      <c r="E41" s="12" t="s">
        <v>33</v>
      </c>
      <c r="F41">
        <v>4518</v>
      </c>
      <c r="G41">
        <v>285</v>
      </c>
      <c r="H41">
        <v>383</v>
      </c>
      <c r="I41">
        <v>67770</v>
      </c>
      <c r="J41">
        <v>67621</v>
      </c>
      <c r="K41">
        <v>5186</v>
      </c>
      <c r="L41">
        <v>31</v>
      </c>
      <c r="M41" s="12" t="s">
        <v>34</v>
      </c>
      <c r="N41" s="12" t="s">
        <v>22</v>
      </c>
    </row>
    <row r="42" spans="1:14" x14ac:dyDescent="0.35">
      <c r="A42" s="12" t="s">
        <v>95</v>
      </c>
      <c r="B42" s="12" t="s">
        <v>38</v>
      </c>
      <c r="C42" s="17">
        <v>45663</v>
      </c>
      <c r="D42" s="12" t="s">
        <v>40</v>
      </c>
      <c r="E42" s="12" t="s">
        <v>41</v>
      </c>
      <c r="F42">
        <v>3024</v>
      </c>
      <c r="G42">
        <v>925</v>
      </c>
      <c r="H42">
        <v>350</v>
      </c>
      <c r="I42">
        <v>24192</v>
      </c>
      <c r="J42">
        <v>23518</v>
      </c>
      <c r="K42">
        <v>4299</v>
      </c>
      <c r="L42">
        <v>36</v>
      </c>
      <c r="M42" s="12" t="s">
        <v>34</v>
      </c>
      <c r="N42" s="12" t="s">
        <v>22</v>
      </c>
    </row>
    <row r="43" spans="1:14" x14ac:dyDescent="0.35">
      <c r="A43" s="12" t="s">
        <v>97</v>
      </c>
      <c r="B43" s="12" t="s">
        <v>24</v>
      </c>
      <c r="C43" s="17">
        <v>45705</v>
      </c>
      <c r="D43" s="12" t="s">
        <v>16</v>
      </c>
      <c r="E43" s="12" t="s">
        <v>26</v>
      </c>
      <c r="F43">
        <v>3138</v>
      </c>
      <c r="G43">
        <v>123</v>
      </c>
      <c r="H43">
        <v>291</v>
      </c>
      <c r="I43">
        <v>28242</v>
      </c>
      <c r="J43">
        <v>27550</v>
      </c>
      <c r="K43">
        <v>3552</v>
      </c>
      <c r="L43">
        <v>87</v>
      </c>
      <c r="M43" s="12" t="s">
        <v>27</v>
      </c>
      <c r="N43" s="12" t="s">
        <v>35</v>
      </c>
    </row>
    <row r="44" spans="1:14" x14ac:dyDescent="0.35">
      <c r="A44" s="12" t="s">
        <v>99</v>
      </c>
      <c r="B44" s="12" t="s">
        <v>38</v>
      </c>
      <c r="C44" s="17">
        <v>45621</v>
      </c>
      <c r="D44" s="12" t="s">
        <v>46</v>
      </c>
      <c r="E44" s="12" t="s">
        <v>51</v>
      </c>
      <c r="F44">
        <v>3564</v>
      </c>
      <c r="G44">
        <v>629</v>
      </c>
      <c r="H44">
        <v>177</v>
      </c>
      <c r="I44">
        <v>60588</v>
      </c>
      <c r="J44">
        <v>59627</v>
      </c>
      <c r="K44">
        <v>4370</v>
      </c>
      <c r="L44">
        <v>92</v>
      </c>
      <c r="M44" s="12" t="s">
        <v>27</v>
      </c>
      <c r="N44" s="12"/>
    </row>
    <row r="45" spans="1:14" x14ac:dyDescent="0.35">
      <c r="A45" s="12" t="s">
        <v>101</v>
      </c>
      <c r="B45" s="12" t="s">
        <v>14</v>
      </c>
      <c r="C45" s="17">
        <v>45723</v>
      </c>
      <c r="D45" s="12" t="s">
        <v>46</v>
      </c>
      <c r="E45" s="12" t="s">
        <v>102</v>
      </c>
      <c r="F45">
        <v>4750</v>
      </c>
      <c r="G45">
        <v>151</v>
      </c>
      <c r="H45">
        <v>415</v>
      </c>
      <c r="I45">
        <v>38000</v>
      </c>
      <c r="J45">
        <v>37792</v>
      </c>
      <c r="K45">
        <v>5316</v>
      </c>
      <c r="L45">
        <v>299</v>
      </c>
      <c r="M45" s="12" t="s">
        <v>34</v>
      </c>
      <c r="N45" s="12" t="s">
        <v>35</v>
      </c>
    </row>
    <row r="46" spans="1:14" x14ac:dyDescent="0.35">
      <c r="A46" s="12" t="s">
        <v>103</v>
      </c>
      <c r="B46" s="12" t="s">
        <v>30</v>
      </c>
      <c r="C46" s="17">
        <v>45724</v>
      </c>
      <c r="D46" s="12" t="s">
        <v>16</v>
      </c>
      <c r="E46" s="12" t="s">
        <v>70</v>
      </c>
      <c r="F46">
        <v>456</v>
      </c>
      <c r="G46">
        <v>629</v>
      </c>
      <c r="H46">
        <v>428</v>
      </c>
      <c r="I46">
        <v>8208</v>
      </c>
      <c r="J46">
        <v>7377</v>
      </c>
      <c r="K46">
        <v>1513</v>
      </c>
      <c r="L46">
        <v>205</v>
      </c>
      <c r="M46" s="12" t="s">
        <v>53</v>
      </c>
      <c r="N46" s="12" t="s">
        <v>35</v>
      </c>
    </row>
    <row r="47" spans="1:14" x14ac:dyDescent="0.35">
      <c r="A47" s="12" t="s">
        <v>104</v>
      </c>
      <c r="B47" s="12" t="s">
        <v>24</v>
      </c>
      <c r="C47" s="17">
        <v>45721</v>
      </c>
      <c r="D47" s="12" t="s">
        <v>16</v>
      </c>
      <c r="E47" s="12" t="s">
        <v>26</v>
      </c>
      <c r="F47">
        <v>1543</v>
      </c>
      <c r="G47">
        <v>820</v>
      </c>
      <c r="H47">
        <v>333</v>
      </c>
      <c r="I47">
        <v>12344</v>
      </c>
      <c r="J47">
        <v>11496</v>
      </c>
      <c r="K47">
        <v>2696</v>
      </c>
      <c r="L47">
        <v>241</v>
      </c>
      <c r="M47" s="12" t="s">
        <v>34</v>
      </c>
      <c r="N47" s="12"/>
    </row>
    <row r="48" spans="1:14" x14ac:dyDescent="0.35">
      <c r="A48" s="12" t="s">
        <v>105</v>
      </c>
      <c r="B48" s="12" t="s">
        <v>30</v>
      </c>
      <c r="C48" s="17">
        <v>45640</v>
      </c>
      <c r="D48" s="12" t="s">
        <v>40</v>
      </c>
      <c r="E48" s="12" t="s">
        <v>75</v>
      </c>
      <c r="F48">
        <v>2174</v>
      </c>
      <c r="G48">
        <v>658</v>
      </c>
      <c r="H48">
        <v>15</v>
      </c>
      <c r="I48">
        <v>13044</v>
      </c>
      <c r="J48">
        <v>12206</v>
      </c>
      <c r="K48">
        <v>2847</v>
      </c>
      <c r="L48">
        <v>137</v>
      </c>
      <c r="M48" s="12" t="s">
        <v>27</v>
      </c>
      <c r="N48" s="12" t="s">
        <v>28</v>
      </c>
    </row>
    <row r="49" spans="1:14" x14ac:dyDescent="0.35">
      <c r="A49" s="12" t="s">
        <v>106</v>
      </c>
      <c r="B49" s="12" t="s">
        <v>14</v>
      </c>
      <c r="C49" s="17">
        <v>45718</v>
      </c>
      <c r="D49" s="12" t="s">
        <v>46</v>
      </c>
      <c r="E49" s="12" t="s">
        <v>102</v>
      </c>
      <c r="F49">
        <v>2358</v>
      </c>
      <c r="G49">
        <v>784</v>
      </c>
      <c r="H49">
        <v>344</v>
      </c>
      <c r="I49">
        <v>35370</v>
      </c>
      <c r="J49">
        <v>34475</v>
      </c>
      <c r="K49">
        <v>3486</v>
      </c>
      <c r="L49">
        <v>216</v>
      </c>
      <c r="M49" s="12" t="s">
        <v>27</v>
      </c>
      <c r="N49" s="12"/>
    </row>
    <row r="50" spans="1:14" x14ac:dyDescent="0.35">
      <c r="A50" s="12" t="s">
        <v>107</v>
      </c>
      <c r="B50" s="12" t="s">
        <v>38</v>
      </c>
      <c r="C50" s="17">
        <v>45597</v>
      </c>
      <c r="D50" s="12" t="s">
        <v>62</v>
      </c>
      <c r="E50" s="12" t="s">
        <v>63</v>
      </c>
      <c r="F50">
        <v>3371</v>
      </c>
      <c r="G50">
        <v>106</v>
      </c>
      <c r="H50">
        <v>327</v>
      </c>
      <c r="I50">
        <v>50565</v>
      </c>
      <c r="J50">
        <v>49816</v>
      </c>
      <c r="K50">
        <v>3804</v>
      </c>
      <c r="L50">
        <v>176</v>
      </c>
      <c r="M50" s="12" t="s">
        <v>53</v>
      </c>
      <c r="N50" s="12" t="s">
        <v>18</v>
      </c>
    </row>
    <row r="51" spans="1:14" x14ac:dyDescent="0.35">
      <c r="A51" s="12" t="s">
        <v>108</v>
      </c>
      <c r="B51" s="12" t="s">
        <v>14</v>
      </c>
      <c r="C51" s="17">
        <v>45779</v>
      </c>
      <c r="D51" s="12" t="s">
        <v>62</v>
      </c>
      <c r="E51" s="12" t="s">
        <v>109</v>
      </c>
      <c r="F51">
        <v>1108</v>
      </c>
      <c r="G51">
        <v>177</v>
      </c>
      <c r="H51">
        <v>212</v>
      </c>
      <c r="I51">
        <v>8864</v>
      </c>
      <c r="J51">
        <v>8710</v>
      </c>
      <c r="K51">
        <v>1497</v>
      </c>
      <c r="L51">
        <v>97</v>
      </c>
      <c r="M51" s="12" t="s">
        <v>27</v>
      </c>
      <c r="N51" s="12" t="s">
        <v>35</v>
      </c>
    </row>
    <row r="52" spans="1:14" x14ac:dyDescent="0.35">
      <c r="A52" s="12" t="s">
        <v>110</v>
      </c>
      <c r="B52" s="12" t="s">
        <v>14</v>
      </c>
      <c r="C52" s="17">
        <v>45712</v>
      </c>
      <c r="D52" s="12" t="s">
        <v>40</v>
      </c>
      <c r="E52" s="12" t="s">
        <v>44</v>
      </c>
      <c r="F52">
        <v>2704</v>
      </c>
      <c r="G52">
        <v>752</v>
      </c>
      <c r="H52">
        <v>153</v>
      </c>
      <c r="I52">
        <v>21632</v>
      </c>
      <c r="J52">
        <v>20792</v>
      </c>
      <c r="K52">
        <v>3609</v>
      </c>
      <c r="L52">
        <v>127</v>
      </c>
      <c r="M52" s="12" t="s">
        <v>53</v>
      </c>
      <c r="N52" s="12"/>
    </row>
    <row r="53" spans="1:14" x14ac:dyDescent="0.35">
      <c r="A53" s="12" t="s">
        <v>112</v>
      </c>
      <c r="B53" s="12" t="s">
        <v>14</v>
      </c>
      <c r="C53" s="17">
        <v>45727</v>
      </c>
      <c r="D53" s="12" t="s">
        <v>32</v>
      </c>
      <c r="E53" s="12" t="s">
        <v>113</v>
      </c>
      <c r="F53">
        <v>1950</v>
      </c>
      <c r="G53">
        <v>295</v>
      </c>
      <c r="H53">
        <v>478</v>
      </c>
      <c r="I53">
        <v>37050</v>
      </c>
      <c r="J53">
        <v>36272</v>
      </c>
      <c r="K53">
        <v>2723</v>
      </c>
      <c r="L53">
        <v>119</v>
      </c>
      <c r="M53" s="12" t="s">
        <v>27</v>
      </c>
      <c r="N53" s="12"/>
    </row>
    <row r="54" spans="1:14" x14ac:dyDescent="0.35">
      <c r="A54" s="12" t="s">
        <v>114</v>
      </c>
      <c r="B54" s="12" t="s">
        <v>14</v>
      </c>
      <c r="C54" s="17">
        <v>45453</v>
      </c>
      <c r="D54" s="12" t="s">
        <v>32</v>
      </c>
      <c r="E54" s="12" t="s">
        <v>113</v>
      </c>
      <c r="F54">
        <v>2164</v>
      </c>
      <c r="G54">
        <v>549</v>
      </c>
      <c r="H54">
        <v>274</v>
      </c>
      <c r="I54">
        <v>28132</v>
      </c>
      <c r="J54">
        <v>27361</v>
      </c>
      <c r="K54">
        <v>2987</v>
      </c>
      <c r="L54">
        <v>177</v>
      </c>
      <c r="M54" s="12" t="s">
        <v>27</v>
      </c>
      <c r="N54" s="12" t="s">
        <v>35</v>
      </c>
    </row>
    <row r="55" spans="1:14" x14ac:dyDescent="0.35">
      <c r="A55" s="12" t="s">
        <v>116</v>
      </c>
      <c r="B55" s="12" t="s">
        <v>24</v>
      </c>
      <c r="C55" s="17">
        <v>45476</v>
      </c>
      <c r="D55" s="12" t="s">
        <v>32</v>
      </c>
      <c r="E55" s="12" t="s">
        <v>117</v>
      </c>
      <c r="F55">
        <v>2754</v>
      </c>
      <c r="G55">
        <v>130</v>
      </c>
      <c r="H55">
        <v>90</v>
      </c>
      <c r="I55">
        <v>22032</v>
      </c>
      <c r="J55">
        <v>21288</v>
      </c>
      <c r="K55">
        <v>2974</v>
      </c>
      <c r="L55">
        <v>112</v>
      </c>
      <c r="M55" s="12" t="s">
        <v>27</v>
      </c>
      <c r="N55" s="12" t="s">
        <v>28</v>
      </c>
    </row>
    <row r="56" spans="1:14" x14ac:dyDescent="0.35">
      <c r="A56" s="12" t="s">
        <v>118</v>
      </c>
      <c r="B56" s="12" t="s">
        <v>38</v>
      </c>
      <c r="C56" s="17">
        <v>45456</v>
      </c>
      <c r="D56" s="12" t="s">
        <v>40</v>
      </c>
      <c r="E56" s="12" t="s">
        <v>41</v>
      </c>
      <c r="F56">
        <v>2200</v>
      </c>
      <c r="G56">
        <v>504</v>
      </c>
      <c r="H56">
        <v>239</v>
      </c>
      <c r="I56">
        <v>37400</v>
      </c>
      <c r="J56">
        <v>36938</v>
      </c>
      <c r="K56">
        <v>2943</v>
      </c>
      <c r="L56">
        <v>225</v>
      </c>
      <c r="M56" s="12" t="s">
        <v>53</v>
      </c>
      <c r="N56" s="12" t="s">
        <v>22</v>
      </c>
    </row>
    <row r="57" spans="1:14" x14ac:dyDescent="0.35">
      <c r="A57" s="12" t="s">
        <v>119</v>
      </c>
      <c r="B57" s="12" t="s">
        <v>38</v>
      </c>
      <c r="C57" s="17">
        <v>45660</v>
      </c>
      <c r="D57" s="12" t="s">
        <v>46</v>
      </c>
      <c r="E57" s="12" t="s">
        <v>51</v>
      </c>
      <c r="F57">
        <v>947</v>
      </c>
      <c r="G57">
        <v>338</v>
      </c>
      <c r="H57">
        <v>350</v>
      </c>
      <c r="I57">
        <v>10417</v>
      </c>
      <c r="J57">
        <v>9730</v>
      </c>
      <c r="K57">
        <v>1635</v>
      </c>
      <c r="L57">
        <v>34</v>
      </c>
      <c r="M57" s="12" t="s">
        <v>27</v>
      </c>
      <c r="N57" s="12" t="s">
        <v>35</v>
      </c>
    </row>
    <row r="58" spans="1:14" x14ac:dyDescent="0.35">
      <c r="A58" s="12" t="s">
        <v>120</v>
      </c>
      <c r="B58" s="12" t="s">
        <v>24</v>
      </c>
      <c r="C58" s="17">
        <v>45712</v>
      </c>
      <c r="D58" s="12" t="s">
        <v>40</v>
      </c>
      <c r="E58" s="12" t="s">
        <v>58</v>
      </c>
      <c r="F58">
        <v>804</v>
      </c>
      <c r="G58">
        <v>639</v>
      </c>
      <c r="H58">
        <v>43</v>
      </c>
      <c r="I58">
        <v>4020</v>
      </c>
      <c r="J58">
        <v>3144</v>
      </c>
      <c r="K58">
        <v>1486</v>
      </c>
      <c r="L58">
        <v>11</v>
      </c>
      <c r="M58" s="12" t="s">
        <v>34</v>
      </c>
      <c r="N58" s="12"/>
    </row>
    <row r="59" spans="1:14" x14ac:dyDescent="0.35">
      <c r="A59" s="12" t="s">
        <v>120</v>
      </c>
      <c r="B59" s="12" t="s">
        <v>24</v>
      </c>
      <c r="C59" s="17">
        <v>45712</v>
      </c>
      <c r="D59" s="12" t="s">
        <v>40</v>
      </c>
      <c r="E59" s="12" t="s">
        <v>58</v>
      </c>
      <c r="F59">
        <v>804</v>
      </c>
      <c r="G59">
        <v>639</v>
      </c>
      <c r="H59">
        <v>43</v>
      </c>
      <c r="I59">
        <v>4020</v>
      </c>
      <c r="J59">
        <v>3144</v>
      </c>
      <c r="K59">
        <v>1486</v>
      </c>
      <c r="L59">
        <v>11</v>
      </c>
      <c r="M59" s="12" t="s">
        <v>432</v>
      </c>
      <c r="N59" s="12"/>
    </row>
    <row r="60" spans="1:14" x14ac:dyDescent="0.35">
      <c r="A60" s="12" t="s">
        <v>121</v>
      </c>
      <c r="B60" s="12" t="s">
        <v>24</v>
      </c>
      <c r="C60" s="17">
        <v>45729</v>
      </c>
      <c r="D60" s="12" t="s">
        <v>40</v>
      </c>
      <c r="E60" s="12" t="s">
        <v>58</v>
      </c>
      <c r="F60">
        <v>1686</v>
      </c>
      <c r="G60">
        <v>904</v>
      </c>
      <c r="H60">
        <v>472</v>
      </c>
      <c r="I60">
        <v>18546</v>
      </c>
      <c r="J60">
        <v>18171</v>
      </c>
      <c r="K60">
        <v>3062</v>
      </c>
      <c r="L60">
        <v>52</v>
      </c>
      <c r="M60" s="12" t="s">
        <v>53</v>
      </c>
      <c r="N60" s="12" t="s">
        <v>22</v>
      </c>
    </row>
    <row r="61" spans="1:14" x14ac:dyDescent="0.35">
      <c r="A61" s="12" t="s">
        <v>122</v>
      </c>
      <c r="B61" s="12" t="s">
        <v>38</v>
      </c>
      <c r="C61" s="17">
        <v>45460</v>
      </c>
      <c r="D61" s="12" t="s">
        <v>46</v>
      </c>
      <c r="E61" s="12" t="s">
        <v>51</v>
      </c>
      <c r="F61">
        <v>1226</v>
      </c>
      <c r="G61">
        <v>119</v>
      </c>
      <c r="H61">
        <v>7</v>
      </c>
      <c r="I61">
        <v>14712</v>
      </c>
      <c r="J61">
        <v>14049</v>
      </c>
      <c r="K61">
        <v>1352</v>
      </c>
      <c r="L61">
        <v>123</v>
      </c>
      <c r="M61" s="12" t="s">
        <v>34</v>
      </c>
      <c r="N61" s="12" t="s">
        <v>35</v>
      </c>
    </row>
    <row r="62" spans="1:14" x14ac:dyDescent="0.35">
      <c r="A62" s="12" t="s">
        <v>124</v>
      </c>
      <c r="B62" s="12" t="s">
        <v>38</v>
      </c>
      <c r="C62" s="17">
        <v>45644</v>
      </c>
      <c r="D62" s="12" t="s">
        <v>40</v>
      </c>
      <c r="E62" s="12" t="s">
        <v>41</v>
      </c>
      <c r="F62">
        <v>2946</v>
      </c>
      <c r="G62">
        <v>498</v>
      </c>
      <c r="H62">
        <v>367</v>
      </c>
      <c r="I62">
        <v>29460</v>
      </c>
      <c r="J62">
        <v>28527</v>
      </c>
      <c r="K62">
        <v>3811</v>
      </c>
      <c r="L62">
        <v>60</v>
      </c>
      <c r="M62" s="12" t="s">
        <v>53</v>
      </c>
      <c r="N62" s="12" t="s">
        <v>28</v>
      </c>
    </row>
    <row r="63" spans="1:14" x14ac:dyDescent="0.35">
      <c r="A63" s="12" t="s">
        <v>125</v>
      </c>
      <c r="B63" s="12" t="s">
        <v>14</v>
      </c>
      <c r="C63" s="17">
        <v>45586</v>
      </c>
      <c r="D63" s="12" t="s">
        <v>62</v>
      </c>
      <c r="E63" s="12" t="s">
        <v>109</v>
      </c>
      <c r="F63">
        <v>2825</v>
      </c>
      <c r="G63">
        <v>535</v>
      </c>
      <c r="H63">
        <v>295</v>
      </c>
      <c r="I63">
        <v>45200</v>
      </c>
      <c r="J63">
        <v>44739</v>
      </c>
      <c r="K63">
        <v>3655</v>
      </c>
      <c r="L63">
        <v>169</v>
      </c>
      <c r="M63" s="12" t="s">
        <v>27</v>
      </c>
      <c r="N63" s="12" t="s">
        <v>18</v>
      </c>
    </row>
    <row r="64" spans="1:14" x14ac:dyDescent="0.35">
      <c r="A64" s="12" t="s">
        <v>127</v>
      </c>
      <c r="B64" s="12" t="s">
        <v>30</v>
      </c>
      <c r="C64" s="17">
        <v>45762</v>
      </c>
      <c r="D64" s="12" t="s">
        <v>16</v>
      </c>
      <c r="E64" s="12" t="s">
        <v>70</v>
      </c>
      <c r="F64">
        <v>103</v>
      </c>
      <c r="G64">
        <v>770</v>
      </c>
      <c r="H64">
        <v>19</v>
      </c>
      <c r="I64">
        <v>1030</v>
      </c>
      <c r="J64">
        <v>410</v>
      </c>
      <c r="K64">
        <v>892</v>
      </c>
      <c r="L64">
        <v>262</v>
      </c>
      <c r="M64" s="12" t="s">
        <v>27</v>
      </c>
      <c r="N64" s="12" t="s">
        <v>35</v>
      </c>
    </row>
    <row r="65" spans="1:14" x14ac:dyDescent="0.35">
      <c r="A65" s="12" t="s">
        <v>128</v>
      </c>
      <c r="B65" s="12" t="s">
        <v>30</v>
      </c>
      <c r="C65" s="17">
        <v>45465</v>
      </c>
      <c r="D65" s="12" t="s">
        <v>20</v>
      </c>
      <c r="E65" s="12" t="s">
        <v>89</v>
      </c>
      <c r="F65">
        <v>2180</v>
      </c>
      <c r="G65">
        <v>263</v>
      </c>
      <c r="H65">
        <v>387</v>
      </c>
      <c r="I65">
        <v>30520</v>
      </c>
      <c r="J65">
        <v>30059</v>
      </c>
      <c r="K65">
        <v>2830</v>
      </c>
      <c r="L65">
        <v>174</v>
      </c>
      <c r="M65" s="12" t="s">
        <v>34</v>
      </c>
      <c r="N65" s="12"/>
    </row>
    <row r="66" spans="1:14" x14ac:dyDescent="0.35">
      <c r="A66" s="12" t="s">
        <v>129</v>
      </c>
      <c r="B66" s="12" t="s">
        <v>30</v>
      </c>
      <c r="C66" s="17">
        <v>45685</v>
      </c>
      <c r="D66" s="12" t="s">
        <v>62</v>
      </c>
      <c r="E66" s="12" t="s">
        <v>72</v>
      </c>
      <c r="F66">
        <v>904</v>
      </c>
      <c r="G66">
        <v>973</v>
      </c>
      <c r="H66">
        <v>63</v>
      </c>
      <c r="I66">
        <v>11752</v>
      </c>
      <c r="J66">
        <v>11580</v>
      </c>
      <c r="K66">
        <v>1940</v>
      </c>
      <c r="L66">
        <v>84</v>
      </c>
      <c r="M66" s="12" t="s">
        <v>34</v>
      </c>
      <c r="N66" s="12" t="s">
        <v>28</v>
      </c>
    </row>
    <row r="67" spans="1:14" x14ac:dyDescent="0.35">
      <c r="A67" s="12" t="s">
        <v>129</v>
      </c>
      <c r="B67" s="12" t="s">
        <v>30</v>
      </c>
      <c r="C67" s="17">
        <v>45685</v>
      </c>
      <c r="D67" s="12" t="s">
        <v>62</v>
      </c>
      <c r="E67" s="12" t="s">
        <v>72</v>
      </c>
      <c r="F67">
        <v>904</v>
      </c>
      <c r="G67">
        <v>973</v>
      </c>
      <c r="H67">
        <v>63</v>
      </c>
      <c r="I67">
        <v>11752</v>
      </c>
      <c r="J67">
        <v>11580</v>
      </c>
      <c r="K67">
        <v>1940</v>
      </c>
      <c r="L67">
        <v>84</v>
      </c>
      <c r="M67" s="12" t="s">
        <v>27</v>
      </c>
      <c r="N67" s="12" t="s">
        <v>28</v>
      </c>
    </row>
    <row r="68" spans="1:14" x14ac:dyDescent="0.35">
      <c r="A68" s="12" t="s">
        <v>129</v>
      </c>
      <c r="B68" s="12" t="s">
        <v>30</v>
      </c>
      <c r="C68" s="17">
        <v>45685</v>
      </c>
      <c r="D68" s="12" t="s">
        <v>62</v>
      </c>
      <c r="E68" s="12" t="s">
        <v>72</v>
      </c>
      <c r="F68">
        <v>904</v>
      </c>
      <c r="G68">
        <v>973</v>
      </c>
      <c r="H68">
        <v>63</v>
      </c>
      <c r="I68">
        <v>11752</v>
      </c>
      <c r="J68">
        <v>11580</v>
      </c>
      <c r="K68">
        <v>1940</v>
      </c>
      <c r="L68">
        <v>84</v>
      </c>
      <c r="M68" s="12" t="s">
        <v>431</v>
      </c>
      <c r="N68" s="12" t="s">
        <v>28</v>
      </c>
    </row>
    <row r="69" spans="1:14" x14ac:dyDescent="0.35">
      <c r="A69" s="12" t="s">
        <v>130</v>
      </c>
      <c r="B69" s="12" t="s">
        <v>14</v>
      </c>
      <c r="C69" s="17">
        <v>45540</v>
      </c>
      <c r="D69" s="12" t="s">
        <v>62</v>
      </c>
      <c r="E69" s="12" t="s">
        <v>109</v>
      </c>
      <c r="F69">
        <v>4886</v>
      </c>
      <c r="G69">
        <v>983</v>
      </c>
      <c r="H69">
        <v>409</v>
      </c>
      <c r="I69">
        <v>43974</v>
      </c>
      <c r="J69">
        <v>43239</v>
      </c>
      <c r="K69">
        <v>6278</v>
      </c>
      <c r="L69">
        <v>65</v>
      </c>
      <c r="M69" s="12" t="s">
        <v>27</v>
      </c>
      <c r="N69" s="12" t="s">
        <v>18</v>
      </c>
    </row>
    <row r="70" spans="1:14" x14ac:dyDescent="0.35">
      <c r="A70" s="12" t="s">
        <v>131</v>
      </c>
      <c r="B70" s="12" t="s">
        <v>14</v>
      </c>
      <c r="C70" s="17">
        <v>45618</v>
      </c>
      <c r="D70" s="12" t="s">
        <v>40</v>
      </c>
      <c r="E70" s="12" t="s">
        <v>44</v>
      </c>
      <c r="F70">
        <v>53</v>
      </c>
      <c r="G70">
        <v>81</v>
      </c>
      <c r="H70">
        <v>379</v>
      </c>
      <c r="I70">
        <v>954</v>
      </c>
      <c r="J70">
        <v>7</v>
      </c>
      <c r="K70">
        <v>513</v>
      </c>
      <c r="L70">
        <v>148</v>
      </c>
      <c r="M70" s="12" t="s">
        <v>27</v>
      </c>
      <c r="N70" s="12" t="s">
        <v>28</v>
      </c>
    </row>
    <row r="71" spans="1:14" x14ac:dyDescent="0.35">
      <c r="A71" s="12" t="s">
        <v>132</v>
      </c>
      <c r="B71" s="12" t="s">
        <v>14</v>
      </c>
      <c r="C71" s="17">
        <v>45504</v>
      </c>
      <c r="D71" s="12" t="s">
        <v>40</v>
      </c>
      <c r="E71" s="12" t="s">
        <v>44</v>
      </c>
      <c r="F71">
        <v>4507</v>
      </c>
      <c r="G71">
        <v>217</v>
      </c>
      <c r="H71">
        <v>13</v>
      </c>
      <c r="I71">
        <v>90140</v>
      </c>
      <c r="J71">
        <v>89591</v>
      </c>
      <c r="K71">
        <v>4737</v>
      </c>
      <c r="L71">
        <v>125</v>
      </c>
      <c r="M71" s="12" t="s">
        <v>53</v>
      </c>
      <c r="N71" s="12" t="s">
        <v>28</v>
      </c>
    </row>
    <row r="72" spans="1:14" x14ac:dyDescent="0.35">
      <c r="A72" s="12" t="s">
        <v>133</v>
      </c>
      <c r="B72" s="12" t="s">
        <v>38</v>
      </c>
      <c r="C72" s="17">
        <v>45521</v>
      </c>
      <c r="D72" s="12" t="s">
        <v>46</v>
      </c>
      <c r="E72" s="12" t="s">
        <v>51</v>
      </c>
      <c r="F72">
        <v>2878</v>
      </c>
      <c r="G72">
        <v>248</v>
      </c>
      <c r="H72">
        <v>416</v>
      </c>
      <c r="I72">
        <v>43170</v>
      </c>
      <c r="J72">
        <v>42667</v>
      </c>
      <c r="K72">
        <v>3542</v>
      </c>
      <c r="L72">
        <v>75</v>
      </c>
      <c r="M72" s="12" t="s">
        <v>53</v>
      </c>
      <c r="N72" s="12" t="s">
        <v>28</v>
      </c>
    </row>
    <row r="73" spans="1:14" x14ac:dyDescent="0.35">
      <c r="A73" s="12" t="s">
        <v>134</v>
      </c>
      <c r="B73" s="12" t="s">
        <v>30</v>
      </c>
      <c r="C73" s="17">
        <v>45744</v>
      </c>
      <c r="D73" s="12" t="s">
        <v>32</v>
      </c>
      <c r="E73" s="12" t="s">
        <v>33</v>
      </c>
      <c r="F73">
        <v>1881</v>
      </c>
      <c r="G73">
        <v>501</v>
      </c>
      <c r="H73">
        <v>99</v>
      </c>
      <c r="I73">
        <v>20691</v>
      </c>
      <c r="J73">
        <v>19987</v>
      </c>
      <c r="K73">
        <v>2481</v>
      </c>
      <c r="L73">
        <v>289</v>
      </c>
      <c r="M73" s="12" t="s">
        <v>34</v>
      </c>
      <c r="N73" s="12"/>
    </row>
    <row r="74" spans="1:14" x14ac:dyDescent="0.35">
      <c r="A74" s="12" t="s">
        <v>135</v>
      </c>
      <c r="B74" s="12" t="s">
        <v>14</v>
      </c>
      <c r="C74" s="17">
        <v>45499</v>
      </c>
      <c r="D74" s="12" t="s">
        <v>40</v>
      </c>
      <c r="E74" s="12" t="s">
        <v>44</v>
      </c>
      <c r="F74">
        <v>432</v>
      </c>
      <c r="G74">
        <v>171</v>
      </c>
      <c r="H74">
        <v>280</v>
      </c>
      <c r="I74">
        <v>3024</v>
      </c>
      <c r="J74">
        <v>2285</v>
      </c>
      <c r="K74">
        <v>883</v>
      </c>
      <c r="L74">
        <v>184</v>
      </c>
      <c r="M74" s="12" t="s">
        <v>34</v>
      </c>
      <c r="N74" s="12" t="s">
        <v>18</v>
      </c>
    </row>
    <row r="75" spans="1:14" x14ac:dyDescent="0.35">
      <c r="A75" s="12" t="s">
        <v>136</v>
      </c>
      <c r="B75" s="12" t="s">
        <v>38</v>
      </c>
      <c r="C75" s="17">
        <v>45745</v>
      </c>
      <c r="D75" s="12" t="s">
        <v>40</v>
      </c>
      <c r="E75" s="12" t="s">
        <v>41</v>
      </c>
      <c r="F75">
        <v>4712</v>
      </c>
      <c r="G75">
        <v>568</v>
      </c>
      <c r="H75">
        <v>127</v>
      </c>
      <c r="I75">
        <v>84816</v>
      </c>
      <c r="J75">
        <v>84691</v>
      </c>
      <c r="K75">
        <v>5407</v>
      </c>
      <c r="L75">
        <v>100</v>
      </c>
      <c r="M75" s="12" t="s">
        <v>34</v>
      </c>
      <c r="N75" s="12" t="s">
        <v>28</v>
      </c>
    </row>
    <row r="76" spans="1:14" x14ac:dyDescent="0.35">
      <c r="A76" s="12" t="s">
        <v>137</v>
      </c>
      <c r="B76" s="12" t="s">
        <v>30</v>
      </c>
      <c r="C76" s="17">
        <v>45634</v>
      </c>
      <c r="D76" s="12" t="s">
        <v>32</v>
      </c>
      <c r="E76" s="12" t="s">
        <v>33</v>
      </c>
      <c r="F76">
        <v>2610</v>
      </c>
      <c r="G76">
        <v>126</v>
      </c>
      <c r="H76">
        <v>288</v>
      </c>
      <c r="I76">
        <v>15660</v>
      </c>
      <c r="J76">
        <v>15145</v>
      </c>
      <c r="K76">
        <v>3024</v>
      </c>
      <c r="L76">
        <v>73</v>
      </c>
      <c r="M76" s="12" t="s">
        <v>34</v>
      </c>
      <c r="N76" s="12"/>
    </row>
    <row r="77" spans="1:14" x14ac:dyDescent="0.35">
      <c r="A77" s="12" t="s">
        <v>138</v>
      </c>
      <c r="B77" s="12" t="s">
        <v>14</v>
      </c>
      <c r="C77" s="17">
        <v>45724</v>
      </c>
      <c r="D77" s="12" t="s">
        <v>20</v>
      </c>
      <c r="E77" s="12" t="s">
        <v>21</v>
      </c>
      <c r="F77">
        <v>1292</v>
      </c>
      <c r="G77">
        <v>626</v>
      </c>
      <c r="H77">
        <v>496</v>
      </c>
      <c r="I77">
        <v>25840</v>
      </c>
      <c r="J77">
        <v>24916</v>
      </c>
      <c r="K77">
        <v>2414</v>
      </c>
      <c r="L77">
        <v>149</v>
      </c>
      <c r="M77" s="12" t="s">
        <v>53</v>
      </c>
      <c r="N77" s="12" t="s">
        <v>28</v>
      </c>
    </row>
    <row r="78" spans="1:14" x14ac:dyDescent="0.35">
      <c r="A78" s="12" t="s">
        <v>139</v>
      </c>
      <c r="B78" s="12" t="s">
        <v>38</v>
      </c>
      <c r="C78" s="17">
        <v>45749</v>
      </c>
      <c r="D78" s="12" t="s">
        <v>62</v>
      </c>
      <c r="E78" s="12" t="s">
        <v>63</v>
      </c>
      <c r="F78">
        <v>199</v>
      </c>
      <c r="G78">
        <v>772</v>
      </c>
      <c r="H78">
        <v>400</v>
      </c>
      <c r="I78">
        <v>3582</v>
      </c>
      <c r="J78">
        <v>2988</v>
      </c>
      <c r="K78">
        <v>1371</v>
      </c>
      <c r="L78">
        <v>43</v>
      </c>
      <c r="M78" s="12" t="s">
        <v>27</v>
      </c>
      <c r="N78" s="12"/>
    </row>
    <row r="79" spans="1:14" x14ac:dyDescent="0.35">
      <c r="A79" s="12" t="s">
        <v>140</v>
      </c>
      <c r="B79" s="12" t="s">
        <v>24</v>
      </c>
      <c r="C79" s="17">
        <v>45537</v>
      </c>
      <c r="D79" s="12" t="s">
        <v>40</v>
      </c>
      <c r="E79" s="12" t="s">
        <v>58</v>
      </c>
      <c r="F79">
        <v>2551</v>
      </c>
      <c r="G79">
        <v>915</v>
      </c>
      <c r="H79">
        <v>205</v>
      </c>
      <c r="I79">
        <v>30612</v>
      </c>
      <c r="J79">
        <v>30360</v>
      </c>
      <c r="K79">
        <v>3671</v>
      </c>
      <c r="L79">
        <v>227</v>
      </c>
      <c r="M79" s="12" t="s">
        <v>27</v>
      </c>
      <c r="N79" s="12" t="s">
        <v>22</v>
      </c>
    </row>
    <row r="80" spans="1:14" x14ac:dyDescent="0.35">
      <c r="A80" s="12" t="s">
        <v>142</v>
      </c>
      <c r="B80" s="12" t="s">
        <v>24</v>
      </c>
      <c r="C80" s="17">
        <v>45719</v>
      </c>
      <c r="D80" s="12" t="s">
        <v>16</v>
      </c>
      <c r="E80" s="12" t="s">
        <v>26</v>
      </c>
      <c r="F80">
        <v>296</v>
      </c>
      <c r="G80">
        <v>60</v>
      </c>
      <c r="H80">
        <v>141</v>
      </c>
      <c r="I80">
        <v>5624</v>
      </c>
      <c r="J80">
        <v>5239</v>
      </c>
      <c r="K80">
        <v>497</v>
      </c>
      <c r="L80">
        <v>88</v>
      </c>
      <c r="M80" s="12" t="s">
        <v>34</v>
      </c>
      <c r="N80" s="12" t="s">
        <v>22</v>
      </c>
    </row>
    <row r="81" spans="1:14" x14ac:dyDescent="0.35">
      <c r="A81" s="12" t="s">
        <v>144</v>
      </c>
      <c r="B81" s="12" t="s">
        <v>38</v>
      </c>
      <c r="C81" s="17">
        <v>45583</v>
      </c>
      <c r="D81" s="12" t="s">
        <v>32</v>
      </c>
      <c r="E81" s="12" t="s">
        <v>60</v>
      </c>
      <c r="F81">
        <v>4126</v>
      </c>
      <c r="G81">
        <v>426</v>
      </c>
      <c r="H81">
        <v>486</v>
      </c>
      <c r="I81">
        <v>78394</v>
      </c>
      <c r="J81">
        <v>77798</v>
      </c>
      <c r="K81">
        <v>5038</v>
      </c>
      <c r="L81">
        <v>88</v>
      </c>
      <c r="M81" s="12" t="s">
        <v>53</v>
      </c>
      <c r="N81" s="12" t="s">
        <v>35</v>
      </c>
    </row>
    <row r="82" spans="1:14" x14ac:dyDescent="0.35">
      <c r="A82" s="12" t="s">
        <v>145</v>
      </c>
      <c r="B82" s="12" t="s">
        <v>24</v>
      </c>
      <c r="C82" s="17">
        <v>45593</v>
      </c>
      <c r="D82" s="12" t="s">
        <v>16</v>
      </c>
      <c r="E82" s="12" t="s">
        <v>26</v>
      </c>
      <c r="F82">
        <v>1855</v>
      </c>
      <c r="G82">
        <v>200</v>
      </c>
      <c r="H82">
        <v>174</v>
      </c>
      <c r="I82">
        <v>16695</v>
      </c>
      <c r="J82">
        <v>16330</v>
      </c>
      <c r="K82">
        <v>2229</v>
      </c>
      <c r="L82">
        <v>123</v>
      </c>
      <c r="M82" s="12" t="s">
        <v>27</v>
      </c>
      <c r="N82" s="12" t="s">
        <v>28</v>
      </c>
    </row>
    <row r="83" spans="1:14" x14ac:dyDescent="0.35">
      <c r="A83" s="12" t="s">
        <v>147</v>
      </c>
      <c r="B83" s="12" t="s">
        <v>30</v>
      </c>
      <c r="C83" s="17">
        <v>45505</v>
      </c>
      <c r="D83" s="12" t="s">
        <v>16</v>
      </c>
      <c r="E83" s="12" t="s">
        <v>70</v>
      </c>
      <c r="F83">
        <v>1674</v>
      </c>
      <c r="G83">
        <v>929</v>
      </c>
      <c r="H83">
        <v>37</v>
      </c>
      <c r="I83">
        <v>21762</v>
      </c>
      <c r="J83">
        <v>20998</v>
      </c>
      <c r="K83">
        <v>2640</v>
      </c>
      <c r="L83">
        <v>255</v>
      </c>
      <c r="M83" s="12" t="s">
        <v>27</v>
      </c>
      <c r="N83" s="12" t="s">
        <v>35</v>
      </c>
    </row>
    <row r="84" spans="1:14" x14ac:dyDescent="0.35">
      <c r="A84" s="12" t="s">
        <v>148</v>
      </c>
      <c r="B84" s="12" t="s">
        <v>14</v>
      </c>
      <c r="C84" s="17">
        <v>45603</v>
      </c>
      <c r="D84" s="12" t="s">
        <v>32</v>
      </c>
      <c r="E84" s="12" t="s">
        <v>113</v>
      </c>
      <c r="F84">
        <v>1121</v>
      </c>
      <c r="G84">
        <v>135</v>
      </c>
      <c r="H84">
        <v>18</v>
      </c>
      <c r="I84">
        <v>15694</v>
      </c>
      <c r="J84">
        <v>14957</v>
      </c>
      <c r="K84">
        <v>1274</v>
      </c>
      <c r="L84">
        <v>99</v>
      </c>
      <c r="M84" s="12" t="s">
        <v>27</v>
      </c>
      <c r="N84" s="12" t="s">
        <v>35</v>
      </c>
    </row>
    <row r="85" spans="1:14" x14ac:dyDescent="0.35">
      <c r="A85" s="12" t="s">
        <v>149</v>
      </c>
      <c r="B85" s="12" t="s">
        <v>38</v>
      </c>
      <c r="C85" s="17">
        <v>45720</v>
      </c>
      <c r="D85" s="12" t="s">
        <v>32</v>
      </c>
      <c r="E85" s="12" t="s">
        <v>60</v>
      </c>
      <c r="F85">
        <v>1249</v>
      </c>
      <c r="G85">
        <v>116</v>
      </c>
      <c r="H85">
        <v>420</v>
      </c>
      <c r="I85">
        <v>8743</v>
      </c>
      <c r="J85">
        <v>8538</v>
      </c>
      <c r="K85">
        <v>1785</v>
      </c>
      <c r="L85">
        <v>63</v>
      </c>
      <c r="M85" s="12" t="s">
        <v>27</v>
      </c>
      <c r="N85" s="12"/>
    </row>
    <row r="86" spans="1:14" x14ac:dyDescent="0.35">
      <c r="A86" s="12" t="s">
        <v>150</v>
      </c>
      <c r="B86" s="12" t="s">
        <v>14</v>
      </c>
      <c r="C86" s="17">
        <v>45460</v>
      </c>
      <c r="D86" s="12" t="s">
        <v>46</v>
      </c>
      <c r="E86" s="12" t="s">
        <v>102</v>
      </c>
      <c r="F86">
        <v>954</v>
      </c>
      <c r="G86">
        <v>324</v>
      </c>
      <c r="H86">
        <v>288</v>
      </c>
      <c r="I86">
        <v>19080</v>
      </c>
      <c r="J86">
        <v>18859</v>
      </c>
      <c r="K86">
        <v>1566</v>
      </c>
      <c r="L86">
        <v>21</v>
      </c>
      <c r="M86" s="12" t="s">
        <v>53</v>
      </c>
      <c r="N86" s="12" t="s">
        <v>35</v>
      </c>
    </row>
    <row r="87" spans="1:14" x14ac:dyDescent="0.35">
      <c r="A87" s="12" t="s">
        <v>151</v>
      </c>
      <c r="B87" s="12" t="s">
        <v>30</v>
      </c>
      <c r="C87" s="17">
        <v>45574</v>
      </c>
      <c r="D87" s="12" t="s">
        <v>40</v>
      </c>
      <c r="E87" s="12" t="s">
        <v>75</v>
      </c>
      <c r="F87">
        <v>3068</v>
      </c>
      <c r="G87">
        <v>137</v>
      </c>
      <c r="H87">
        <v>329</v>
      </c>
      <c r="I87">
        <v>39884</v>
      </c>
      <c r="J87">
        <v>39404</v>
      </c>
      <c r="K87">
        <v>3534</v>
      </c>
      <c r="L87">
        <v>266</v>
      </c>
      <c r="M87" s="12" t="s">
        <v>34</v>
      </c>
      <c r="N87" s="12" t="s">
        <v>22</v>
      </c>
    </row>
    <row r="88" spans="1:14" x14ac:dyDescent="0.35">
      <c r="A88" s="12" t="s">
        <v>152</v>
      </c>
      <c r="B88" s="12" t="s">
        <v>30</v>
      </c>
      <c r="C88" s="17">
        <v>45456</v>
      </c>
      <c r="D88" s="12" t="s">
        <v>32</v>
      </c>
      <c r="E88" s="12" t="s">
        <v>33</v>
      </c>
      <c r="F88">
        <v>2103</v>
      </c>
      <c r="G88">
        <v>892</v>
      </c>
      <c r="H88">
        <v>103</v>
      </c>
      <c r="I88">
        <v>39957</v>
      </c>
      <c r="J88">
        <v>39466</v>
      </c>
      <c r="K88">
        <v>3098</v>
      </c>
      <c r="L88">
        <v>28</v>
      </c>
      <c r="M88" s="12" t="s">
        <v>53</v>
      </c>
      <c r="N88" s="12"/>
    </row>
    <row r="89" spans="1:14" x14ac:dyDescent="0.35">
      <c r="A89" s="12" t="s">
        <v>153</v>
      </c>
      <c r="B89" s="12" t="s">
        <v>30</v>
      </c>
      <c r="C89" s="17">
        <v>45584</v>
      </c>
      <c r="D89" s="12" t="s">
        <v>32</v>
      </c>
      <c r="E89" s="12" t="s">
        <v>33</v>
      </c>
      <c r="F89">
        <v>1816</v>
      </c>
      <c r="G89">
        <v>29</v>
      </c>
      <c r="H89">
        <v>41</v>
      </c>
      <c r="I89">
        <v>19976</v>
      </c>
      <c r="J89">
        <v>19262</v>
      </c>
      <c r="K89">
        <v>1886</v>
      </c>
      <c r="L89">
        <v>283</v>
      </c>
      <c r="M89" s="12" t="s">
        <v>27</v>
      </c>
      <c r="N89" s="12" t="s">
        <v>28</v>
      </c>
    </row>
    <row r="90" spans="1:14" x14ac:dyDescent="0.35">
      <c r="A90" s="12" t="s">
        <v>154</v>
      </c>
      <c r="B90" s="12" t="s">
        <v>30</v>
      </c>
      <c r="C90" s="17">
        <v>45497</v>
      </c>
      <c r="D90" s="12" t="s">
        <v>46</v>
      </c>
      <c r="E90" s="12" t="s">
        <v>155</v>
      </c>
      <c r="F90">
        <v>725</v>
      </c>
      <c r="G90">
        <v>88</v>
      </c>
      <c r="H90">
        <v>428</v>
      </c>
      <c r="I90">
        <v>14500</v>
      </c>
      <c r="J90">
        <v>13637</v>
      </c>
      <c r="K90">
        <v>1241</v>
      </c>
      <c r="L90">
        <v>200</v>
      </c>
      <c r="M90" s="12" t="s">
        <v>53</v>
      </c>
      <c r="N90" s="12" t="s">
        <v>28</v>
      </c>
    </row>
    <row r="91" spans="1:14" x14ac:dyDescent="0.35">
      <c r="A91" s="12" t="s">
        <v>154</v>
      </c>
      <c r="B91" s="12" t="s">
        <v>30</v>
      </c>
      <c r="C91" s="17">
        <v>45497</v>
      </c>
      <c r="D91" s="12" t="s">
        <v>46</v>
      </c>
      <c r="E91" s="12" t="s">
        <v>155</v>
      </c>
      <c r="F91">
        <v>725</v>
      </c>
      <c r="G91">
        <v>88</v>
      </c>
      <c r="H91">
        <v>428</v>
      </c>
      <c r="I91">
        <v>14500</v>
      </c>
      <c r="J91">
        <v>13637</v>
      </c>
      <c r="K91">
        <v>1241</v>
      </c>
      <c r="L91">
        <v>200</v>
      </c>
      <c r="M91" s="12" t="s">
        <v>27</v>
      </c>
      <c r="N91" s="12" t="s">
        <v>28</v>
      </c>
    </row>
    <row r="92" spans="1:14" x14ac:dyDescent="0.35">
      <c r="A92" s="12" t="s">
        <v>154</v>
      </c>
      <c r="B92" s="12" t="s">
        <v>30</v>
      </c>
      <c r="C92" s="17">
        <v>45497</v>
      </c>
      <c r="D92" s="12" t="s">
        <v>46</v>
      </c>
      <c r="E92" s="12" t="s">
        <v>155</v>
      </c>
      <c r="F92">
        <v>725</v>
      </c>
      <c r="G92">
        <v>88</v>
      </c>
      <c r="H92">
        <v>428</v>
      </c>
      <c r="I92">
        <v>14500</v>
      </c>
      <c r="J92">
        <v>13637</v>
      </c>
      <c r="K92">
        <v>1241</v>
      </c>
      <c r="L92">
        <v>200</v>
      </c>
      <c r="M92" s="12" t="s">
        <v>431</v>
      </c>
      <c r="N92" s="12" t="s">
        <v>28</v>
      </c>
    </row>
    <row r="93" spans="1:14" x14ac:dyDescent="0.35">
      <c r="A93" s="12" t="s">
        <v>156</v>
      </c>
      <c r="B93" s="12" t="s">
        <v>24</v>
      </c>
      <c r="C93" s="17">
        <v>45580</v>
      </c>
      <c r="D93" s="12" t="s">
        <v>62</v>
      </c>
      <c r="E93" s="12" t="s">
        <v>157</v>
      </c>
      <c r="F93">
        <v>1094</v>
      </c>
      <c r="G93">
        <v>472</v>
      </c>
      <c r="H93">
        <v>21</v>
      </c>
      <c r="I93">
        <v>9846</v>
      </c>
      <c r="J93">
        <v>9609</v>
      </c>
      <c r="K93">
        <v>1587</v>
      </c>
      <c r="L93">
        <v>112</v>
      </c>
      <c r="M93" s="12" t="s">
        <v>34</v>
      </c>
      <c r="N93" s="12"/>
    </row>
    <row r="94" spans="1:14" x14ac:dyDescent="0.35">
      <c r="A94" s="12" t="s">
        <v>158</v>
      </c>
      <c r="B94" s="12" t="s">
        <v>38</v>
      </c>
      <c r="C94" s="17">
        <v>45635</v>
      </c>
      <c r="D94" s="12" t="s">
        <v>46</v>
      </c>
      <c r="E94" s="12" t="s">
        <v>51</v>
      </c>
      <c r="F94">
        <v>1841</v>
      </c>
      <c r="G94">
        <v>851</v>
      </c>
      <c r="H94">
        <v>342</v>
      </c>
      <c r="I94">
        <v>34979</v>
      </c>
      <c r="J94">
        <v>34154</v>
      </c>
      <c r="K94">
        <v>3034</v>
      </c>
      <c r="L94">
        <v>255</v>
      </c>
      <c r="M94" s="12" t="s">
        <v>53</v>
      </c>
      <c r="N94" s="12" t="s">
        <v>35</v>
      </c>
    </row>
    <row r="95" spans="1:14" x14ac:dyDescent="0.35">
      <c r="A95" s="12" t="s">
        <v>160</v>
      </c>
      <c r="B95" s="12" t="s">
        <v>30</v>
      </c>
      <c r="C95" s="17">
        <v>45766</v>
      </c>
      <c r="D95" s="12" t="s">
        <v>46</v>
      </c>
      <c r="E95" s="12" t="s">
        <v>155</v>
      </c>
      <c r="F95">
        <v>4177</v>
      </c>
      <c r="G95">
        <v>569</v>
      </c>
      <c r="H95">
        <v>55</v>
      </c>
      <c r="I95">
        <v>25062</v>
      </c>
      <c r="J95">
        <v>24847</v>
      </c>
      <c r="K95">
        <v>4801</v>
      </c>
      <c r="L95">
        <v>230</v>
      </c>
      <c r="M95" s="12" t="s">
        <v>53</v>
      </c>
      <c r="N95" s="12" t="s">
        <v>18</v>
      </c>
    </row>
    <row r="96" spans="1:14" x14ac:dyDescent="0.35">
      <c r="A96" s="12" t="s">
        <v>161</v>
      </c>
      <c r="B96" s="12" t="s">
        <v>24</v>
      </c>
      <c r="C96" s="17">
        <v>45684</v>
      </c>
      <c r="D96" s="12" t="s">
        <v>20</v>
      </c>
      <c r="E96" s="12" t="s">
        <v>83</v>
      </c>
      <c r="F96">
        <v>3428</v>
      </c>
      <c r="G96">
        <v>305</v>
      </c>
      <c r="H96">
        <v>85</v>
      </c>
      <c r="I96">
        <v>58276</v>
      </c>
      <c r="J96">
        <v>58052</v>
      </c>
      <c r="K96">
        <v>3818</v>
      </c>
      <c r="L96">
        <v>242</v>
      </c>
      <c r="M96" s="12" t="s">
        <v>34</v>
      </c>
      <c r="N96" s="12" t="s">
        <v>35</v>
      </c>
    </row>
    <row r="97" spans="1:14" x14ac:dyDescent="0.35">
      <c r="A97" s="12" t="s">
        <v>161</v>
      </c>
      <c r="B97" s="12" t="s">
        <v>24</v>
      </c>
      <c r="C97" s="17">
        <v>45684</v>
      </c>
      <c r="D97" s="12" t="s">
        <v>20</v>
      </c>
      <c r="E97" s="12" t="s">
        <v>83</v>
      </c>
      <c r="F97">
        <v>3428</v>
      </c>
      <c r="G97">
        <v>305</v>
      </c>
      <c r="H97">
        <v>85</v>
      </c>
      <c r="I97">
        <v>58276</v>
      </c>
      <c r="J97">
        <v>58052</v>
      </c>
      <c r="K97">
        <v>3818</v>
      </c>
      <c r="L97">
        <v>242</v>
      </c>
      <c r="M97" s="12" t="s">
        <v>432</v>
      </c>
      <c r="N97" s="12" t="s">
        <v>35</v>
      </c>
    </row>
    <row r="98" spans="1:14" x14ac:dyDescent="0.35">
      <c r="A98" s="12" t="s">
        <v>163</v>
      </c>
      <c r="B98" s="12" t="s">
        <v>14</v>
      </c>
      <c r="C98" s="17">
        <v>45449</v>
      </c>
      <c r="D98" s="12" t="s">
        <v>62</v>
      </c>
      <c r="E98" s="12" t="s">
        <v>109</v>
      </c>
      <c r="F98">
        <v>1436</v>
      </c>
      <c r="G98">
        <v>765</v>
      </c>
      <c r="H98">
        <v>496</v>
      </c>
      <c r="I98">
        <v>12924</v>
      </c>
      <c r="J98">
        <v>12701</v>
      </c>
      <c r="K98">
        <v>2697</v>
      </c>
      <c r="L98">
        <v>197</v>
      </c>
      <c r="M98" s="12" t="s">
        <v>53</v>
      </c>
      <c r="N98" s="12" t="s">
        <v>28</v>
      </c>
    </row>
    <row r="99" spans="1:14" x14ac:dyDescent="0.35">
      <c r="A99" s="12" t="s">
        <v>164</v>
      </c>
      <c r="B99" s="12" t="s">
        <v>38</v>
      </c>
      <c r="C99" s="17">
        <v>45480</v>
      </c>
      <c r="D99" s="12" t="s">
        <v>32</v>
      </c>
      <c r="E99" s="12" t="s">
        <v>60</v>
      </c>
      <c r="F99">
        <v>302</v>
      </c>
      <c r="G99">
        <v>47</v>
      </c>
      <c r="H99">
        <v>430</v>
      </c>
      <c r="I99">
        <v>5738</v>
      </c>
      <c r="J99">
        <v>4890</v>
      </c>
      <c r="K99">
        <v>779</v>
      </c>
      <c r="L99">
        <v>25</v>
      </c>
      <c r="M99" s="12" t="s">
        <v>27</v>
      </c>
      <c r="N99" s="12" t="s">
        <v>35</v>
      </c>
    </row>
    <row r="100" spans="1:14" x14ac:dyDescent="0.35">
      <c r="A100" s="12" t="s">
        <v>165</v>
      </c>
      <c r="B100" s="12" t="s">
        <v>14</v>
      </c>
      <c r="C100" s="17">
        <v>45667</v>
      </c>
      <c r="D100" s="12" t="s">
        <v>46</v>
      </c>
      <c r="E100" s="12" t="s">
        <v>102</v>
      </c>
      <c r="F100">
        <v>2214</v>
      </c>
      <c r="G100">
        <v>249</v>
      </c>
      <c r="H100">
        <v>152</v>
      </c>
      <c r="I100">
        <v>15498</v>
      </c>
      <c r="J100">
        <v>14800</v>
      </c>
      <c r="K100">
        <v>2615</v>
      </c>
      <c r="L100">
        <v>180</v>
      </c>
      <c r="M100" s="12" t="s">
        <v>34</v>
      </c>
      <c r="N100" s="12"/>
    </row>
    <row r="101" spans="1:14" x14ac:dyDescent="0.35">
      <c r="A101" s="12" t="s">
        <v>167</v>
      </c>
      <c r="B101" s="12" t="s">
        <v>30</v>
      </c>
      <c r="C101" s="17">
        <v>45446</v>
      </c>
      <c r="D101" s="12" t="s">
        <v>46</v>
      </c>
      <c r="E101" s="12" t="s">
        <v>155</v>
      </c>
      <c r="F101">
        <v>3861</v>
      </c>
      <c r="G101">
        <v>960</v>
      </c>
      <c r="H101">
        <v>101</v>
      </c>
      <c r="I101">
        <v>69498</v>
      </c>
      <c r="J101">
        <v>68817</v>
      </c>
      <c r="K101">
        <v>4922</v>
      </c>
      <c r="L101">
        <v>297</v>
      </c>
      <c r="M101" s="12" t="s">
        <v>27</v>
      </c>
      <c r="N101" s="12" t="s">
        <v>35</v>
      </c>
    </row>
    <row r="102" spans="1:14" x14ac:dyDescent="0.35">
      <c r="A102" s="12" t="s">
        <v>169</v>
      </c>
      <c r="B102" s="12" t="s">
        <v>38</v>
      </c>
      <c r="C102" s="17">
        <v>45740</v>
      </c>
      <c r="D102" s="12" t="s">
        <v>46</v>
      </c>
      <c r="E102" s="12" t="s">
        <v>51</v>
      </c>
      <c r="F102">
        <v>1263</v>
      </c>
      <c r="G102">
        <v>397</v>
      </c>
      <c r="H102">
        <v>357</v>
      </c>
      <c r="I102">
        <v>25260</v>
      </c>
      <c r="J102">
        <v>24615</v>
      </c>
      <c r="K102">
        <v>2017</v>
      </c>
      <c r="L102">
        <v>137</v>
      </c>
      <c r="M102" s="12" t="s">
        <v>34</v>
      </c>
      <c r="N102" s="12" t="s">
        <v>35</v>
      </c>
    </row>
    <row r="103" spans="1:14" x14ac:dyDescent="0.35">
      <c r="A103" s="12" t="s">
        <v>171</v>
      </c>
      <c r="B103" s="12" t="s">
        <v>14</v>
      </c>
      <c r="C103" s="17">
        <v>45586</v>
      </c>
      <c r="D103" s="12" t="s">
        <v>32</v>
      </c>
      <c r="E103" s="12" t="s">
        <v>113</v>
      </c>
      <c r="F103">
        <v>3801</v>
      </c>
      <c r="G103">
        <v>967</v>
      </c>
      <c r="H103">
        <v>401</v>
      </c>
      <c r="I103">
        <v>38010</v>
      </c>
      <c r="J103">
        <v>37625</v>
      </c>
      <c r="K103">
        <v>5169</v>
      </c>
      <c r="L103">
        <v>236</v>
      </c>
      <c r="M103" s="12" t="s">
        <v>53</v>
      </c>
      <c r="N103" s="12" t="s">
        <v>28</v>
      </c>
    </row>
    <row r="104" spans="1:14" x14ac:dyDescent="0.35">
      <c r="A104" s="12" t="s">
        <v>172</v>
      </c>
      <c r="B104" s="12" t="s">
        <v>30</v>
      </c>
      <c r="C104" s="17">
        <v>45637</v>
      </c>
      <c r="D104" s="12" t="s">
        <v>62</v>
      </c>
      <c r="E104" s="12" t="s">
        <v>72</v>
      </c>
      <c r="F104">
        <v>1431</v>
      </c>
      <c r="G104">
        <v>951</v>
      </c>
      <c r="H104">
        <v>26</v>
      </c>
      <c r="I104">
        <v>8586</v>
      </c>
      <c r="J104">
        <v>8396</v>
      </c>
      <c r="K104">
        <v>2408</v>
      </c>
      <c r="L104">
        <v>150</v>
      </c>
      <c r="M104" s="12" t="s">
        <v>34</v>
      </c>
      <c r="N104" s="12" t="s">
        <v>28</v>
      </c>
    </row>
    <row r="105" spans="1:14" x14ac:dyDescent="0.35">
      <c r="A105" s="12" t="s">
        <v>173</v>
      </c>
      <c r="B105" s="12" t="s">
        <v>30</v>
      </c>
      <c r="C105" s="17">
        <v>45603</v>
      </c>
      <c r="D105" s="12" t="s">
        <v>46</v>
      </c>
      <c r="E105" s="12" t="s">
        <v>155</v>
      </c>
      <c r="F105">
        <v>2647</v>
      </c>
      <c r="G105">
        <v>304</v>
      </c>
      <c r="H105">
        <v>170</v>
      </c>
      <c r="I105">
        <v>18529</v>
      </c>
      <c r="J105">
        <v>17841</v>
      </c>
      <c r="K105">
        <v>3121</v>
      </c>
      <c r="L105">
        <v>46</v>
      </c>
      <c r="M105" s="12" t="s">
        <v>53</v>
      </c>
      <c r="N105" s="12" t="s">
        <v>28</v>
      </c>
    </row>
    <row r="106" spans="1:14" x14ac:dyDescent="0.35">
      <c r="A106" s="12" t="s">
        <v>174</v>
      </c>
      <c r="B106" s="12" t="s">
        <v>30</v>
      </c>
      <c r="C106" s="17">
        <v>45604</v>
      </c>
      <c r="D106" s="12" t="s">
        <v>20</v>
      </c>
      <c r="E106" s="12" t="s">
        <v>89</v>
      </c>
      <c r="F106">
        <v>3182</v>
      </c>
      <c r="G106">
        <v>559</v>
      </c>
      <c r="H106">
        <v>160</v>
      </c>
      <c r="I106">
        <v>57276</v>
      </c>
      <c r="J106">
        <v>56890</v>
      </c>
      <c r="K106">
        <v>3901</v>
      </c>
      <c r="L106">
        <v>163</v>
      </c>
      <c r="M106" s="12" t="s">
        <v>53</v>
      </c>
      <c r="N106" s="12" t="s">
        <v>35</v>
      </c>
    </row>
    <row r="107" spans="1:14" x14ac:dyDescent="0.35">
      <c r="A107" s="12" t="s">
        <v>175</v>
      </c>
      <c r="B107" s="12" t="s">
        <v>14</v>
      </c>
      <c r="C107" s="17">
        <v>45545</v>
      </c>
      <c r="D107" s="12" t="s">
        <v>46</v>
      </c>
      <c r="E107" s="12" t="s">
        <v>102</v>
      </c>
      <c r="F107">
        <v>1238</v>
      </c>
      <c r="G107">
        <v>366</v>
      </c>
      <c r="H107">
        <v>444</v>
      </c>
      <c r="I107">
        <v>19808</v>
      </c>
      <c r="J107">
        <v>19334</v>
      </c>
      <c r="K107">
        <v>2048</v>
      </c>
      <c r="L107">
        <v>123</v>
      </c>
      <c r="M107" s="12" t="s">
        <v>53</v>
      </c>
      <c r="N107" s="12"/>
    </row>
    <row r="108" spans="1:14" x14ac:dyDescent="0.35">
      <c r="A108" s="12" t="s">
        <v>176</v>
      </c>
      <c r="B108" s="12" t="s">
        <v>30</v>
      </c>
      <c r="C108" s="17">
        <v>45517</v>
      </c>
      <c r="D108" s="12" t="s">
        <v>46</v>
      </c>
      <c r="E108" s="12" t="s">
        <v>155</v>
      </c>
      <c r="F108">
        <v>4739</v>
      </c>
      <c r="G108">
        <v>527</v>
      </c>
      <c r="H108">
        <v>135</v>
      </c>
      <c r="I108">
        <v>61607</v>
      </c>
      <c r="J108">
        <v>61333</v>
      </c>
      <c r="K108">
        <v>5401</v>
      </c>
      <c r="L108">
        <v>36</v>
      </c>
      <c r="M108" s="12" t="s">
        <v>27</v>
      </c>
      <c r="N108" s="12" t="s">
        <v>22</v>
      </c>
    </row>
    <row r="109" spans="1:14" x14ac:dyDescent="0.35">
      <c r="A109" s="12" t="s">
        <v>176</v>
      </c>
      <c r="B109" s="12" t="s">
        <v>30</v>
      </c>
      <c r="C109" s="17">
        <v>45517</v>
      </c>
      <c r="D109" s="12" t="s">
        <v>46</v>
      </c>
      <c r="E109" s="12" t="s">
        <v>155</v>
      </c>
      <c r="F109">
        <v>4739</v>
      </c>
      <c r="G109">
        <v>527</v>
      </c>
      <c r="H109">
        <v>135</v>
      </c>
      <c r="I109">
        <v>61607</v>
      </c>
      <c r="J109">
        <v>61333</v>
      </c>
      <c r="K109">
        <v>5401</v>
      </c>
      <c r="L109">
        <v>36</v>
      </c>
      <c r="M109" s="12" t="s">
        <v>431</v>
      </c>
      <c r="N109" s="12" t="s">
        <v>22</v>
      </c>
    </row>
    <row r="110" spans="1:14" x14ac:dyDescent="0.35">
      <c r="A110" s="12" t="s">
        <v>177</v>
      </c>
      <c r="B110" s="12" t="s">
        <v>14</v>
      </c>
      <c r="C110" s="17">
        <v>45453</v>
      </c>
      <c r="D110" s="12" t="s">
        <v>32</v>
      </c>
      <c r="E110" s="12" t="s">
        <v>113</v>
      </c>
      <c r="F110">
        <v>1575</v>
      </c>
      <c r="G110">
        <v>771</v>
      </c>
      <c r="H110">
        <v>486</v>
      </c>
      <c r="I110">
        <v>25200</v>
      </c>
      <c r="J110">
        <v>24826</v>
      </c>
      <c r="K110">
        <v>2832</v>
      </c>
      <c r="L110">
        <v>17</v>
      </c>
      <c r="M110" s="12" t="s">
        <v>53</v>
      </c>
      <c r="N110" s="12" t="s">
        <v>35</v>
      </c>
    </row>
    <row r="111" spans="1:14" x14ac:dyDescent="0.35">
      <c r="A111" s="12" t="s">
        <v>178</v>
      </c>
      <c r="B111" s="12" t="s">
        <v>24</v>
      </c>
      <c r="C111" s="17">
        <v>45475</v>
      </c>
      <c r="D111" s="12" t="s">
        <v>40</v>
      </c>
      <c r="E111" s="12" t="s">
        <v>58</v>
      </c>
      <c r="F111">
        <v>4171</v>
      </c>
      <c r="G111">
        <v>548</v>
      </c>
      <c r="H111">
        <v>86</v>
      </c>
      <c r="I111">
        <v>66736</v>
      </c>
      <c r="J111">
        <v>66634</v>
      </c>
      <c r="K111">
        <v>4805</v>
      </c>
      <c r="L111">
        <v>173</v>
      </c>
      <c r="M111" s="12" t="s">
        <v>53</v>
      </c>
      <c r="N111" s="12" t="s">
        <v>28</v>
      </c>
    </row>
    <row r="112" spans="1:14" x14ac:dyDescent="0.35">
      <c r="A112" s="12" t="s">
        <v>179</v>
      </c>
      <c r="B112" s="12" t="s">
        <v>24</v>
      </c>
      <c r="C112" s="17">
        <v>45698</v>
      </c>
      <c r="D112" s="12" t="s">
        <v>62</v>
      </c>
      <c r="E112" s="12" t="s">
        <v>157</v>
      </c>
      <c r="F112">
        <v>1766</v>
      </c>
      <c r="G112">
        <v>92</v>
      </c>
      <c r="H112">
        <v>424</v>
      </c>
      <c r="I112">
        <v>24724</v>
      </c>
      <c r="J112">
        <v>24333</v>
      </c>
      <c r="K112">
        <v>2282</v>
      </c>
      <c r="L112">
        <v>52</v>
      </c>
      <c r="M112" s="12" t="s">
        <v>34</v>
      </c>
      <c r="N112" s="12"/>
    </row>
    <row r="113" spans="1:14" x14ac:dyDescent="0.35">
      <c r="A113" s="12" t="s">
        <v>181</v>
      </c>
      <c r="B113" s="12" t="s">
        <v>24</v>
      </c>
      <c r="C113" s="17">
        <v>45583</v>
      </c>
      <c r="D113" s="12" t="s">
        <v>62</v>
      </c>
      <c r="E113" s="12" t="s">
        <v>157</v>
      </c>
      <c r="F113">
        <v>4450</v>
      </c>
      <c r="G113">
        <v>983</v>
      </c>
      <c r="H113">
        <v>143</v>
      </c>
      <c r="I113">
        <v>75650</v>
      </c>
      <c r="J113">
        <v>75008</v>
      </c>
      <c r="K113">
        <v>5576</v>
      </c>
      <c r="L113">
        <v>12</v>
      </c>
      <c r="M113" s="12" t="s">
        <v>53</v>
      </c>
      <c r="N113" s="12" t="s">
        <v>28</v>
      </c>
    </row>
    <row r="114" spans="1:14" x14ac:dyDescent="0.35">
      <c r="A114" s="12" t="s">
        <v>182</v>
      </c>
      <c r="B114" s="12" t="s">
        <v>14</v>
      </c>
      <c r="C114" s="17">
        <v>45553</v>
      </c>
      <c r="D114" s="12" t="s">
        <v>16</v>
      </c>
      <c r="E114" s="12" t="s">
        <v>17</v>
      </c>
      <c r="F114">
        <v>1000</v>
      </c>
      <c r="G114">
        <v>978</v>
      </c>
      <c r="H114">
        <v>162</v>
      </c>
      <c r="I114">
        <v>6000</v>
      </c>
      <c r="J114">
        <v>5221</v>
      </c>
      <c r="K114">
        <v>2140</v>
      </c>
      <c r="L114">
        <v>223</v>
      </c>
      <c r="M114" s="12" t="s">
        <v>34</v>
      </c>
      <c r="N114" s="12" t="s">
        <v>22</v>
      </c>
    </row>
    <row r="115" spans="1:14" x14ac:dyDescent="0.35">
      <c r="A115" s="12" t="s">
        <v>183</v>
      </c>
      <c r="B115" s="12" t="s">
        <v>38</v>
      </c>
      <c r="C115" s="17">
        <v>45454</v>
      </c>
      <c r="D115" s="12" t="s">
        <v>46</v>
      </c>
      <c r="E115" s="12" t="s">
        <v>51</v>
      </c>
      <c r="F115">
        <v>3689</v>
      </c>
      <c r="G115">
        <v>48</v>
      </c>
      <c r="H115">
        <v>306</v>
      </c>
      <c r="I115">
        <v>40579</v>
      </c>
      <c r="J115">
        <v>39588</v>
      </c>
      <c r="K115">
        <v>4043</v>
      </c>
      <c r="L115">
        <v>212</v>
      </c>
      <c r="M115" s="12" t="s">
        <v>34</v>
      </c>
      <c r="N115" s="12" t="s">
        <v>22</v>
      </c>
    </row>
    <row r="116" spans="1:14" x14ac:dyDescent="0.35">
      <c r="A116" s="12" t="s">
        <v>184</v>
      </c>
      <c r="B116" s="12" t="s">
        <v>24</v>
      </c>
      <c r="C116" s="17">
        <v>45739</v>
      </c>
      <c r="D116" s="12" t="s">
        <v>32</v>
      </c>
      <c r="E116" s="12" t="s">
        <v>117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4509</v>
      </c>
      <c r="L116">
        <v>199</v>
      </c>
      <c r="M116" s="12" t="s">
        <v>27</v>
      </c>
      <c r="N116" s="12" t="s">
        <v>28</v>
      </c>
    </row>
    <row r="117" spans="1:14" x14ac:dyDescent="0.35">
      <c r="A117" s="12" t="s">
        <v>185</v>
      </c>
      <c r="B117" s="12" t="s">
        <v>30</v>
      </c>
      <c r="C117" s="17">
        <v>45457</v>
      </c>
      <c r="D117" s="12" t="s">
        <v>40</v>
      </c>
      <c r="E117" s="12" t="s">
        <v>75</v>
      </c>
      <c r="F117">
        <v>498</v>
      </c>
      <c r="G117">
        <v>38</v>
      </c>
      <c r="H117">
        <v>42</v>
      </c>
      <c r="I117">
        <v>4482</v>
      </c>
      <c r="J117">
        <v>3647</v>
      </c>
      <c r="K117">
        <v>578</v>
      </c>
      <c r="L117">
        <v>32</v>
      </c>
      <c r="M117" s="12" t="s">
        <v>53</v>
      </c>
      <c r="N117" s="12" t="s">
        <v>18</v>
      </c>
    </row>
    <row r="118" spans="1:14" x14ac:dyDescent="0.35">
      <c r="A118" s="12" t="s">
        <v>186</v>
      </c>
      <c r="B118" s="12" t="s">
        <v>30</v>
      </c>
      <c r="C118" s="17">
        <v>45692</v>
      </c>
      <c r="D118" s="12" t="s">
        <v>46</v>
      </c>
      <c r="E118" s="12" t="s">
        <v>155</v>
      </c>
      <c r="F118">
        <v>4619</v>
      </c>
      <c r="G118">
        <v>821</v>
      </c>
      <c r="H118">
        <v>499</v>
      </c>
      <c r="I118">
        <v>69285</v>
      </c>
      <c r="J118">
        <v>69141</v>
      </c>
      <c r="K118">
        <v>5939</v>
      </c>
      <c r="L118">
        <v>298</v>
      </c>
      <c r="M118" s="12" t="s">
        <v>27</v>
      </c>
      <c r="N118" s="12" t="s">
        <v>35</v>
      </c>
    </row>
    <row r="119" spans="1:14" x14ac:dyDescent="0.35">
      <c r="A119" s="12" t="s">
        <v>187</v>
      </c>
      <c r="B119" s="12" t="s">
        <v>24</v>
      </c>
      <c r="C119" s="17">
        <v>45464</v>
      </c>
      <c r="D119" s="12" t="s">
        <v>46</v>
      </c>
      <c r="E119" s="12" t="s">
        <v>47</v>
      </c>
      <c r="F119">
        <v>4832</v>
      </c>
      <c r="G119">
        <v>893</v>
      </c>
      <c r="H119">
        <v>10</v>
      </c>
      <c r="I119">
        <v>91808</v>
      </c>
      <c r="J119">
        <v>91296</v>
      </c>
      <c r="K119">
        <v>5735</v>
      </c>
      <c r="L119">
        <v>182</v>
      </c>
      <c r="M119" s="12" t="s">
        <v>27</v>
      </c>
      <c r="N119" s="12"/>
    </row>
    <row r="120" spans="1:14" x14ac:dyDescent="0.35">
      <c r="A120" s="12" t="s">
        <v>188</v>
      </c>
      <c r="B120" s="12" t="s">
        <v>14</v>
      </c>
      <c r="C120" s="17">
        <v>45741</v>
      </c>
      <c r="D120" s="12" t="s">
        <v>62</v>
      </c>
      <c r="E120" s="12" t="s">
        <v>109</v>
      </c>
      <c r="F120">
        <v>4050</v>
      </c>
      <c r="G120">
        <v>871</v>
      </c>
      <c r="H120">
        <v>347</v>
      </c>
      <c r="I120">
        <v>52650</v>
      </c>
      <c r="J120">
        <v>51755</v>
      </c>
      <c r="K120">
        <v>5268</v>
      </c>
      <c r="L120">
        <v>209</v>
      </c>
      <c r="M120" s="12" t="s">
        <v>27</v>
      </c>
      <c r="N120" s="12" t="s">
        <v>22</v>
      </c>
    </row>
    <row r="121" spans="1:14" x14ac:dyDescent="0.35">
      <c r="A121" s="12" t="s">
        <v>189</v>
      </c>
      <c r="B121" s="12" t="s">
        <v>14</v>
      </c>
      <c r="C121" s="17">
        <v>45512</v>
      </c>
      <c r="D121" s="12" t="s">
        <v>32</v>
      </c>
      <c r="E121" s="12" t="s">
        <v>113</v>
      </c>
      <c r="F121">
        <v>3649</v>
      </c>
      <c r="G121">
        <v>215</v>
      </c>
      <c r="H121">
        <v>413</v>
      </c>
      <c r="I121">
        <v>25543</v>
      </c>
      <c r="J121">
        <v>24963</v>
      </c>
      <c r="K121">
        <v>4277</v>
      </c>
      <c r="L121">
        <v>167</v>
      </c>
      <c r="M121" s="12" t="s">
        <v>53</v>
      </c>
      <c r="N121" s="12" t="s">
        <v>28</v>
      </c>
    </row>
    <row r="122" spans="1:14" x14ac:dyDescent="0.35">
      <c r="A122" s="12" t="s">
        <v>190</v>
      </c>
      <c r="B122" s="12" t="s">
        <v>30</v>
      </c>
      <c r="C122" s="17">
        <v>45502</v>
      </c>
      <c r="D122" s="12" t="s">
        <v>16</v>
      </c>
      <c r="E122" s="12" t="s">
        <v>70</v>
      </c>
      <c r="F122">
        <v>3523</v>
      </c>
      <c r="G122">
        <v>753</v>
      </c>
      <c r="H122">
        <v>482</v>
      </c>
      <c r="I122">
        <v>38753</v>
      </c>
      <c r="J122">
        <v>38579</v>
      </c>
      <c r="K122">
        <v>4758</v>
      </c>
      <c r="L122">
        <v>270</v>
      </c>
      <c r="M122" s="12" t="s">
        <v>34</v>
      </c>
      <c r="N122" s="12" t="s">
        <v>22</v>
      </c>
    </row>
    <row r="123" spans="1:14" x14ac:dyDescent="0.35">
      <c r="A123" s="12" t="s">
        <v>192</v>
      </c>
      <c r="B123" s="12" t="s">
        <v>24</v>
      </c>
      <c r="C123" s="17">
        <v>45619</v>
      </c>
      <c r="D123" s="12" t="s">
        <v>46</v>
      </c>
      <c r="E123" s="12" t="s">
        <v>47</v>
      </c>
      <c r="F123">
        <v>2719</v>
      </c>
      <c r="G123">
        <v>17</v>
      </c>
      <c r="H123">
        <v>285</v>
      </c>
      <c r="I123">
        <v>40785</v>
      </c>
      <c r="J123">
        <v>40281</v>
      </c>
      <c r="K123">
        <v>3021</v>
      </c>
      <c r="L123">
        <v>40</v>
      </c>
      <c r="M123" s="12" t="s">
        <v>27</v>
      </c>
      <c r="N123" s="12" t="s">
        <v>22</v>
      </c>
    </row>
    <row r="124" spans="1:14" x14ac:dyDescent="0.35">
      <c r="A124" s="12" t="s">
        <v>193</v>
      </c>
      <c r="B124" s="12" t="s">
        <v>14</v>
      </c>
      <c r="C124" s="17">
        <v>45570</v>
      </c>
      <c r="D124" s="12" t="s">
        <v>32</v>
      </c>
      <c r="E124" s="12" t="s">
        <v>113</v>
      </c>
      <c r="F124">
        <v>1957</v>
      </c>
      <c r="G124">
        <v>877</v>
      </c>
      <c r="H124">
        <v>238</v>
      </c>
      <c r="I124">
        <v>17613</v>
      </c>
      <c r="J124">
        <v>16865</v>
      </c>
      <c r="K124">
        <v>3072</v>
      </c>
      <c r="L124">
        <v>297</v>
      </c>
      <c r="M124" s="12" t="s">
        <v>53</v>
      </c>
      <c r="N124" s="12" t="s">
        <v>28</v>
      </c>
    </row>
    <row r="125" spans="1:14" x14ac:dyDescent="0.35">
      <c r="A125" s="12" t="s">
        <v>194</v>
      </c>
      <c r="B125" s="12" t="s">
        <v>14</v>
      </c>
      <c r="C125" s="17">
        <v>45567</v>
      </c>
      <c r="D125" s="12" t="s">
        <v>40</v>
      </c>
      <c r="E125" s="12" t="s">
        <v>44</v>
      </c>
      <c r="F125">
        <v>4419</v>
      </c>
      <c r="G125">
        <v>236</v>
      </c>
      <c r="H125">
        <v>369</v>
      </c>
      <c r="I125">
        <v>44190</v>
      </c>
      <c r="J125">
        <v>43582</v>
      </c>
      <c r="K125">
        <v>5024</v>
      </c>
      <c r="L125">
        <v>10</v>
      </c>
      <c r="M125" s="12" t="s">
        <v>34</v>
      </c>
      <c r="N125" s="12" t="s">
        <v>18</v>
      </c>
    </row>
    <row r="126" spans="1:14" x14ac:dyDescent="0.35">
      <c r="A126" s="12" t="s">
        <v>195</v>
      </c>
      <c r="B126" s="12" t="s">
        <v>14</v>
      </c>
      <c r="C126" s="17">
        <v>45610</v>
      </c>
      <c r="D126" s="12" t="s">
        <v>32</v>
      </c>
      <c r="E126" s="12" t="s">
        <v>113</v>
      </c>
      <c r="F126">
        <v>4000</v>
      </c>
      <c r="G126">
        <v>689</v>
      </c>
      <c r="H126">
        <v>488</v>
      </c>
      <c r="I126">
        <v>40000</v>
      </c>
      <c r="J126">
        <v>39569</v>
      </c>
      <c r="K126">
        <v>5177</v>
      </c>
      <c r="L126">
        <v>44</v>
      </c>
      <c r="M126" s="12" t="s">
        <v>53</v>
      </c>
      <c r="N126" s="12" t="s">
        <v>18</v>
      </c>
    </row>
    <row r="127" spans="1:14" x14ac:dyDescent="0.35">
      <c r="A127" s="12" t="s">
        <v>196</v>
      </c>
      <c r="B127" s="12" t="s">
        <v>14</v>
      </c>
      <c r="C127" s="17">
        <v>45788</v>
      </c>
      <c r="D127" s="12" t="s">
        <v>46</v>
      </c>
      <c r="E127" s="12" t="s">
        <v>102</v>
      </c>
      <c r="F127">
        <v>2493</v>
      </c>
      <c r="G127">
        <v>97</v>
      </c>
      <c r="H127">
        <v>44</v>
      </c>
      <c r="I127">
        <v>42381</v>
      </c>
      <c r="J127">
        <v>41991</v>
      </c>
      <c r="K127">
        <v>2634</v>
      </c>
      <c r="L127">
        <v>242</v>
      </c>
      <c r="M127" s="12" t="s">
        <v>27</v>
      </c>
      <c r="N127" s="12" t="s">
        <v>35</v>
      </c>
    </row>
    <row r="128" spans="1:14" x14ac:dyDescent="0.35">
      <c r="A128" s="12" t="s">
        <v>196</v>
      </c>
      <c r="B128" s="12" t="s">
        <v>14</v>
      </c>
      <c r="C128" s="17">
        <v>45788</v>
      </c>
      <c r="D128" s="12" t="s">
        <v>46</v>
      </c>
      <c r="E128" s="12" t="s">
        <v>102</v>
      </c>
      <c r="F128">
        <v>2493</v>
      </c>
      <c r="G128">
        <v>97</v>
      </c>
      <c r="H128">
        <v>44</v>
      </c>
      <c r="I128">
        <v>42381</v>
      </c>
      <c r="J128">
        <v>41991</v>
      </c>
      <c r="K128">
        <v>2634</v>
      </c>
      <c r="L128">
        <v>242</v>
      </c>
      <c r="M128" s="12" t="s">
        <v>431</v>
      </c>
      <c r="N128" s="12" t="s">
        <v>35</v>
      </c>
    </row>
    <row r="129" spans="1:14" x14ac:dyDescent="0.35">
      <c r="A129" s="12" t="s">
        <v>197</v>
      </c>
      <c r="B129" s="12" t="s">
        <v>24</v>
      </c>
      <c r="C129" s="17">
        <v>45734</v>
      </c>
      <c r="D129" s="12" t="s">
        <v>16</v>
      </c>
      <c r="E129" s="12" t="s">
        <v>26</v>
      </c>
      <c r="F129">
        <v>3704</v>
      </c>
      <c r="G129">
        <v>186</v>
      </c>
      <c r="H129">
        <v>458</v>
      </c>
      <c r="I129">
        <v>25928</v>
      </c>
      <c r="J129">
        <v>25081</v>
      </c>
      <c r="K129">
        <v>4348</v>
      </c>
      <c r="L129">
        <v>131</v>
      </c>
      <c r="M129" s="12" t="s">
        <v>27</v>
      </c>
      <c r="N129" s="12"/>
    </row>
    <row r="130" spans="1:14" x14ac:dyDescent="0.35">
      <c r="A130" s="12" t="s">
        <v>198</v>
      </c>
      <c r="B130" s="12" t="s">
        <v>14</v>
      </c>
      <c r="C130" s="17">
        <v>45600</v>
      </c>
      <c r="D130" s="12" t="s">
        <v>46</v>
      </c>
      <c r="E130" s="12" t="s">
        <v>102</v>
      </c>
      <c r="F130">
        <v>1606</v>
      </c>
      <c r="G130">
        <v>451</v>
      </c>
      <c r="H130">
        <v>405</v>
      </c>
      <c r="I130">
        <v>20878</v>
      </c>
      <c r="J130">
        <v>20190</v>
      </c>
      <c r="K130">
        <v>2462</v>
      </c>
      <c r="L130">
        <v>219</v>
      </c>
      <c r="M130" s="12" t="s">
        <v>34</v>
      </c>
      <c r="N130" s="12" t="s">
        <v>35</v>
      </c>
    </row>
    <row r="131" spans="1:14" x14ac:dyDescent="0.35">
      <c r="A131" s="12" t="s">
        <v>200</v>
      </c>
      <c r="B131" s="12" t="s">
        <v>38</v>
      </c>
      <c r="C131" s="17">
        <v>45600</v>
      </c>
      <c r="D131" s="12" t="s">
        <v>46</v>
      </c>
      <c r="E131" s="12" t="s">
        <v>51</v>
      </c>
      <c r="F131">
        <v>4551</v>
      </c>
      <c r="G131">
        <v>714</v>
      </c>
      <c r="H131">
        <v>207</v>
      </c>
      <c r="I131">
        <v>68265</v>
      </c>
      <c r="J131">
        <v>67754</v>
      </c>
      <c r="K131">
        <v>5472</v>
      </c>
      <c r="L131">
        <v>57</v>
      </c>
      <c r="M131" s="12" t="s">
        <v>53</v>
      </c>
      <c r="N131" s="12" t="s">
        <v>28</v>
      </c>
    </row>
    <row r="132" spans="1:14" x14ac:dyDescent="0.35">
      <c r="A132" s="12" t="s">
        <v>201</v>
      </c>
      <c r="B132" s="12" t="s">
        <v>30</v>
      </c>
      <c r="C132" s="17">
        <v>45695</v>
      </c>
      <c r="D132" s="12" t="s">
        <v>16</v>
      </c>
      <c r="E132" s="12" t="s">
        <v>70</v>
      </c>
      <c r="F132">
        <v>1970</v>
      </c>
      <c r="G132">
        <v>675</v>
      </c>
      <c r="H132">
        <v>478</v>
      </c>
      <c r="I132">
        <v>9850</v>
      </c>
      <c r="J132">
        <v>8924</v>
      </c>
      <c r="K132">
        <v>3123</v>
      </c>
      <c r="L132">
        <v>117</v>
      </c>
      <c r="M132" s="12" t="s">
        <v>53</v>
      </c>
      <c r="N132" s="12"/>
    </row>
    <row r="133" spans="1:14" x14ac:dyDescent="0.35">
      <c r="A133" s="12" t="s">
        <v>202</v>
      </c>
      <c r="B133" s="12" t="s">
        <v>38</v>
      </c>
      <c r="C133" s="17">
        <v>45586</v>
      </c>
      <c r="D133" s="12" t="s">
        <v>32</v>
      </c>
      <c r="E133" s="12" t="s">
        <v>60</v>
      </c>
      <c r="F133">
        <v>780</v>
      </c>
      <c r="G133">
        <v>928</v>
      </c>
      <c r="H133">
        <v>301</v>
      </c>
      <c r="I133">
        <v>8580</v>
      </c>
      <c r="J133">
        <v>8081</v>
      </c>
      <c r="K133">
        <v>2009</v>
      </c>
      <c r="L133">
        <v>91</v>
      </c>
      <c r="M133" s="12" t="s">
        <v>34</v>
      </c>
      <c r="N133" s="12" t="s">
        <v>28</v>
      </c>
    </row>
    <row r="134" spans="1:14" x14ac:dyDescent="0.35">
      <c r="A134" s="12" t="s">
        <v>203</v>
      </c>
      <c r="B134" s="12" t="s">
        <v>30</v>
      </c>
      <c r="C134" s="17">
        <v>45502</v>
      </c>
      <c r="D134" s="12" t="s">
        <v>32</v>
      </c>
      <c r="E134" s="12" t="s">
        <v>33</v>
      </c>
      <c r="F134">
        <v>498</v>
      </c>
      <c r="G134">
        <v>701</v>
      </c>
      <c r="H134">
        <v>412</v>
      </c>
      <c r="I134">
        <v>4980</v>
      </c>
      <c r="J134">
        <v>4185</v>
      </c>
      <c r="K134">
        <v>1611</v>
      </c>
      <c r="L134">
        <v>185</v>
      </c>
      <c r="M134" s="12" t="s">
        <v>53</v>
      </c>
      <c r="N134" s="12"/>
    </row>
    <row r="135" spans="1:14" x14ac:dyDescent="0.35">
      <c r="A135" s="12" t="s">
        <v>204</v>
      </c>
      <c r="B135" s="12" t="s">
        <v>30</v>
      </c>
      <c r="C135" s="17">
        <v>45567</v>
      </c>
      <c r="D135" s="12" t="s">
        <v>20</v>
      </c>
      <c r="E135" s="12" t="s">
        <v>89</v>
      </c>
      <c r="F135">
        <v>3432</v>
      </c>
      <c r="G135">
        <v>869</v>
      </c>
      <c r="H135">
        <v>123</v>
      </c>
      <c r="I135">
        <v>54912</v>
      </c>
      <c r="J135">
        <v>53916</v>
      </c>
      <c r="K135">
        <v>4424</v>
      </c>
      <c r="L135">
        <v>264</v>
      </c>
      <c r="M135" s="12" t="s">
        <v>34</v>
      </c>
      <c r="N135" s="12" t="s">
        <v>22</v>
      </c>
    </row>
    <row r="136" spans="1:14" x14ac:dyDescent="0.35">
      <c r="A136" s="12" t="s">
        <v>205</v>
      </c>
      <c r="B136" s="12" t="s">
        <v>30</v>
      </c>
      <c r="C136" s="17">
        <v>45457</v>
      </c>
      <c r="D136" s="12" t="s">
        <v>32</v>
      </c>
      <c r="E136" s="12" t="s">
        <v>33</v>
      </c>
      <c r="F136">
        <v>4363</v>
      </c>
      <c r="G136">
        <v>649</v>
      </c>
      <c r="H136">
        <v>140</v>
      </c>
      <c r="I136">
        <v>21815</v>
      </c>
      <c r="J136">
        <v>21481</v>
      </c>
      <c r="K136">
        <v>5152</v>
      </c>
      <c r="L136">
        <v>157</v>
      </c>
      <c r="M136" s="12" t="s">
        <v>34</v>
      </c>
      <c r="N136" s="12" t="s">
        <v>18</v>
      </c>
    </row>
    <row r="137" spans="1:14" x14ac:dyDescent="0.35">
      <c r="A137" s="12" t="s">
        <v>206</v>
      </c>
      <c r="B137" s="12" t="s">
        <v>24</v>
      </c>
      <c r="C137" s="17">
        <v>45753</v>
      </c>
      <c r="D137" s="12" t="s">
        <v>40</v>
      </c>
      <c r="E137" s="12" t="s">
        <v>58</v>
      </c>
      <c r="F137">
        <v>736</v>
      </c>
      <c r="G137">
        <v>771</v>
      </c>
      <c r="H137">
        <v>225</v>
      </c>
      <c r="I137">
        <v>5152</v>
      </c>
      <c r="J137">
        <v>4706</v>
      </c>
      <c r="K137">
        <v>1732</v>
      </c>
      <c r="L137">
        <v>19</v>
      </c>
      <c r="M137" s="12" t="s">
        <v>34</v>
      </c>
      <c r="N137" s="12" t="s">
        <v>18</v>
      </c>
    </row>
    <row r="138" spans="1:14" x14ac:dyDescent="0.35">
      <c r="A138" s="12" t="s">
        <v>207</v>
      </c>
      <c r="B138" s="12" t="s">
        <v>14</v>
      </c>
      <c r="C138" s="17">
        <v>45543</v>
      </c>
      <c r="D138" s="12" t="s">
        <v>40</v>
      </c>
      <c r="E138" s="12" t="s">
        <v>44</v>
      </c>
      <c r="F138">
        <v>3811</v>
      </c>
      <c r="G138">
        <v>866</v>
      </c>
      <c r="H138">
        <v>216</v>
      </c>
      <c r="I138">
        <v>34299</v>
      </c>
      <c r="J138">
        <v>34088</v>
      </c>
      <c r="K138">
        <v>4893</v>
      </c>
      <c r="L138">
        <v>233</v>
      </c>
      <c r="M138" s="12" t="s">
        <v>27</v>
      </c>
      <c r="N138" s="12" t="s">
        <v>35</v>
      </c>
    </row>
    <row r="139" spans="1:14" x14ac:dyDescent="0.35">
      <c r="A139" s="12" t="s">
        <v>208</v>
      </c>
      <c r="B139" s="12" t="s">
        <v>30</v>
      </c>
      <c r="C139" s="17">
        <v>45744</v>
      </c>
      <c r="D139" s="12" t="s">
        <v>40</v>
      </c>
      <c r="E139" s="12" t="s">
        <v>75</v>
      </c>
      <c r="F139">
        <v>4158</v>
      </c>
      <c r="G139">
        <v>167</v>
      </c>
      <c r="H139">
        <v>241</v>
      </c>
      <c r="I139">
        <v>45738</v>
      </c>
      <c r="J139">
        <v>45183</v>
      </c>
      <c r="K139">
        <v>4566</v>
      </c>
      <c r="L139">
        <v>142</v>
      </c>
      <c r="M139" s="12" t="s">
        <v>53</v>
      </c>
      <c r="N139" s="12"/>
    </row>
    <row r="140" spans="1:14" x14ac:dyDescent="0.35">
      <c r="A140" s="12" t="s">
        <v>209</v>
      </c>
      <c r="B140" s="12" t="s">
        <v>38</v>
      </c>
      <c r="C140" s="17">
        <v>45684</v>
      </c>
      <c r="D140" s="12" t="s">
        <v>16</v>
      </c>
      <c r="E140" s="12" t="s">
        <v>55</v>
      </c>
      <c r="F140">
        <v>3452</v>
      </c>
      <c r="G140">
        <v>652</v>
      </c>
      <c r="H140">
        <v>442</v>
      </c>
      <c r="I140">
        <v>65588</v>
      </c>
      <c r="J140">
        <v>65049</v>
      </c>
      <c r="K140">
        <v>4546</v>
      </c>
      <c r="L140">
        <v>158</v>
      </c>
      <c r="M140" s="12" t="s">
        <v>53</v>
      </c>
      <c r="N140" s="12" t="s">
        <v>28</v>
      </c>
    </row>
    <row r="141" spans="1:14" x14ac:dyDescent="0.35">
      <c r="A141" s="12" t="s">
        <v>210</v>
      </c>
      <c r="B141" s="12" t="s">
        <v>14</v>
      </c>
      <c r="C141" s="17">
        <v>45667</v>
      </c>
      <c r="D141" s="12" t="s">
        <v>46</v>
      </c>
      <c r="E141" s="12" t="s">
        <v>102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3489</v>
      </c>
      <c r="L141">
        <v>102</v>
      </c>
      <c r="M141" s="12" t="s">
        <v>53</v>
      </c>
      <c r="N141" s="12"/>
    </row>
    <row r="142" spans="1:14" x14ac:dyDescent="0.35">
      <c r="A142" s="12" t="s">
        <v>211</v>
      </c>
      <c r="B142" s="12" t="s">
        <v>14</v>
      </c>
      <c r="C142" s="17">
        <v>45494</v>
      </c>
      <c r="D142" s="12" t="s">
        <v>20</v>
      </c>
      <c r="E142" s="12" t="s">
        <v>21</v>
      </c>
      <c r="F142">
        <v>2147</v>
      </c>
      <c r="G142">
        <v>430</v>
      </c>
      <c r="H142">
        <v>393</v>
      </c>
      <c r="I142">
        <v>17176</v>
      </c>
      <c r="J142">
        <v>16483</v>
      </c>
      <c r="K142">
        <v>2970</v>
      </c>
      <c r="L142">
        <v>170</v>
      </c>
      <c r="M142" s="12" t="s">
        <v>27</v>
      </c>
      <c r="N142" s="12"/>
    </row>
    <row r="143" spans="1:14" x14ac:dyDescent="0.35">
      <c r="A143" s="12" t="s">
        <v>212</v>
      </c>
      <c r="B143" s="12" t="s">
        <v>24</v>
      </c>
      <c r="C143" s="17">
        <v>45564</v>
      </c>
      <c r="D143" s="12" t="s">
        <v>16</v>
      </c>
      <c r="E143" s="12" t="s">
        <v>26</v>
      </c>
      <c r="F143">
        <v>2936</v>
      </c>
      <c r="G143">
        <v>439</v>
      </c>
      <c r="H143">
        <v>44</v>
      </c>
      <c r="I143">
        <v>38168</v>
      </c>
      <c r="J143">
        <v>37571</v>
      </c>
      <c r="K143">
        <v>3419</v>
      </c>
      <c r="L143">
        <v>22</v>
      </c>
      <c r="M143" s="12" t="s">
        <v>34</v>
      </c>
      <c r="N143" s="12" t="s">
        <v>35</v>
      </c>
    </row>
    <row r="144" spans="1:14" x14ac:dyDescent="0.35">
      <c r="A144" s="12" t="s">
        <v>213</v>
      </c>
      <c r="B144" s="12" t="s">
        <v>30</v>
      </c>
      <c r="C144" s="17">
        <v>45586</v>
      </c>
      <c r="D144" s="12" t="s">
        <v>16</v>
      </c>
      <c r="E144" s="12" t="s">
        <v>70</v>
      </c>
      <c r="F144">
        <v>4840</v>
      </c>
      <c r="G144">
        <v>658</v>
      </c>
      <c r="H144">
        <v>211</v>
      </c>
      <c r="I144">
        <v>43560</v>
      </c>
      <c r="J144">
        <v>43225</v>
      </c>
      <c r="K144">
        <v>5709</v>
      </c>
      <c r="L144">
        <v>57</v>
      </c>
      <c r="M144" s="12" t="s">
        <v>53</v>
      </c>
      <c r="N144" s="12" t="s">
        <v>28</v>
      </c>
    </row>
    <row r="145" spans="1:14" x14ac:dyDescent="0.35">
      <c r="A145" s="12" t="s">
        <v>214</v>
      </c>
      <c r="B145" s="12" t="s">
        <v>30</v>
      </c>
      <c r="C145" s="17">
        <v>45720</v>
      </c>
      <c r="D145" s="12" t="s">
        <v>32</v>
      </c>
      <c r="E145" s="12" t="s">
        <v>33</v>
      </c>
      <c r="F145">
        <v>1947</v>
      </c>
      <c r="G145">
        <v>842</v>
      </c>
      <c r="H145">
        <v>101</v>
      </c>
      <c r="I145">
        <v>21417</v>
      </c>
      <c r="J145">
        <v>20967</v>
      </c>
      <c r="K145">
        <v>2890</v>
      </c>
      <c r="L145">
        <v>186</v>
      </c>
      <c r="M145" s="12" t="s">
        <v>53</v>
      </c>
      <c r="N145" s="12" t="s">
        <v>22</v>
      </c>
    </row>
    <row r="146" spans="1:14" x14ac:dyDescent="0.35">
      <c r="A146" s="12" t="s">
        <v>215</v>
      </c>
      <c r="B146" s="12" t="s">
        <v>38</v>
      </c>
      <c r="C146" s="17">
        <v>45694</v>
      </c>
      <c r="D146" s="12" t="s">
        <v>46</v>
      </c>
      <c r="E146" s="12" t="s">
        <v>51</v>
      </c>
      <c r="F146">
        <v>2072</v>
      </c>
      <c r="G146">
        <v>532</v>
      </c>
      <c r="H146">
        <v>71</v>
      </c>
      <c r="I146">
        <v>37296</v>
      </c>
      <c r="J146">
        <v>36467</v>
      </c>
      <c r="K146">
        <v>2675</v>
      </c>
      <c r="L146">
        <v>25</v>
      </c>
      <c r="M146" s="12" t="s">
        <v>27</v>
      </c>
      <c r="N146" s="12" t="s">
        <v>35</v>
      </c>
    </row>
    <row r="147" spans="1:14" x14ac:dyDescent="0.35">
      <c r="A147" s="12" t="s">
        <v>216</v>
      </c>
      <c r="B147" s="12" t="s">
        <v>14</v>
      </c>
      <c r="C147" s="17">
        <v>45771</v>
      </c>
      <c r="D147" s="12" t="s">
        <v>16</v>
      </c>
      <c r="E147" s="12" t="s">
        <v>17</v>
      </c>
      <c r="F147">
        <v>3731</v>
      </c>
      <c r="G147">
        <v>115</v>
      </c>
      <c r="H147">
        <v>135</v>
      </c>
      <c r="I147">
        <v>55965</v>
      </c>
      <c r="J147">
        <v>55436</v>
      </c>
      <c r="K147">
        <v>3981</v>
      </c>
      <c r="L147">
        <v>103</v>
      </c>
      <c r="M147" s="12" t="s">
        <v>27</v>
      </c>
      <c r="N147" s="12" t="s">
        <v>18</v>
      </c>
    </row>
    <row r="148" spans="1:14" x14ac:dyDescent="0.35">
      <c r="A148" s="12" t="s">
        <v>217</v>
      </c>
      <c r="B148" s="12" t="s">
        <v>38</v>
      </c>
      <c r="C148" s="17">
        <v>45624</v>
      </c>
      <c r="D148" s="12" t="s">
        <v>20</v>
      </c>
      <c r="E148" s="12" t="s">
        <v>49</v>
      </c>
      <c r="F148">
        <v>4213</v>
      </c>
      <c r="G148">
        <v>253</v>
      </c>
      <c r="H148">
        <v>434</v>
      </c>
      <c r="I148">
        <v>75834</v>
      </c>
      <c r="J148">
        <v>75437</v>
      </c>
      <c r="K148">
        <v>4900</v>
      </c>
      <c r="L148">
        <v>272</v>
      </c>
      <c r="M148" s="12" t="s">
        <v>53</v>
      </c>
      <c r="N148" s="12" t="s">
        <v>35</v>
      </c>
    </row>
    <row r="149" spans="1:14" x14ac:dyDescent="0.35">
      <c r="A149" s="12" t="s">
        <v>218</v>
      </c>
      <c r="B149" s="12" t="s">
        <v>30</v>
      </c>
      <c r="C149" s="17">
        <v>45484</v>
      </c>
      <c r="D149" s="12" t="s">
        <v>20</v>
      </c>
      <c r="E149" s="12" t="s">
        <v>89</v>
      </c>
      <c r="F149">
        <v>3134</v>
      </c>
      <c r="G149">
        <v>888</v>
      </c>
      <c r="H149">
        <v>444</v>
      </c>
      <c r="I149">
        <v>21938</v>
      </c>
      <c r="J149">
        <v>21337</v>
      </c>
      <c r="K149">
        <v>4466</v>
      </c>
      <c r="L149">
        <v>130</v>
      </c>
      <c r="M149" s="12" t="s">
        <v>34</v>
      </c>
      <c r="N149" s="12" t="s">
        <v>35</v>
      </c>
    </row>
    <row r="150" spans="1:14" x14ac:dyDescent="0.35">
      <c r="A150" s="12" t="s">
        <v>219</v>
      </c>
      <c r="B150" s="12" t="s">
        <v>38</v>
      </c>
      <c r="C150" s="17">
        <v>45504</v>
      </c>
      <c r="D150" s="12" t="s">
        <v>62</v>
      </c>
      <c r="E150" s="12" t="s">
        <v>63</v>
      </c>
      <c r="F150">
        <v>3008</v>
      </c>
      <c r="G150">
        <v>94</v>
      </c>
      <c r="H150">
        <v>37</v>
      </c>
      <c r="I150">
        <v>15040</v>
      </c>
      <c r="J150">
        <v>14639</v>
      </c>
      <c r="K150">
        <v>3139</v>
      </c>
      <c r="L150">
        <v>277</v>
      </c>
      <c r="M150" s="12" t="s">
        <v>53</v>
      </c>
      <c r="N150" s="12"/>
    </row>
    <row r="151" spans="1:14" x14ac:dyDescent="0.35">
      <c r="A151" s="12" t="s">
        <v>220</v>
      </c>
      <c r="B151" s="12" t="s">
        <v>14</v>
      </c>
      <c r="C151" s="17">
        <v>45745</v>
      </c>
      <c r="D151" s="12" t="s">
        <v>46</v>
      </c>
      <c r="E151" s="12" t="s">
        <v>102</v>
      </c>
      <c r="F151">
        <v>305</v>
      </c>
      <c r="G151">
        <v>187</v>
      </c>
      <c r="H151">
        <v>243</v>
      </c>
      <c r="I151">
        <v>4575</v>
      </c>
      <c r="J151">
        <v>3704</v>
      </c>
      <c r="K151">
        <v>735</v>
      </c>
      <c r="L151">
        <v>234</v>
      </c>
      <c r="M151" s="12" t="s">
        <v>53</v>
      </c>
      <c r="N151" s="12" t="s">
        <v>28</v>
      </c>
    </row>
    <row r="152" spans="1:14" x14ac:dyDescent="0.35">
      <c r="A152" s="12" t="s">
        <v>221</v>
      </c>
      <c r="B152" s="12" t="s">
        <v>24</v>
      </c>
      <c r="C152" s="17">
        <v>45594</v>
      </c>
      <c r="D152" s="12" t="s">
        <v>20</v>
      </c>
      <c r="E152" s="12" t="s">
        <v>83</v>
      </c>
      <c r="F152">
        <v>2746</v>
      </c>
      <c r="G152">
        <v>156</v>
      </c>
      <c r="H152">
        <v>203</v>
      </c>
      <c r="I152">
        <v>32952</v>
      </c>
      <c r="J152">
        <v>32147</v>
      </c>
      <c r="K152">
        <v>3105</v>
      </c>
      <c r="L152">
        <v>147</v>
      </c>
      <c r="M152" s="12" t="s">
        <v>34</v>
      </c>
      <c r="N152" s="12" t="s">
        <v>18</v>
      </c>
    </row>
    <row r="153" spans="1:14" x14ac:dyDescent="0.35">
      <c r="A153" s="12" t="s">
        <v>222</v>
      </c>
      <c r="B153" s="12" t="s">
        <v>38</v>
      </c>
      <c r="C153" s="17">
        <v>45488</v>
      </c>
      <c r="D153" s="12" t="s">
        <v>46</v>
      </c>
      <c r="E153" s="12" t="s">
        <v>51</v>
      </c>
      <c r="F153">
        <v>2291</v>
      </c>
      <c r="G153">
        <v>78</v>
      </c>
      <c r="H153">
        <v>485</v>
      </c>
      <c r="I153">
        <v>18328</v>
      </c>
      <c r="J153">
        <v>18101</v>
      </c>
      <c r="K153">
        <v>2854</v>
      </c>
      <c r="L153">
        <v>10</v>
      </c>
      <c r="M153" s="12" t="s">
        <v>34</v>
      </c>
      <c r="N153" s="12" t="s">
        <v>22</v>
      </c>
    </row>
    <row r="154" spans="1:14" x14ac:dyDescent="0.35">
      <c r="A154" s="12" t="s">
        <v>222</v>
      </c>
      <c r="B154" s="12" t="s">
        <v>38</v>
      </c>
      <c r="C154" s="17">
        <v>45488</v>
      </c>
      <c r="D154" s="12" t="s">
        <v>46</v>
      </c>
      <c r="E154" s="12" t="s">
        <v>51</v>
      </c>
      <c r="F154">
        <v>2291</v>
      </c>
      <c r="G154">
        <v>78</v>
      </c>
      <c r="H154">
        <v>485</v>
      </c>
      <c r="I154">
        <v>18328</v>
      </c>
      <c r="J154">
        <v>18101</v>
      </c>
      <c r="K154">
        <v>2854</v>
      </c>
      <c r="L154">
        <v>10</v>
      </c>
      <c r="M154" s="12" t="s">
        <v>427</v>
      </c>
      <c r="N154" s="12" t="s">
        <v>22</v>
      </c>
    </row>
    <row r="155" spans="1:14" x14ac:dyDescent="0.35">
      <c r="A155" s="12" t="s">
        <v>224</v>
      </c>
      <c r="B155" s="12" t="s">
        <v>14</v>
      </c>
      <c r="C155" s="17">
        <v>45535</v>
      </c>
      <c r="D155" s="12" t="s">
        <v>46</v>
      </c>
      <c r="E155" s="12" t="s">
        <v>102</v>
      </c>
      <c r="F155">
        <v>3170</v>
      </c>
      <c r="G155">
        <v>857</v>
      </c>
      <c r="H155">
        <v>379</v>
      </c>
      <c r="I155">
        <v>19020</v>
      </c>
      <c r="J155">
        <v>18559</v>
      </c>
      <c r="K155">
        <v>4406</v>
      </c>
      <c r="L155">
        <v>240</v>
      </c>
      <c r="M155" s="12" t="s">
        <v>53</v>
      </c>
      <c r="N155" s="12"/>
    </row>
    <row r="156" spans="1:14" x14ac:dyDescent="0.35">
      <c r="A156" s="12" t="s">
        <v>225</v>
      </c>
      <c r="B156" s="12" t="s">
        <v>24</v>
      </c>
      <c r="C156" s="17">
        <v>45741</v>
      </c>
      <c r="D156" s="12" t="s">
        <v>32</v>
      </c>
      <c r="E156" s="12" t="s">
        <v>117</v>
      </c>
      <c r="F156">
        <v>2070</v>
      </c>
      <c r="G156">
        <v>275</v>
      </c>
      <c r="H156">
        <v>386</v>
      </c>
      <c r="I156">
        <v>39330</v>
      </c>
      <c r="J156">
        <v>38627</v>
      </c>
      <c r="K156">
        <v>2731</v>
      </c>
      <c r="L156">
        <v>114</v>
      </c>
      <c r="M156" s="12" t="s">
        <v>53</v>
      </c>
      <c r="N156" s="12" t="s">
        <v>35</v>
      </c>
    </row>
    <row r="157" spans="1:14" x14ac:dyDescent="0.35">
      <c r="A157" s="12" t="s">
        <v>226</v>
      </c>
      <c r="B157" s="12" t="s">
        <v>24</v>
      </c>
      <c r="C157" s="17">
        <v>45567</v>
      </c>
      <c r="D157" s="12" t="s">
        <v>40</v>
      </c>
      <c r="E157" s="12" t="s">
        <v>58</v>
      </c>
      <c r="F157">
        <v>80</v>
      </c>
      <c r="G157">
        <v>362</v>
      </c>
      <c r="H157">
        <v>80</v>
      </c>
      <c r="I157">
        <v>1040</v>
      </c>
      <c r="J157">
        <v>349</v>
      </c>
      <c r="K157">
        <v>522</v>
      </c>
      <c r="L157">
        <v>117</v>
      </c>
      <c r="M157" s="12" t="s">
        <v>27</v>
      </c>
      <c r="N157" s="12" t="s">
        <v>28</v>
      </c>
    </row>
    <row r="158" spans="1:14" x14ac:dyDescent="0.35">
      <c r="A158" s="12" t="s">
        <v>227</v>
      </c>
      <c r="B158" s="12" t="s">
        <v>24</v>
      </c>
      <c r="C158" s="17">
        <v>45593</v>
      </c>
      <c r="D158" s="12" t="s">
        <v>32</v>
      </c>
      <c r="E158" s="12" t="s">
        <v>117</v>
      </c>
      <c r="F158">
        <v>4929</v>
      </c>
      <c r="G158">
        <v>749</v>
      </c>
      <c r="H158">
        <v>452</v>
      </c>
      <c r="I158">
        <v>93651</v>
      </c>
      <c r="J158">
        <v>92810</v>
      </c>
      <c r="K158">
        <v>6130</v>
      </c>
      <c r="L158">
        <v>66</v>
      </c>
      <c r="M158" s="12" t="s">
        <v>34</v>
      </c>
      <c r="N158" s="12" t="s">
        <v>35</v>
      </c>
    </row>
    <row r="159" spans="1:14" x14ac:dyDescent="0.35">
      <c r="A159" s="12" t="s">
        <v>228</v>
      </c>
      <c r="B159" s="12" t="s">
        <v>30</v>
      </c>
      <c r="C159" s="17">
        <v>45516</v>
      </c>
      <c r="D159" s="12" t="s">
        <v>40</v>
      </c>
      <c r="E159" s="12" t="s">
        <v>75</v>
      </c>
      <c r="F159">
        <v>1878</v>
      </c>
      <c r="G159">
        <v>62</v>
      </c>
      <c r="H159">
        <v>179</v>
      </c>
      <c r="I159">
        <v>37560</v>
      </c>
      <c r="J159">
        <v>36874</v>
      </c>
      <c r="K159">
        <v>2119</v>
      </c>
      <c r="L159">
        <v>142</v>
      </c>
      <c r="M159" s="12" t="s">
        <v>27</v>
      </c>
      <c r="N159" s="12" t="s">
        <v>35</v>
      </c>
    </row>
    <row r="160" spans="1:14" x14ac:dyDescent="0.35">
      <c r="A160" s="12" t="s">
        <v>229</v>
      </c>
      <c r="B160" s="12" t="s">
        <v>24</v>
      </c>
      <c r="C160" s="17">
        <v>45448</v>
      </c>
      <c r="D160" s="12" t="s">
        <v>16</v>
      </c>
      <c r="E160" s="12" t="s">
        <v>26</v>
      </c>
      <c r="F160">
        <v>3065</v>
      </c>
      <c r="G160">
        <v>772</v>
      </c>
      <c r="H160">
        <v>142</v>
      </c>
      <c r="I160">
        <v>18390</v>
      </c>
      <c r="J160">
        <v>17875</v>
      </c>
      <c r="K160">
        <v>3979</v>
      </c>
      <c r="L160">
        <v>200</v>
      </c>
      <c r="M160" s="12" t="s">
        <v>34</v>
      </c>
      <c r="N160" s="12"/>
    </row>
    <row r="161" spans="1:14" x14ac:dyDescent="0.35">
      <c r="A161" s="12" t="s">
        <v>229</v>
      </c>
      <c r="B161" s="12" t="s">
        <v>24</v>
      </c>
      <c r="C161" s="17">
        <v>45448</v>
      </c>
      <c r="D161" s="12" t="s">
        <v>16</v>
      </c>
      <c r="E161" s="12" t="s">
        <v>26</v>
      </c>
      <c r="F161">
        <v>3065</v>
      </c>
      <c r="G161">
        <v>772</v>
      </c>
      <c r="H161">
        <v>142</v>
      </c>
      <c r="I161">
        <v>18390</v>
      </c>
      <c r="J161">
        <v>17875</v>
      </c>
      <c r="K161">
        <v>3979</v>
      </c>
      <c r="L161">
        <v>200</v>
      </c>
      <c r="M161" s="12" t="s">
        <v>431</v>
      </c>
      <c r="N161" s="12"/>
    </row>
    <row r="162" spans="1:14" x14ac:dyDescent="0.35">
      <c r="A162" s="12" t="s">
        <v>230</v>
      </c>
      <c r="B162" s="12" t="s">
        <v>30</v>
      </c>
      <c r="C162" s="17">
        <v>45586</v>
      </c>
      <c r="D162" s="12" t="s">
        <v>16</v>
      </c>
      <c r="E162" s="12" t="s">
        <v>70</v>
      </c>
      <c r="F162">
        <v>3256</v>
      </c>
      <c r="G162">
        <v>459</v>
      </c>
      <c r="H162">
        <v>266</v>
      </c>
      <c r="I162">
        <v>26048</v>
      </c>
      <c r="J162">
        <v>25529</v>
      </c>
      <c r="K162">
        <v>3981</v>
      </c>
      <c r="L162">
        <v>143</v>
      </c>
      <c r="M162" s="12" t="s">
        <v>27</v>
      </c>
      <c r="N162" s="12" t="s">
        <v>22</v>
      </c>
    </row>
    <row r="163" spans="1:14" x14ac:dyDescent="0.35">
      <c r="A163" s="12" t="s">
        <v>231</v>
      </c>
      <c r="B163" s="12" t="s">
        <v>30</v>
      </c>
      <c r="C163" s="17">
        <v>45762</v>
      </c>
      <c r="D163" s="12" t="s">
        <v>62</v>
      </c>
      <c r="E163" s="12" t="s">
        <v>72</v>
      </c>
      <c r="F163">
        <v>4133</v>
      </c>
      <c r="G163">
        <v>466</v>
      </c>
      <c r="H163">
        <v>327</v>
      </c>
      <c r="I163">
        <v>24798</v>
      </c>
      <c r="J163">
        <v>24620</v>
      </c>
      <c r="K163">
        <v>4926</v>
      </c>
      <c r="L163">
        <v>176</v>
      </c>
      <c r="M163" s="12" t="s">
        <v>34</v>
      </c>
      <c r="N163" s="12" t="s">
        <v>35</v>
      </c>
    </row>
    <row r="164" spans="1:14" x14ac:dyDescent="0.35">
      <c r="A164" s="12" t="s">
        <v>232</v>
      </c>
      <c r="B164" s="12" t="s">
        <v>14</v>
      </c>
      <c r="C164" s="17">
        <v>45459</v>
      </c>
      <c r="D164" s="12" t="s">
        <v>62</v>
      </c>
      <c r="E164" s="12" t="s">
        <v>109</v>
      </c>
      <c r="F164">
        <v>1702</v>
      </c>
      <c r="G164">
        <v>750</v>
      </c>
      <c r="H164">
        <v>179</v>
      </c>
      <c r="I164">
        <v>34040</v>
      </c>
      <c r="J164">
        <v>33174</v>
      </c>
      <c r="K164">
        <v>2631</v>
      </c>
      <c r="L164">
        <v>76</v>
      </c>
      <c r="M164" s="12" t="s">
        <v>34</v>
      </c>
      <c r="N164" s="12" t="s">
        <v>18</v>
      </c>
    </row>
    <row r="165" spans="1:14" x14ac:dyDescent="0.35">
      <c r="A165" s="12" t="s">
        <v>233</v>
      </c>
      <c r="B165" s="12" t="s">
        <v>24</v>
      </c>
      <c r="C165" s="17">
        <v>45526</v>
      </c>
      <c r="D165" s="12" t="s">
        <v>40</v>
      </c>
      <c r="E165" s="12" t="s">
        <v>58</v>
      </c>
      <c r="F165">
        <v>4295</v>
      </c>
      <c r="G165">
        <v>853</v>
      </c>
      <c r="H165">
        <v>325</v>
      </c>
      <c r="I165">
        <v>85900</v>
      </c>
      <c r="J165">
        <v>85788</v>
      </c>
      <c r="K165">
        <v>5473</v>
      </c>
      <c r="L165">
        <v>290</v>
      </c>
      <c r="M165" s="12" t="s">
        <v>27</v>
      </c>
      <c r="N165" s="12" t="s">
        <v>35</v>
      </c>
    </row>
    <row r="166" spans="1:14" x14ac:dyDescent="0.35">
      <c r="A166" s="12" t="s">
        <v>234</v>
      </c>
      <c r="B166" s="12" t="s">
        <v>30</v>
      </c>
      <c r="C166" s="17">
        <v>45499</v>
      </c>
      <c r="D166" s="12" t="s">
        <v>46</v>
      </c>
      <c r="E166" s="12" t="s">
        <v>155</v>
      </c>
      <c r="F166">
        <v>3559</v>
      </c>
      <c r="G166">
        <v>59</v>
      </c>
      <c r="H166">
        <v>289</v>
      </c>
      <c r="I166">
        <v>35590</v>
      </c>
      <c r="J166">
        <v>35105</v>
      </c>
      <c r="K166">
        <v>3907</v>
      </c>
      <c r="L166">
        <v>122</v>
      </c>
      <c r="M166" s="12" t="s">
        <v>34</v>
      </c>
      <c r="N166" s="12" t="s">
        <v>18</v>
      </c>
    </row>
    <row r="167" spans="1:14" x14ac:dyDescent="0.35">
      <c r="A167" s="12" t="s">
        <v>235</v>
      </c>
      <c r="B167" s="12" t="s">
        <v>38</v>
      </c>
      <c r="C167" s="17">
        <v>45769</v>
      </c>
      <c r="D167" s="12" t="s">
        <v>46</v>
      </c>
      <c r="E167" s="12" t="s">
        <v>51</v>
      </c>
      <c r="F167">
        <v>4804</v>
      </c>
      <c r="G167">
        <v>550</v>
      </c>
      <c r="H167">
        <v>270</v>
      </c>
      <c r="I167">
        <v>28824</v>
      </c>
      <c r="J167">
        <v>28370</v>
      </c>
      <c r="K167">
        <v>5624</v>
      </c>
      <c r="L167">
        <v>47</v>
      </c>
      <c r="M167" s="12" t="s">
        <v>34</v>
      </c>
      <c r="N167" s="12" t="s">
        <v>35</v>
      </c>
    </row>
    <row r="168" spans="1:14" x14ac:dyDescent="0.35">
      <c r="A168" s="12" t="s">
        <v>236</v>
      </c>
      <c r="B168" s="12" t="s">
        <v>14</v>
      </c>
      <c r="C168" s="17">
        <v>45658</v>
      </c>
      <c r="D168" s="12" t="s">
        <v>62</v>
      </c>
      <c r="E168" s="12" t="s">
        <v>109</v>
      </c>
      <c r="F168">
        <v>754</v>
      </c>
      <c r="G168">
        <v>197</v>
      </c>
      <c r="H168">
        <v>257</v>
      </c>
      <c r="I168">
        <v>6786</v>
      </c>
      <c r="J168">
        <v>6221</v>
      </c>
      <c r="K168">
        <v>1208</v>
      </c>
      <c r="L168">
        <v>212</v>
      </c>
      <c r="M168" s="12" t="s">
        <v>27</v>
      </c>
      <c r="N168" s="12" t="s">
        <v>28</v>
      </c>
    </row>
    <row r="169" spans="1:14" x14ac:dyDescent="0.35">
      <c r="A169" s="12" t="s">
        <v>237</v>
      </c>
      <c r="B169" s="12" t="s">
        <v>30</v>
      </c>
      <c r="C169" s="17">
        <v>45574</v>
      </c>
      <c r="D169" s="12" t="s">
        <v>40</v>
      </c>
      <c r="E169" s="12" t="s">
        <v>75</v>
      </c>
      <c r="F169">
        <v>985</v>
      </c>
      <c r="G169">
        <v>932</v>
      </c>
      <c r="H169">
        <v>287</v>
      </c>
      <c r="I169">
        <v>6895</v>
      </c>
      <c r="J169">
        <v>6757</v>
      </c>
      <c r="K169">
        <v>2204</v>
      </c>
      <c r="L169">
        <v>64</v>
      </c>
      <c r="M169" s="12" t="s">
        <v>53</v>
      </c>
      <c r="N169" s="12" t="s">
        <v>35</v>
      </c>
    </row>
    <row r="170" spans="1:14" x14ac:dyDescent="0.35">
      <c r="A170" s="12" t="s">
        <v>238</v>
      </c>
      <c r="B170" s="12" t="s">
        <v>24</v>
      </c>
      <c r="C170" s="17">
        <v>45647</v>
      </c>
      <c r="D170" s="12" t="s">
        <v>46</v>
      </c>
      <c r="E170" s="12" t="s">
        <v>47</v>
      </c>
      <c r="F170">
        <v>2283</v>
      </c>
      <c r="G170">
        <v>210</v>
      </c>
      <c r="H170">
        <v>130</v>
      </c>
      <c r="I170">
        <v>22830</v>
      </c>
      <c r="J170">
        <v>22617</v>
      </c>
      <c r="K170">
        <v>2623</v>
      </c>
      <c r="L170">
        <v>143</v>
      </c>
      <c r="M170" s="12" t="s">
        <v>53</v>
      </c>
      <c r="N170" s="12" t="s">
        <v>22</v>
      </c>
    </row>
    <row r="171" spans="1:14" x14ac:dyDescent="0.35">
      <c r="A171" s="12" t="s">
        <v>239</v>
      </c>
      <c r="B171" s="12" t="s">
        <v>38</v>
      </c>
      <c r="C171" s="17">
        <v>45587</v>
      </c>
      <c r="D171" s="12" t="s">
        <v>40</v>
      </c>
      <c r="E171" s="12" t="s">
        <v>41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4775</v>
      </c>
      <c r="L171">
        <v>240</v>
      </c>
      <c r="M171" s="12" t="s">
        <v>53</v>
      </c>
      <c r="N171" s="12" t="s">
        <v>22</v>
      </c>
    </row>
    <row r="172" spans="1:14" x14ac:dyDescent="0.35">
      <c r="A172" s="12" t="s">
        <v>240</v>
      </c>
      <c r="B172" s="12" t="s">
        <v>24</v>
      </c>
      <c r="C172" s="17">
        <v>45496</v>
      </c>
      <c r="D172" s="12" t="s">
        <v>32</v>
      </c>
      <c r="E172" s="12" t="s">
        <v>117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5154</v>
      </c>
      <c r="L172">
        <v>187</v>
      </c>
      <c r="M172" s="12" t="s">
        <v>53</v>
      </c>
      <c r="N172" s="12" t="s">
        <v>22</v>
      </c>
    </row>
    <row r="173" spans="1:14" x14ac:dyDescent="0.35">
      <c r="A173" s="12" t="s">
        <v>241</v>
      </c>
      <c r="B173" s="12" t="s">
        <v>30</v>
      </c>
      <c r="C173" s="17">
        <v>45515</v>
      </c>
      <c r="D173" s="12" t="s">
        <v>32</v>
      </c>
      <c r="E173" s="12" t="s">
        <v>33</v>
      </c>
      <c r="F173">
        <v>1762</v>
      </c>
      <c r="G173">
        <v>405</v>
      </c>
      <c r="H173">
        <v>423</v>
      </c>
      <c r="I173">
        <v>22906</v>
      </c>
      <c r="J173">
        <v>21925</v>
      </c>
      <c r="K173">
        <v>2590</v>
      </c>
      <c r="L173">
        <v>25</v>
      </c>
      <c r="M173" s="12" t="s">
        <v>27</v>
      </c>
      <c r="N173" s="12" t="s">
        <v>18</v>
      </c>
    </row>
    <row r="174" spans="1:14" x14ac:dyDescent="0.35">
      <c r="A174" s="12" t="s">
        <v>242</v>
      </c>
      <c r="B174" s="12" t="s">
        <v>38</v>
      </c>
      <c r="C174" s="17">
        <v>45621</v>
      </c>
      <c r="D174" s="12" t="s">
        <v>32</v>
      </c>
      <c r="E174" s="12" t="s">
        <v>60</v>
      </c>
      <c r="F174">
        <v>2120</v>
      </c>
      <c r="G174">
        <v>158</v>
      </c>
      <c r="H174">
        <v>488</v>
      </c>
      <c r="I174">
        <v>12720</v>
      </c>
      <c r="J174">
        <v>12085</v>
      </c>
      <c r="K174">
        <v>2766</v>
      </c>
      <c r="L174">
        <v>17</v>
      </c>
      <c r="M174" s="12" t="s">
        <v>53</v>
      </c>
      <c r="N174" s="12" t="s">
        <v>22</v>
      </c>
    </row>
    <row r="175" spans="1:14" x14ac:dyDescent="0.35">
      <c r="A175" s="12" t="s">
        <v>243</v>
      </c>
      <c r="B175" s="12" t="s">
        <v>14</v>
      </c>
      <c r="C175" s="17">
        <v>45528</v>
      </c>
      <c r="D175" s="12" t="s">
        <v>62</v>
      </c>
      <c r="E175" s="12" t="s">
        <v>109</v>
      </c>
      <c r="F175">
        <v>1082</v>
      </c>
      <c r="G175">
        <v>209</v>
      </c>
      <c r="H175">
        <v>484</v>
      </c>
      <c r="I175">
        <v>19476</v>
      </c>
      <c r="J175">
        <v>18654</v>
      </c>
      <c r="K175">
        <v>1775</v>
      </c>
      <c r="L175">
        <v>20</v>
      </c>
      <c r="M175" s="12" t="s">
        <v>27</v>
      </c>
      <c r="N175" s="12"/>
    </row>
    <row r="176" spans="1:14" x14ac:dyDescent="0.35">
      <c r="A176" s="12" t="s">
        <v>244</v>
      </c>
      <c r="B176" s="12" t="s">
        <v>14</v>
      </c>
      <c r="C176" s="17">
        <v>45707</v>
      </c>
      <c r="D176" s="12" t="s">
        <v>20</v>
      </c>
      <c r="E176" s="12" t="s">
        <v>21</v>
      </c>
      <c r="F176">
        <v>4671</v>
      </c>
      <c r="G176">
        <v>876</v>
      </c>
      <c r="H176">
        <v>366</v>
      </c>
      <c r="I176">
        <v>51381</v>
      </c>
      <c r="J176">
        <v>50565</v>
      </c>
      <c r="K176">
        <v>5913</v>
      </c>
      <c r="L176">
        <v>245</v>
      </c>
      <c r="M176" s="12" t="s">
        <v>27</v>
      </c>
      <c r="N176" s="12" t="s">
        <v>35</v>
      </c>
    </row>
    <row r="177" spans="1:14" x14ac:dyDescent="0.35">
      <c r="A177" s="12" t="s">
        <v>245</v>
      </c>
      <c r="B177" s="12" t="s">
        <v>38</v>
      </c>
      <c r="C177" s="17">
        <v>45748</v>
      </c>
      <c r="D177" s="12" t="s">
        <v>32</v>
      </c>
      <c r="E177" s="12" t="s">
        <v>60</v>
      </c>
      <c r="F177">
        <v>3430</v>
      </c>
      <c r="G177">
        <v>566</v>
      </c>
      <c r="H177">
        <v>164</v>
      </c>
      <c r="I177">
        <v>48020</v>
      </c>
      <c r="J177">
        <v>47305</v>
      </c>
      <c r="K177">
        <v>4160</v>
      </c>
      <c r="L177">
        <v>120</v>
      </c>
      <c r="M177" s="12" t="s">
        <v>53</v>
      </c>
      <c r="N177" s="12"/>
    </row>
    <row r="178" spans="1:14" x14ac:dyDescent="0.35">
      <c r="A178" s="12" t="s">
        <v>246</v>
      </c>
      <c r="B178" s="12" t="s">
        <v>30</v>
      </c>
      <c r="C178" s="17">
        <v>45755</v>
      </c>
      <c r="D178" s="12" t="s">
        <v>46</v>
      </c>
      <c r="E178" s="12" t="s">
        <v>155</v>
      </c>
      <c r="F178">
        <v>4501</v>
      </c>
      <c r="G178">
        <v>375</v>
      </c>
      <c r="H178">
        <v>323</v>
      </c>
      <c r="I178">
        <v>22505</v>
      </c>
      <c r="J178">
        <v>21836</v>
      </c>
      <c r="K178">
        <v>5199</v>
      </c>
      <c r="L178">
        <v>132</v>
      </c>
      <c r="M178" s="12" t="s">
        <v>27</v>
      </c>
      <c r="N178" s="12" t="s">
        <v>22</v>
      </c>
    </row>
    <row r="179" spans="1:14" x14ac:dyDescent="0.35">
      <c r="A179" s="12" t="s">
        <v>247</v>
      </c>
      <c r="B179" s="12" t="s">
        <v>24</v>
      </c>
      <c r="C179" s="17">
        <v>45715</v>
      </c>
      <c r="D179" s="12" t="s">
        <v>20</v>
      </c>
      <c r="E179" s="12" t="s">
        <v>83</v>
      </c>
      <c r="F179">
        <v>4934</v>
      </c>
      <c r="G179">
        <v>971</v>
      </c>
      <c r="H179">
        <v>156</v>
      </c>
      <c r="I179">
        <v>39472</v>
      </c>
      <c r="J179">
        <v>39025</v>
      </c>
      <c r="K179">
        <v>6061</v>
      </c>
      <c r="L179">
        <v>169</v>
      </c>
      <c r="M179" s="12" t="s">
        <v>27</v>
      </c>
      <c r="N179" s="12" t="s">
        <v>35</v>
      </c>
    </row>
    <row r="180" spans="1:14" x14ac:dyDescent="0.35">
      <c r="A180" s="12" t="s">
        <v>247</v>
      </c>
      <c r="B180" s="12" t="s">
        <v>24</v>
      </c>
      <c r="C180" s="17">
        <v>45715</v>
      </c>
      <c r="D180" s="12" t="s">
        <v>20</v>
      </c>
      <c r="E180" s="12" t="s">
        <v>83</v>
      </c>
      <c r="F180">
        <v>4934</v>
      </c>
      <c r="G180">
        <v>971</v>
      </c>
      <c r="H180">
        <v>156</v>
      </c>
      <c r="I180">
        <v>39472</v>
      </c>
      <c r="J180">
        <v>39025</v>
      </c>
      <c r="K180">
        <v>6061</v>
      </c>
      <c r="L180">
        <v>169</v>
      </c>
      <c r="M180" s="12" t="s">
        <v>431</v>
      </c>
      <c r="N180" s="12" t="s">
        <v>35</v>
      </c>
    </row>
    <row r="181" spans="1:14" x14ac:dyDescent="0.35">
      <c r="A181" s="12" t="s">
        <v>248</v>
      </c>
      <c r="B181" s="12" t="s">
        <v>14</v>
      </c>
      <c r="C181" s="17">
        <v>45637</v>
      </c>
      <c r="D181" s="12" t="s">
        <v>20</v>
      </c>
      <c r="E181" s="12" t="s">
        <v>21</v>
      </c>
      <c r="F181">
        <v>3239</v>
      </c>
      <c r="G181">
        <v>43</v>
      </c>
      <c r="H181">
        <v>211</v>
      </c>
      <c r="I181">
        <v>22673</v>
      </c>
      <c r="J181">
        <v>22171</v>
      </c>
      <c r="K181">
        <v>3493</v>
      </c>
      <c r="L181">
        <v>230</v>
      </c>
      <c r="M181" s="12" t="s">
        <v>27</v>
      </c>
      <c r="N181" s="12" t="s">
        <v>22</v>
      </c>
    </row>
    <row r="182" spans="1:14" x14ac:dyDescent="0.35">
      <c r="A182" s="12" t="s">
        <v>249</v>
      </c>
      <c r="B182" s="12" t="s">
        <v>14</v>
      </c>
      <c r="C182" s="17">
        <v>45704</v>
      </c>
      <c r="D182" s="12" t="s">
        <v>16</v>
      </c>
      <c r="E182" s="12" t="s">
        <v>17</v>
      </c>
      <c r="F182">
        <v>1076</v>
      </c>
      <c r="G182">
        <v>313</v>
      </c>
      <c r="H182">
        <v>306</v>
      </c>
      <c r="I182">
        <v>11836</v>
      </c>
      <c r="J182">
        <v>11596</v>
      </c>
      <c r="K182">
        <v>1695</v>
      </c>
      <c r="L182">
        <v>104</v>
      </c>
      <c r="M182" s="12" t="s">
        <v>53</v>
      </c>
      <c r="N182" s="12" t="s">
        <v>18</v>
      </c>
    </row>
    <row r="183" spans="1:14" x14ac:dyDescent="0.35">
      <c r="A183" s="12" t="s">
        <v>250</v>
      </c>
      <c r="B183" s="12" t="s">
        <v>30</v>
      </c>
      <c r="C183" s="17">
        <v>45624</v>
      </c>
      <c r="D183" s="12" t="s">
        <v>20</v>
      </c>
      <c r="E183" s="12" t="s">
        <v>89</v>
      </c>
      <c r="F183">
        <v>4771</v>
      </c>
      <c r="G183">
        <v>818</v>
      </c>
      <c r="H183">
        <v>56</v>
      </c>
      <c r="I183">
        <v>57252</v>
      </c>
      <c r="J183">
        <v>56378</v>
      </c>
      <c r="K183">
        <v>5645</v>
      </c>
      <c r="L183">
        <v>150</v>
      </c>
      <c r="M183" s="12" t="s">
        <v>53</v>
      </c>
      <c r="N183" s="12"/>
    </row>
    <row r="184" spans="1:14" x14ac:dyDescent="0.35">
      <c r="A184" s="12" t="s">
        <v>251</v>
      </c>
      <c r="B184" s="12" t="s">
        <v>38</v>
      </c>
      <c r="C184" s="17">
        <v>45608</v>
      </c>
      <c r="D184" s="12" t="s">
        <v>20</v>
      </c>
      <c r="E184" s="12" t="s">
        <v>49</v>
      </c>
      <c r="F184">
        <v>2418</v>
      </c>
      <c r="G184">
        <v>754</v>
      </c>
      <c r="H184">
        <v>54</v>
      </c>
      <c r="I184">
        <v>43524</v>
      </c>
      <c r="J184">
        <v>42743</v>
      </c>
      <c r="K184">
        <v>3226</v>
      </c>
      <c r="L184">
        <v>182</v>
      </c>
      <c r="M184" s="12" t="s">
        <v>34</v>
      </c>
      <c r="N184" s="12" t="s">
        <v>18</v>
      </c>
    </row>
    <row r="185" spans="1:14" x14ac:dyDescent="0.35">
      <c r="A185" s="12" t="s">
        <v>252</v>
      </c>
      <c r="B185" s="12" t="s">
        <v>24</v>
      </c>
      <c r="C185" s="17">
        <v>45629</v>
      </c>
      <c r="D185" s="12" t="s">
        <v>62</v>
      </c>
      <c r="E185" s="12" t="s">
        <v>157</v>
      </c>
      <c r="F185">
        <v>3809</v>
      </c>
      <c r="G185">
        <v>273</v>
      </c>
      <c r="H185">
        <v>200</v>
      </c>
      <c r="I185">
        <v>34281</v>
      </c>
      <c r="J185">
        <v>33534</v>
      </c>
      <c r="K185">
        <v>4282</v>
      </c>
      <c r="L185">
        <v>83</v>
      </c>
      <c r="M185" s="12" t="s">
        <v>34</v>
      </c>
      <c r="N185" s="12" t="s">
        <v>18</v>
      </c>
    </row>
    <row r="186" spans="1:14" x14ac:dyDescent="0.35">
      <c r="A186" s="12" t="s">
        <v>253</v>
      </c>
      <c r="B186" s="12" t="s">
        <v>14</v>
      </c>
      <c r="C186" s="17">
        <v>45775</v>
      </c>
      <c r="D186" s="12" t="s">
        <v>20</v>
      </c>
      <c r="E186" s="12" t="s">
        <v>21</v>
      </c>
      <c r="F186">
        <v>3577</v>
      </c>
      <c r="G186">
        <v>596</v>
      </c>
      <c r="H186">
        <v>493</v>
      </c>
      <c r="I186">
        <v>67963</v>
      </c>
      <c r="J186">
        <v>67839</v>
      </c>
      <c r="K186">
        <v>4666</v>
      </c>
      <c r="L186">
        <v>53</v>
      </c>
      <c r="M186" s="12" t="s">
        <v>27</v>
      </c>
      <c r="N186" s="12" t="s">
        <v>28</v>
      </c>
    </row>
    <row r="187" spans="1:14" x14ac:dyDescent="0.35">
      <c r="A187" s="12" t="s">
        <v>255</v>
      </c>
      <c r="B187" s="12" t="s">
        <v>24</v>
      </c>
      <c r="C187" s="17">
        <v>45657</v>
      </c>
      <c r="D187" s="12" t="s">
        <v>62</v>
      </c>
      <c r="E187" s="12" t="s">
        <v>157</v>
      </c>
      <c r="F187">
        <v>1018</v>
      </c>
      <c r="G187">
        <v>447</v>
      </c>
      <c r="H187">
        <v>332</v>
      </c>
      <c r="I187">
        <v>18324</v>
      </c>
      <c r="J187">
        <v>18164</v>
      </c>
      <c r="K187">
        <v>1797</v>
      </c>
      <c r="L187">
        <v>38</v>
      </c>
      <c r="M187" s="12" t="s">
        <v>53</v>
      </c>
      <c r="N187" s="12" t="s">
        <v>22</v>
      </c>
    </row>
    <row r="188" spans="1:14" x14ac:dyDescent="0.35">
      <c r="A188" s="12" t="s">
        <v>256</v>
      </c>
      <c r="B188" s="12" t="s">
        <v>38</v>
      </c>
      <c r="C188" s="17">
        <v>45518</v>
      </c>
      <c r="D188" s="12" t="s">
        <v>40</v>
      </c>
      <c r="E188" s="12" t="s">
        <v>41</v>
      </c>
      <c r="F188">
        <v>3073</v>
      </c>
      <c r="G188">
        <v>553</v>
      </c>
      <c r="H188">
        <v>174</v>
      </c>
      <c r="I188">
        <v>52241</v>
      </c>
      <c r="J188">
        <v>51605</v>
      </c>
      <c r="K188">
        <v>3800</v>
      </c>
      <c r="L188">
        <v>246</v>
      </c>
      <c r="M188" s="12" t="s">
        <v>34</v>
      </c>
      <c r="N188" s="12" t="s">
        <v>28</v>
      </c>
    </row>
    <row r="189" spans="1:14" x14ac:dyDescent="0.35">
      <c r="A189" s="12" t="s">
        <v>257</v>
      </c>
      <c r="B189" s="12" t="s">
        <v>14</v>
      </c>
      <c r="C189" s="17">
        <v>45631</v>
      </c>
      <c r="D189" s="12" t="s">
        <v>62</v>
      </c>
      <c r="E189" s="12" t="s">
        <v>109</v>
      </c>
      <c r="F189">
        <v>1330</v>
      </c>
      <c r="G189">
        <v>925</v>
      </c>
      <c r="H189">
        <v>35</v>
      </c>
      <c r="I189">
        <v>15960</v>
      </c>
      <c r="J189">
        <v>15379</v>
      </c>
      <c r="K189">
        <v>2290</v>
      </c>
      <c r="L189">
        <v>229</v>
      </c>
      <c r="M189" s="12" t="s">
        <v>53</v>
      </c>
      <c r="N189" s="12" t="s">
        <v>28</v>
      </c>
    </row>
    <row r="190" spans="1:14" x14ac:dyDescent="0.35">
      <c r="A190" s="12" t="s">
        <v>258</v>
      </c>
      <c r="B190" s="12" t="s">
        <v>38</v>
      </c>
      <c r="C190" s="17">
        <v>45465</v>
      </c>
      <c r="D190" s="12" t="s">
        <v>20</v>
      </c>
      <c r="E190" s="12" t="s">
        <v>49</v>
      </c>
      <c r="F190">
        <v>3828</v>
      </c>
      <c r="G190">
        <v>148</v>
      </c>
      <c r="H190">
        <v>253</v>
      </c>
      <c r="I190">
        <v>30624</v>
      </c>
      <c r="J190">
        <v>30229</v>
      </c>
      <c r="K190">
        <v>4229</v>
      </c>
      <c r="L190">
        <v>235</v>
      </c>
      <c r="M190" s="12" t="s">
        <v>34</v>
      </c>
      <c r="N190" s="12"/>
    </row>
    <row r="191" spans="1:14" x14ac:dyDescent="0.35">
      <c r="A191" s="12" t="s">
        <v>259</v>
      </c>
      <c r="B191" s="12" t="s">
        <v>30</v>
      </c>
      <c r="C191" s="17">
        <v>45674</v>
      </c>
      <c r="D191" s="12" t="s">
        <v>16</v>
      </c>
      <c r="E191" s="12" t="s">
        <v>70</v>
      </c>
      <c r="F191">
        <v>142</v>
      </c>
      <c r="G191">
        <v>784</v>
      </c>
      <c r="H191">
        <v>183</v>
      </c>
      <c r="I191">
        <v>1704</v>
      </c>
      <c r="J191">
        <v>995</v>
      </c>
      <c r="K191">
        <v>1109</v>
      </c>
      <c r="L191">
        <v>154</v>
      </c>
      <c r="M191" s="12" t="s">
        <v>53</v>
      </c>
      <c r="N191" s="12" t="s">
        <v>35</v>
      </c>
    </row>
    <row r="192" spans="1:14" x14ac:dyDescent="0.35">
      <c r="A192" s="12" t="s">
        <v>260</v>
      </c>
      <c r="B192" s="12" t="s">
        <v>38</v>
      </c>
      <c r="C192" s="17">
        <v>45463</v>
      </c>
      <c r="D192" s="12" t="s">
        <v>62</v>
      </c>
      <c r="E192" s="12" t="s">
        <v>63</v>
      </c>
      <c r="F192">
        <v>3798</v>
      </c>
      <c r="G192">
        <v>31</v>
      </c>
      <c r="H192">
        <v>279</v>
      </c>
      <c r="I192">
        <v>75960</v>
      </c>
      <c r="J192">
        <v>75813</v>
      </c>
      <c r="K192">
        <v>4108</v>
      </c>
      <c r="L192">
        <v>266</v>
      </c>
      <c r="M192" s="12" t="s">
        <v>27</v>
      </c>
      <c r="N192" s="12" t="s">
        <v>18</v>
      </c>
    </row>
    <row r="193" spans="1:14" x14ac:dyDescent="0.35">
      <c r="A193" s="12" t="s">
        <v>261</v>
      </c>
      <c r="B193" s="12" t="s">
        <v>30</v>
      </c>
      <c r="C193" s="17">
        <v>45483</v>
      </c>
      <c r="D193" s="12" t="s">
        <v>40</v>
      </c>
      <c r="E193" s="12" t="s">
        <v>75</v>
      </c>
      <c r="F193">
        <v>3099</v>
      </c>
      <c r="G193">
        <v>694</v>
      </c>
      <c r="H193">
        <v>171</v>
      </c>
      <c r="I193">
        <v>43386</v>
      </c>
      <c r="J193">
        <v>42921</v>
      </c>
      <c r="K193">
        <v>3964</v>
      </c>
      <c r="L193">
        <v>52</v>
      </c>
      <c r="M193" s="12" t="s">
        <v>27</v>
      </c>
      <c r="N193" s="12" t="s">
        <v>28</v>
      </c>
    </row>
    <row r="194" spans="1:14" x14ac:dyDescent="0.35">
      <c r="A194" s="12" t="s">
        <v>262</v>
      </c>
      <c r="B194" s="12" t="s">
        <v>30</v>
      </c>
      <c r="C194" s="17">
        <v>45603</v>
      </c>
      <c r="D194" s="12" t="s">
        <v>62</v>
      </c>
      <c r="E194" s="12" t="s">
        <v>72</v>
      </c>
      <c r="F194">
        <v>129</v>
      </c>
      <c r="G194">
        <v>643</v>
      </c>
      <c r="H194">
        <v>136</v>
      </c>
      <c r="I194">
        <v>1290</v>
      </c>
      <c r="J194">
        <v>839</v>
      </c>
      <c r="K194">
        <v>908</v>
      </c>
      <c r="L194">
        <v>238</v>
      </c>
      <c r="M194" s="12" t="s">
        <v>27</v>
      </c>
      <c r="N194" s="12" t="s">
        <v>35</v>
      </c>
    </row>
    <row r="195" spans="1:14" x14ac:dyDescent="0.35">
      <c r="A195" s="12" t="s">
        <v>263</v>
      </c>
      <c r="B195" s="12" t="s">
        <v>38</v>
      </c>
      <c r="C195" s="17">
        <v>45488</v>
      </c>
      <c r="D195" s="12" t="s">
        <v>40</v>
      </c>
      <c r="E195" s="12" t="s">
        <v>41</v>
      </c>
      <c r="F195">
        <v>3796</v>
      </c>
      <c r="G195">
        <v>667</v>
      </c>
      <c r="H195">
        <v>395</v>
      </c>
      <c r="I195">
        <v>64532</v>
      </c>
      <c r="J195">
        <v>63550</v>
      </c>
      <c r="K195">
        <v>4858</v>
      </c>
      <c r="L195">
        <v>292</v>
      </c>
      <c r="M195" s="12" t="s">
        <v>27</v>
      </c>
      <c r="N195" s="12"/>
    </row>
    <row r="196" spans="1:14" x14ac:dyDescent="0.35">
      <c r="A196" s="12" t="s">
        <v>264</v>
      </c>
      <c r="B196" s="12" t="s">
        <v>24</v>
      </c>
      <c r="C196" s="17">
        <v>45629</v>
      </c>
      <c r="D196" s="12" t="s">
        <v>20</v>
      </c>
      <c r="E196" s="12" t="s">
        <v>83</v>
      </c>
      <c r="F196">
        <v>3711</v>
      </c>
      <c r="G196">
        <v>352</v>
      </c>
      <c r="H196">
        <v>290</v>
      </c>
      <c r="I196">
        <v>48243</v>
      </c>
      <c r="J196">
        <v>47579</v>
      </c>
      <c r="K196">
        <v>4353</v>
      </c>
      <c r="L196">
        <v>11</v>
      </c>
      <c r="M196" s="12" t="s">
        <v>27</v>
      </c>
      <c r="N196" s="12" t="s">
        <v>18</v>
      </c>
    </row>
    <row r="197" spans="1:14" x14ac:dyDescent="0.35">
      <c r="A197" s="12" t="s">
        <v>265</v>
      </c>
      <c r="B197" s="12" t="s">
        <v>24</v>
      </c>
      <c r="C197" s="17">
        <v>45737</v>
      </c>
      <c r="D197" s="12" t="s">
        <v>46</v>
      </c>
      <c r="E197" s="12" t="s">
        <v>47</v>
      </c>
      <c r="F197">
        <v>606</v>
      </c>
      <c r="G197">
        <v>789</v>
      </c>
      <c r="H197">
        <v>470</v>
      </c>
      <c r="I197">
        <v>7878</v>
      </c>
      <c r="J197">
        <v>7389</v>
      </c>
      <c r="K197">
        <v>1865</v>
      </c>
      <c r="L197">
        <v>239</v>
      </c>
      <c r="M197" s="12" t="s">
        <v>34</v>
      </c>
      <c r="N197" s="12" t="s">
        <v>28</v>
      </c>
    </row>
    <row r="198" spans="1:14" x14ac:dyDescent="0.35">
      <c r="A198" s="12" t="s">
        <v>266</v>
      </c>
      <c r="B198" s="12" t="s">
        <v>38</v>
      </c>
      <c r="C198" s="17">
        <v>45504</v>
      </c>
      <c r="D198" s="12" t="s">
        <v>46</v>
      </c>
      <c r="E198" s="12" t="s">
        <v>51</v>
      </c>
      <c r="F198">
        <v>4689</v>
      </c>
      <c r="G198">
        <v>134</v>
      </c>
      <c r="H198">
        <v>403</v>
      </c>
      <c r="I198">
        <v>51579</v>
      </c>
      <c r="J198">
        <v>50924</v>
      </c>
      <c r="K198">
        <v>5226</v>
      </c>
      <c r="L198">
        <v>173</v>
      </c>
      <c r="M198" s="12" t="s">
        <v>27</v>
      </c>
      <c r="N198" s="12" t="s">
        <v>35</v>
      </c>
    </row>
    <row r="199" spans="1:14" x14ac:dyDescent="0.35">
      <c r="A199" s="12" t="s">
        <v>267</v>
      </c>
      <c r="B199" s="12" t="s">
        <v>30</v>
      </c>
      <c r="C199" s="17">
        <v>45643</v>
      </c>
      <c r="D199" s="12" t="s">
        <v>32</v>
      </c>
      <c r="E199" s="12" t="s">
        <v>33</v>
      </c>
      <c r="F199">
        <v>360</v>
      </c>
      <c r="G199">
        <v>590</v>
      </c>
      <c r="H199">
        <v>393</v>
      </c>
      <c r="I199">
        <v>4680</v>
      </c>
      <c r="J199">
        <v>4322</v>
      </c>
      <c r="K199">
        <v>1343</v>
      </c>
      <c r="L199">
        <v>208</v>
      </c>
      <c r="M199" s="12" t="s">
        <v>53</v>
      </c>
      <c r="N199" s="12" t="s">
        <v>22</v>
      </c>
    </row>
    <row r="200" spans="1:14" x14ac:dyDescent="0.35">
      <c r="A200" s="12" t="s">
        <v>268</v>
      </c>
      <c r="B200" s="12" t="s">
        <v>14</v>
      </c>
      <c r="C200" s="17">
        <v>45501</v>
      </c>
      <c r="D200" s="12" t="s">
        <v>46</v>
      </c>
      <c r="E200" s="12" t="s">
        <v>102</v>
      </c>
      <c r="F200">
        <v>3215</v>
      </c>
      <c r="G200">
        <v>960</v>
      </c>
      <c r="H200">
        <v>202</v>
      </c>
      <c r="I200">
        <v>32150</v>
      </c>
      <c r="J200">
        <v>31404</v>
      </c>
      <c r="K200">
        <v>4377</v>
      </c>
      <c r="L200">
        <v>251</v>
      </c>
      <c r="M200" s="12" t="s">
        <v>34</v>
      </c>
      <c r="N200" s="12" t="s">
        <v>18</v>
      </c>
    </row>
    <row r="201" spans="1:14" x14ac:dyDescent="0.35">
      <c r="A201" s="12" t="s">
        <v>269</v>
      </c>
      <c r="B201" s="12" t="s">
        <v>30</v>
      </c>
      <c r="C201" s="17">
        <v>45668</v>
      </c>
      <c r="D201" s="12" t="s">
        <v>40</v>
      </c>
      <c r="E201" s="12" t="s">
        <v>75</v>
      </c>
      <c r="F201">
        <v>4523</v>
      </c>
      <c r="G201">
        <v>61</v>
      </c>
      <c r="H201">
        <v>157</v>
      </c>
      <c r="I201">
        <v>49753</v>
      </c>
      <c r="J201">
        <v>49329</v>
      </c>
      <c r="K201">
        <v>4741</v>
      </c>
      <c r="L201">
        <v>71</v>
      </c>
      <c r="M201" s="12" t="s">
        <v>34</v>
      </c>
      <c r="N201" s="12"/>
    </row>
    <row r="202" spans="1:14" x14ac:dyDescent="0.35">
      <c r="A202" s="12" t="s">
        <v>270</v>
      </c>
      <c r="B202" s="12" t="s">
        <v>38</v>
      </c>
      <c r="C202" s="17">
        <v>45528</v>
      </c>
      <c r="D202" s="12" t="s">
        <v>40</v>
      </c>
      <c r="E202" s="12" t="s">
        <v>41</v>
      </c>
      <c r="F202">
        <v>4292</v>
      </c>
      <c r="G202">
        <v>51</v>
      </c>
      <c r="H202">
        <v>392</v>
      </c>
      <c r="I202">
        <v>55796</v>
      </c>
      <c r="J202">
        <v>54826</v>
      </c>
      <c r="K202">
        <v>4735</v>
      </c>
      <c r="L202">
        <v>264</v>
      </c>
      <c r="M202" s="12" t="s">
        <v>34</v>
      </c>
      <c r="N202" s="12" t="s">
        <v>28</v>
      </c>
    </row>
    <row r="203" spans="1:14" x14ac:dyDescent="0.35">
      <c r="A203" s="12" t="s">
        <v>271</v>
      </c>
      <c r="B203" s="12" t="s">
        <v>14</v>
      </c>
      <c r="C203" s="17">
        <v>45648</v>
      </c>
      <c r="D203" s="12" t="s">
        <v>16</v>
      </c>
      <c r="E203" s="12" t="s">
        <v>17</v>
      </c>
      <c r="F203">
        <v>1644</v>
      </c>
      <c r="G203">
        <v>546</v>
      </c>
      <c r="H203">
        <v>150</v>
      </c>
      <c r="I203">
        <v>27948</v>
      </c>
      <c r="J203">
        <v>27184</v>
      </c>
      <c r="K203">
        <v>2340</v>
      </c>
      <c r="L203">
        <v>300</v>
      </c>
      <c r="M203" s="12" t="s">
        <v>34</v>
      </c>
      <c r="N203" s="12" t="s">
        <v>28</v>
      </c>
    </row>
    <row r="204" spans="1:14" x14ac:dyDescent="0.35">
      <c r="A204" s="12" t="s">
        <v>272</v>
      </c>
      <c r="B204" s="12" t="s">
        <v>24</v>
      </c>
      <c r="C204" s="17">
        <v>45449</v>
      </c>
      <c r="D204" s="12" t="s">
        <v>16</v>
      </c>
      <c r="E204" s="12" t="s">
        <v>26</v>
      </c>
      <c r="F204">
        <v>2728</v>
      </c>
      <c r="G204">
        <v>533</v>
      </c>
      <c r="H204">
        <v>215</v>
      </c>
      <c r="I204">
        <v>40920</v>
      </c>
      <c r="J204">
        <v>40816</v>
      </c>
      <c r="K204">
        <v>3476</v>
      </c>
      <c r="L204">
        <v>137</v>
      </c>
      <c r="M204" s="12" t="s">
        <v>53</v>
      </c>
      <c r="N204" s="12" t="s">
        <v>22</v>
      </c>
    </row>
    <row r="205" spans="1:14" x14ac:dyDescent="0.35">
      <c r="A205" s="12" t="s">
        <v>273</v>
      </c>
      <c r="B205" s="12" t="s">
        <v>38</v>
      </c>
      <c r="C205" s="17">
        <v>45740</v>
      </c>
      <c r="D205" s="12" t="s">
        <v>16</v>
      </c>
      <c r="E205" s="12" t="s">
        <v>55</v>
      </c>
      <c r="F205">
        <v>3360</v>
      </c>
      <c r="G205">
        <v>525</v>
      </c>
      <c r="H205">
        <v>500</v>
      </c>
      <c r="I205">
        <v>60480</v>
      </c>
      <c r="J205">
        <v>59610</v>
      </c>
      <c r="K205">
        <v>4385</v>
      </c>
      <c r="L205">
        <v>192</v>
      </c>
      <c r="M205" s="12" t="s">
        <v>27</v>
      </c>
      <c r="N205" s="12" t="s">
        <v>18</v>
      </c>
    </row>
    <row r="206" spans="1:14" x14ac:dyDescent="0.35">
      <c r="A206" s="12" t="s">
        <v>274</v>
      </c>
      <c r="B206" s="12" t="s">
        <v>24</v>
      </c>
      <c r="C206" s="17">
        <v>45569</v>
      </c>
      <c r="D206" s="12" t="s">
        <v>20</v>
      </c>
      <c r="E206" s="12" t="s">
        <v>83</v>
      </c>
      <c r="F206">
        <v>1963</v>
      </c>
      <c r="G206">
        <v>213</v>
      </c>
      <c r="H206">
        <v>19</v>
      </c>
      <c r="I206">
        <v>39260</v>
      </c>
      <c r="J206">
        <v>38771</v>
      </c>
      <c r="K206">
        <v>2195</v>
      </c>
      <c r="L206">
        <v>145</v>
      </c>
      <c r="M206" s="12" t="s">
        <v>53</v>
      </c>
      <c r="N206" s="12"/>
    </row>
    <row r="207" spans="1:14" x14ac:dyDescent="0.35">
      <c r="A207" s="12" t="s">
        <v>275</v>
      </c>
      <c r="B207" s="12" t="s">
        <v>24</v>
      </c>
      <c r="C207" s="17">
        <v>45629</v>
      </c>
      <c r="D207" s="12" t="s">
        <v>32</v>
      </c>
      <c r="E207" s="12" t="s">
        <v>117</v>
      </c>
      <c r="F207">
        <v>4285</v>
      </c>
      <c r="G207">
        <v>886</v>
      </c>
      <c r="H207">
        <v>376</v>
      </c>
      <c r="I207">
        <v>55705</v>
      </c>
      <c r="J207">
        <v>55556</v>
      </c>
      <c r="K207">
        <v>5547</v>
      </c>
      <c r="L207">
        <v>51</v>
      </c>
      <c r="M207" s="12" t="s">
        <v>53</v>
      </c>
      <c r="N207" s="12" t="s">
        <v>28</v>
      </c>
    </row>
    <row r="208" spans="1:14" x14ac:dyDescent="0.35">
      <c r="A208" s="12" t="s">
        <v>276</v>
      </c>
      <c r="B208" s="12" t="s">
        <v>30</v>
      </c>
      <c r="C208" s="17">
        <v>45625</v>
      </c>
      <c r="D208" s="12" t="s">
        <v>62</v>
      </c>
      <c r="E208" s="12" t="s">
        <v>72</v>
      </c>
      <c r="F208">
        <v>1176</v>
      </c>
      <c r="G208">
        <v>464</v>
      </c>
      <c r="H208">
        <v>394</v>
      </c>
      <c r="I208">
        <v>14112</v>
      </c>
      <c r="J208">
        <v>13588</v>
      </c>
      <c r="K208">
        <v>2034</v>
      </c>
      <c r="L208">
        <v>272</v>
      </c>
      <c r="M208" s="12" t="s">
        <v>34</v>
      </c>
      <c r="N208" s="12"/>
    </row>
    <row r="209" spans="1:14" x14ac:dyDescent="0.35">
      <c r="A209" s="12" t="s">
        <v>277</v>
      </c>
      <c r="B209" s="12" t="s">
        <v>14</v>
      </c>
      <c r="C209" s="17">
        <v>45546</v>
      </c>
      <c r="D209" s="12" t="s">
        <v>46</v>
      </c>
      <c r="E209" s="12" t="s">
        <v>102</v>
      </c>
      <c r="F209">
        <v>4858</v>
      </c>
      <c r="G209">
        <v>317</v>
      </c>
      <c r="H209">
        <v>129</v>
      </c>
      <c r="I209">
        <v>53438</v>
      </c>
      <c r="J209">
        <v>52687</v>
      </c>
      <c r="K209">
        <v>5304</v>
      </c>
      <c r="L209">
        <v>223</v>
      </c>
      <c r="M209" s="12" t="s">
        <v>34</v>
      </c>
      <c r="N209" s="12" t="s">
        <v>28</v>
      </c>
    </row>
    <row r="210" spans="1:14" x14ac:dyDescent="0.35">
      <c r="A210" s="12" t="s">
        <v>278</v>
      </c>
      <c r="B210" s="12" t="s">
        <v>24</v>
      </c>
      <c r="C210" s="17">
        <v>45567</v>
      </c>
      <c r="D210" s="12" t="s">
        <v>32</v>
      </c>
      <c r="E210" s="12" t="s">
        <v>117</v>
      </c>
      <c r="F210">
        <v>4350</v>
      </c>
      <c r="G210">
        <v>771</v>
      </c>
      <c r="H210">
        <v>7</v>
      </c>
      <c r="I210">
        <v>60900</v>
      </c>
      <c r="J210">
        <v>60592</v>
      </c>
      <c r="K210">
        <v>5128</v>
      </c>
      <c r="L210">
        <v>195</v>
      </c>
      <c r="M210" s="12" t="s">
        <v>34</v>
      </c>
      <c r="N210" s="12" t="s">
        <v>18</v>
      </c>
    </row>
    <row r="211" spans="1:14" x14ac:dyDescent="0.35">
      <c r="A211" s="12" t="s">
        <v>279</v>
      </c>
      <c r="B211" s="12" t="s">
        <v>30</v>
      </c>
      <c r="C211" s="17">
        <v>45519</v>
      </c>
      <c r="D211" s="12" t="s">
        <v>40</v>
      </c>
      <c r="E211" s="12" t="s">
        <v>75</v>
      </c>
      <c r="F211">
        <v>914</v>
      </c>
      <c r="G211">
        <v>464</v>
      </c>
      <c r="H211">
        <v>246</v>
      </c>
      <c r="I211">
        <v>11882</v>
      </c>
      <c r="J211">
        <v>11500</v>
      </c>
      <c r="K211">
        <v>1624</v>
      </c>
      <c r="L211">
        <v>282</v>
      </c>
      <c r="M211" s="12" t="s">
        <v>53</v>
      </c>
      <c r="N211" s="12" t="s">
        <v>35</v>
      </c>
    </row>
    <row r="212" spans="1:14" x14ac:dyDescent="0.35">
      <c r="A212" s="12" t="s">
        <v>279</v>
      </c>
      <c r="B212" s="12" t="s">
        <v>30</v>
      </c>
      <c r="C212" s="17">
        <v>45519</v>
      </c>
      <c r="D212" s="12" t="s">
        <v>40</v>
      </c>
      <c r="E212" s="12" t="s">
        <v>75</v>
      </c>
      <c r="F212">
        <v>914</v>
      </c>
      <c r="G212">
        <v>464</v>
      </c>
      <c r="H212">
        <v>246</v>
      </c>
      <c r="I212">
        <v>11882</v>
      </c>
      <c r="J212">
        <v>11500</v>
      </c>
      <c r="K212">
        <v>1624</v>
      </c>
      <c r="L212">
        <v>282</v>
      </c>
      <c r="M212" s="12" t="s">
        <v>27</v>
      </c>
      <c r="N212" s="12" t="s">
        <v>35</v>
      </c>
    </row>
    <row r="213" spans="1:14" x14ac:dyDescent="0.35">
      <c r="A213" s="12" t="s">
        <v>279</v>
      </c>
      <c r="B213" s="12" t="s">
        <v>30</v>
      </c>
      <c r="C213" s="17">
        <v>45519</v>
      </c>
      <c r="D213" s="12" t="s">
        <v>40</v>
      </c>
      <c r="E213" s="12" t="s">
        <v>75</v>
      </c>
      <c r="F213">
        <v>914</v>
      </c>
      <c r="G213">
        <v>464</v>
      </c>
      <c r="H213">
        <v>246</v>
      </c>
      <c r="I213">
        <v>11882</v>
      </c>
      <c r="J213">
        <v>11500</v>
      </c>
      <c r="K213">
        <v>1624</v>
      </c>
      <c r="L213">
        <v>282</v>
      </c>
      <c r="M213" s="12" t="s">
        <v>431</v>
      </c>
      <c r="N213" s="12" t="s">
        <v>35</v>
      </c>
    </row>
    <row r="214" spans="1:14" x14ac:dyDescent="0.35">
      <c r="A214" s="12" t="s">
        <v>280</v>
      </c>
      <c r="B214" s="12" t="s">
        <v>30</v>
      </c>
      <c r="C214" s="17">
        <v>45645</v>
      </c>
      <c r="D214" s="12" t="s">
        <v>20</v>
      </c>
      <c r="E214" s="12" t="s">
        <v>89</v>
      </c>
      <c r="F214">
        <v>1813</v>
      </c>
      <c r="G214">
        <v>623</v>
      </c>
      <c r="H214">
        <v>72</v>
      </c>
      <c r="I214">
        <v>19943</v>
      </c>
      <c r="J214">
        <v>18959</v>
      </c>
      <c r="K214">
        <v>2508</v>
      </c>
      <c r="L214">
        <v>85</v>
      </c>
      <c r="M214" s="12" t="s">
        <v>34</v>
      </c>
      <c r="N214" s="12" t="s">
        <v>28</v>
      </c>
    </row>
    <row r="215" spans="1:14" x14ac:dyDescent="0.35">
      <c r="A215" s="12" t="s">
        <v>281</v>
      </c>
      <c r="B215" s="12" t="s">
        <v>14</v>
      </c>
      <c r="C215" s="17">
        <v>45587</v>
      </c>
      <c r="D215" s="12" t="s">
        <v>16</v>
      </c>
      <c r="E215" s="12" t="s">
        <v>17</v>
      </c>
      <c r="F215">
        <v>4782</v>
      </c>
      <c r="G215">
        <v>721</v>
      </c>
      <c r="H215">
        <v>82</v>
      </c>
      <c r="I215">
        <v>86076</v>
      </c>
      <c r="J215">
        <v>85339</v>
      </c>
      <c r="K215">
        <v>5585</v>
      </c>
      <c r="L215">
        <v>19</v>
      </c>
      <c r="M215" s="12" t="s">
        <v>34</v>
      </c>
      <c r="N215" s="12" t="s">
        <v>18</v>
      </c>
    </row>
    <row r="216" spans="1:14" x14ac:dyDescent="0.35">
      <c r="A216" s="12" t="s">
        <v>282</v>
      </c>
      <c r="B216" s="12" t="s">
        <v>14</v>
      </c>
      <c r="C216" s="17">
        <v>45549</v>
      </c>
      <c r="D216" s="12" t="s">
        <v>46</v>
      </c>
      <c r="E216" s="12" t="s">
        <v>102</v>
      </c>
      <c r="F216">
        <v>1048</v>
      </c>
      <c r="G216">
        <v>374</v>
      </c>
      <c r="H216">
        <v>450</v>
      </c>
      <c r="I216">
        <v>9432</v>
      </c>
      <c r="J216">
        <v>8882</v>
      </c>
      <c r="K216">
        <v>1872</v>
      </c>
      <c r="L216">
        <v>158</v>
      </c>
      <c r="M216" s="12" t="s">
        <v>27</v>
      </c>
      <c r="N216" s="12" t="s">
        <v>28</v>
      </c>
    </row>
    <row r="217" spans="1:14" x14ac:dyDescent="0.35">
      <c r="A217" s="12" t="s">
        <v>283</v>
      </c>
      <c r="B217" s="12" t="s">
        <v>24</v>
      </c>
      <c r="C217" s="17">
        <v>45626</v>
      </c>
      <c r="D217" s="12" t="s">
        <v>40</v>
      </c>
      <c r="E217" s="12" t="s">
        <v>58</v>
      </c>
      <c r="F217">
        <v>2509</v>
      </c>
      <c r="G217">
        <v>324</v>
      </c>
      <c r="H217">
        <v>171</v>
      </c>
      <c r="I217">
        <v>35126</v>
      </c>
      <c r="J217">
        <v>34685</v>
      </c>
      <c r="K217">
        <v>3004</v>
      </c>
      <c r="L217">
        <v>277</v>
      </c>
      <c r="M217" s="12" t="s">
        <v>27</v>
      </c>
      <c r="N217" s="12" t="s">
        <v>22</v>
      </c>
    </row>
    <row r="218" spans="1:14" x14ac:dyDescent="0.35">
      <c r="A218" s="12" t="s">
        <v>284</v>
      </c>
      <c r="B218" s="12" t="s">
        <v>38</v>
      </c>
      <c r="C218" s="17">
        <v>45754</v>
      </c>
      <c r="D218" s="12" t="s">
        <v>16</v>
      </c>
      <c r="E218" s="12" t="s">
        <v>55</v>
      </c>
      <c r="F218">
        <v>3718</v>
      </c>
      <c r="G218">
        <v>385</v>
      </c>
      <c r="H218">
        <v>310</v>
      </c>
      <c r="I218">
        <v>70642</v>
      </c>
      <c r="J218">
        <v>69749</v>
      </c>
      <c r="K218">
        <v>4413</v>
      </c>
      <c r="L218">
        <v>233</v>
      </c>
      <c r="M218" s="12" t="s">
        <v>27</v>
      </c>
      <c r="N218" s="12" t="s">
        <v>22</v>
      </c>
    </row>
    <row r="219" spans="1:14" x14ac:dyDescent="0.35">
      <c r="A219" s="12" t="s">
        <v>286</v>
      </c>
      <c r="B219" s="12" t="s">
        <v>14</v>
      </c>
      <c r="C219" s="17">
        <v>45672</v>
      </c>
      <c r="D219" s="12" t="s">
        <v>16</v>
      </c>
      <c r="E219" s="12" t="s">
        <v>17</v>
      </c>
      <c r="F219">
        <v>802</v>
      </c>
      <c r="G219">
        <v>262</v>
      </c>
      <c r="H219">
        <v>244</v>
      </c>
      <c r="I219">
        <v>14436</v>
      </c>
      <c r="J219">
        <v>14280</v>
      </c>
      <c r="K219">
        <v>1308</v>
      </c>
      <c r="L219">
        <v>49</v>
      </c>
      <c r="M219" s="12" t="s">
        <v>34</v>
      </c>
      <c r="N219" s="12" t="s">
        <v>18</v>
      </c>
    </row>
    <row r="220" spans="1:14" x14ac:dyDescent="0.35">
      <c r="A220" s="12" t="s">
        <v>287</v>
      </c>
      <c r="B220" s="12" t="s">
        <v>38</v>
      </c>
      <c r="C220" s="17">
        <v>45445</v>
      </c>
      <c r="D220" s="12" t="s">
        <v>46</v>
      </c>
      <c r="E220" s="12" t="s">
        <v>51</v>
      </c>
      <c r="F220">
        <v>1871</v>
      </c>
      <c r="G220">
        <v>252</v>
      </c>
      <c r="H220">
        <v>335</v>
      </c>
      <c r="I220">
        <v>29936</v>
      </c>
      <c r="J220">
        <v>29576</v>
      </c>
      <c r="K220">
        <v>2458</v>
      </c>
      <c r="L220">
        <v>288</v>
      </c>
      <c r="M220" s="12" t="s">
        <v>34</v>
      </c>
      <c r="N220" s="12" t="s">
        <v>28</v>
      </c>
    </row>
    <row r="221" spans="1:14" x14ac:dyDescent="0.35">
      <c r="A221" s="12" t="s">
        <v>288</v>
      </c>
      <c r="B221" s="12" t="s">
        <v>30</v>
      </c>
      <c r="C221" s="17">
        <v>45617</v>
      </c>
      <c r="D221" s="12" t="s">
        <v>40</v>
      </c>
      <c r="E221" s="12" t="s">
        <v>75</v>
      </c>
      <c r="F221">
        <v>3773</v>
      </c>
      <c r="G221">
        <v>299</v>
      </c>
      <c r="H221">
        <v>38</v>
      </c>
      <c r="I221">
        <v>71687</v>
      </c>
      <c r="J221">
        <v>71447</v>
      </c>
      <c r="K221">
        <v>4110</v>
      </c>
      <c r="L221">
        <v>286</v>
      </c>
      <c r="M221" s="12" t="s">
        <v>53</v>
      </c>
      <c r="N221" s="12" t="s">
        <v>18</v>
      </c>
    </row>
    <row r="222" spans="1:14" x14ac:dyDescent="0.35">
      <c r="A222" s="12" t="s">
        <v>289</v>
      </c>
      <c r="B222" s="12" t="s">
        <v>30</v>
      </c>
      <c r="C222" s="17">
        <v>45658</v>
      </c>
      <c r="D222" s="12" t="s">
        <v>40</v>
      </c>
      <c r="E222" s="12" t="s">
        <v>75</v>
      </c>
      <c r="F222">
        <v>2234</v>
      </c>
      <c r="G222">
        <v>653</v>
      </c>
      <c r="H222">
        <v>432</v>
      </c>
      <c r="I222">
        <v>11170</v>
      </c>
      <c r="J222">
        <v>10569</v>
      </c>
      <c r="K222">
        <v>3319</v>
      </c>
      <c r="L222">
        <v>198</v>
      </c>
      <c r="M222" s="12" t="s">
        <v>53</v>
      </c>
      <c r="N222" s="12" t="s">
        <v>28</v>
      </c>
    </row>
    <row r="223" spans="1:14" x14ac:dyDescent="0.35">
      <c r="A223" s="12" t="s">
        <v>290</v>
      </c>
      <c r="B223" s="12" t="s">
        <v>14</v>
      </c>
      <c r="C223" s="17">
        <v>45771</v>
      </c>
      <c r="D223" s="12" t="s">
        <v>62</v>
      </c>
      <c r="E223" s="12" t="s">
        <v>109</v>
      </c>
      <c r="F223">
        <v>3820</v>
      </c>
      <c r="G223">
        <v>697</v>
      </c>
      <c r="H223">
        <v>268</v>
      </c>
      <c r="I223">
        <v>45840</v>
      </c>
      <c r="J223">
        <v>45631</v>
      </c>
      <c r="K223">
        <v>4785</v>
      </c>
      <c r="L223">
        <v>171</v>
      </c>
      <c r="M223" s="12" t="s">
        <v>27</v>
      </c>
      <c r="N223" s="12" t="s">
        <v>35</v>
      </c>
    </row>
    <row r="224" spans="1:14" x14ac:dyDescent="0.35">
      <c r="A224" s="12" t="s">
        <v>290</v>
      </c>
      <c r="B224" s="12" t="s">
        <v>14</v>
      </c>
      <c r="C224" s="17">
        <v>45771</v>
      </c>
      <c r="D224" s="12" t="s">
        <v>62</v>
      </c>
      <c r="E224" s="12" t="s">
        <v>109</v>
      </c>
      <c r="F224">
        <v>3820</v>
      </c>
      <c r="G224">
        <v>697</v>
      </c>
      <c r="H224">
        <v>268</v>
      </c>
      <c r="I224">
        <v>45840</v>
      </c>
      <c r="J224">
        <v>45631</v>
      </c>
      <c r="K224">
        <v>4785</v>
      </c>
      <c r="L224">
        <v>171</v>
      </c>
      <c r="M224" s="12" t="s">
        <v>427</v>
      </c>
      <c r="N224" s="12" t="s">
        <v>35</v>
      </c>
    </row>
    <row r="225" spans="1:14" x14ac:dyDescent="0.35">
      <c r="A225" s="12" t="s">
        <v>291</v>
      </c>
      <c r="B225" s="12" t="s">
        <v>14</v>
      </c>
      <c r="C225" s="17">
        <v>45467</v>
      </c>
      <c r="D225" s="12" t="s">
        <v>20</v>
      </c>
      <c r="E225" s="12" t="s">
        <v>21</v>
      </c>
      <c r="F225">
        <v>941</v>
      </c>
      <c r="G225">
        <v>121</v>
      </c>
      <c r="H225">
        <v>458</v>
      </c>
      <c r="I225">
        <v>14115</v>
      </c>
      <c r="J225">
        <v>13838</v>
      </c>
      <c r="K225">
        <v>1520</v>
      </c>
      <c r="L225">
        <v>87</v>
      </c>
      <c r="M225" s="12" t="s">
        <v>34</v>
      </c>
      <c r="N225" s="12" t="s">
        <v>18</v>
      </c>
    </row>
    <row r="226" spans="1:14" x14ac:dyDescent="0.35">
      <c r="A226" s="12" t="s">
        <v>292</v>
      </c>
      <c r="B226" s="12" t="s">
        <v>14</v>
      </c>
      <c r="C226" s="17">
        <v>45655</v>
      </c>
      <c r="D226" s="12" t="s">
        <v>40</v>
      </c>
      <c r="E226" s="12" t="s">
        <v>44</v>
      </c>
      <c r="F226">
        <v>4274</v>
      </c>
      <c r="G226">
        <v>340</v>
      </c>
      <c r="H226">
        <v>281</v>
      </c>
      <c r="I226">
        <v>34192</v>
      </c>
      <c r="J226">
        <v>33446</v>
      </c>
      <c r="K226">
        <v>4895</v>
      </c>
      <c r="L226">
        <v>129</v>
      </c>
      <c r="M226" s="12" t="s">
        <v>27</v>
      </c>
      <c r="N226" s="12" t="s">
        <v>28</v>
      </c>
    </row>
    <row r="227" spans="1:14" x14ac:dyDescent="0.35">
      <c r="A227" s="12" t="s">
        <v>292</v>
      </c>
      <c r="B227" s="12" t="s">
        <v>14</v>
      </c>
      <c r="C227" s="17">
        <v>45655</v>
      </c>
      <c r="D227" s="12" t="s">
        <v>40</v>
      </c>
      <c r="E227" s="12" t="s">
        <v>44</v>
      </c>
      <c r="F227">
        <v>4274</v>
      </c>
      <c r="G227">
        <v>340</v>
      </c>
      <c r="H227">
        <v>281</v>
      </c>
      <c r="I227">
        <v>34192</v>
      </c>
      <c r="J227">
        <v>33446</v>
      </c>
      <c r="K227">
        <v>4895</v>
      </c>
      <c r="L227">
        <v>129</v>
      </c>
      <c r="M227" s="12" t="s">
        <v>427</v>
      </c>
      <c r="N227" s="12" t="s">
        <v>28</v>
      </c>
    </row>
    <row r="228" spans="1:14" x14ac:dyDescent="0.35">
      <c r="A228" s="12" t="s">
        <v>293</v>
      </c>
      <c r="B228" s="12" t="s">
        <v>24</v>
      </c>
      <c r="C228" s="17">
        <v>45467</v>
      </c>
      <c r="D228" s="12" t="s">
        <v>62</v>
      </c>
      <c r="E228" s="12" t="s">
        <v>157</v>
      </c>
      <c r="F228">
        <v>2949</v>
      </c>
      <c r="G228">
        <v>476</v>
      </c>
      <c r="H228">
        <v>403</v>
      </c>
      <c r="I228">
        <v>44235</v>
      </c>
      <c r="J228">
        <v>43705</v>
      </c>
      <c r="K228">
        <v>3828</v>
      </c>
      <c r="L228">
        <v>135</v>
      </c>
      <c r="M228" s="12" t="s">
        <v>27</v>
      </c>
      <c r="N228" s="12" t="s">
        <v>22</v>
      </c>
    </row>
    <row r="229" spans="1:14" x14ac:dyDescent="0.35">
      <c r="A229" s="12" t="s">
        <v>294</v>
      </c>
      <c r="B229" s="12" t="s">
        <v>14</v>
      </c>
      <c r="C229" s="17">
        <v>45735</v>
      </c>
      <c r="D229" s="12" t="s">
        <v>62</v>
      </c>
      <c r="E229" s="12" t="s">
        <v>109</v>
      </c>
      <c r="F229">
        <v>3160</v>
      </c>
      <c r="G229">
        <v>204</v>
      </c>
      <c r="H229">
        <v>297</v>
      </c>
      <c r="I229">
        <v>44240</v>
      </c>
      <c r="J229">
        <v>43666</v>
      </c>
      <c r="K229">
        <v>3661</v>
      </c>
      <c r="L229">
        <v>49</v>
      </c>
      <c r="M229" s="12" t="s">
        <v>53</v>
      </c>
      <c r="N229" s="12" t="s">
        <v>35</v>
      </c>
    </row>
    <row r="230" spans="1:14" x14ac:dyDescent="0.35">
      <c r="A230" s="12" t="s">
        <v>294</v>
      </c>
      <c r="B230" s="12" t="s">
        <v>14</v>
      </c>
      <c r="C230" s="17">
        <v>45735</v>
      </c>
      <c r="D230" s="12" t="s">
        <v>62</v>
      </c>
      <c r="E230" s="12" t="s">
        <v>109</v>
      </c>
      <c r="F230">
        <v>3160</v>
      </c>
      <c r="G230">
        <v>204</v>
      </c>
      <c r="H230">
        <v>297</v>
      </c>
      <c r="I230">
        <v>44240</v>
      </c>
      <c r="J230">
        <v>43666</v>
      </c>
      <c r="K230">
        <v>3661</v>
      </c>
      <c r="L230">
        <v>49</v>
      </c>
      <c r="M230" s="12" t="s">
        <v>431</v>
      </c>
      <c r="N230" s="12" t="s">
        <v>35</v>
      </c>
    </row>
    <row r="231" spans="1:14" x14ac:dyDescent="0.35">
      <c r="A231" s="12" t="s">
        <v>295</v>
      </c>
      <c r="B231" s="12" t="s">
        <v>24</v>
      </c>
      <c r="C231" s="17">
        <v>45707</v>
      </c>
      <c r="D231" s="12" t="s">
        <v>46</v>
      </c>
      <c r="E231" s="12" t="s">
        <v>47</v>
      </c>
      <c r="F231">
        <v>257</v>
      </c>
      <c r="G231">
        <v>966</v>
      </c>
      <c r="H231">
        <v>398</v>
      </c>
      <c r="I231">
        <v>3341</v>
      </c>
      <c r="J231">
        <v>2753</v>
      </c>
      <c r="K231">
        <v>1621</v>
      </c>
      <c r="L231">
        <v>287</v>
      </c>
      <c r="M231" s="12" t="s">
        <v>53</v>
      </c>
      <c r="N231" s="12" t="s">
        <v>18</v>
      </c>
    </row>
    <row r="232" spans="1:14" x14ac:dyDescent="0.35">
      <c r="A232" s="12" t="s">
        <v>296</v>
      </c>
      <c r="B232" s="12" t="s">
        <v>14</v>
      </c>
      <c r="C232" s="17">
        <v>45491</v>
      </c>
      <c r="D232" s="12" t="s">
        <v>40</v>
      </c>
      <c r="E232" s="12" t="s">
        <v>44</v>
      </c>
      <c r="F232">
        <v>2120</v>
      </c>
      <c r="G232">
        <v>38</v>
      </c>
      <c r="H232">
        <v>212</v>
      </c>
      <c r="I232">
        <v>12720</v>
      </c>
      <c r="J232">
        <v>12564</v>
      </c>
      <c r="K232">
        <v>2370</v>
      </c>
      <c r="L232">
        <v>21</v>
      </c>
      <c r="M232" s="12" t="s">
        <v>53</v>
      </c>
      <c r="N232" s="12" t="s">
        <v>35</v>
      </c>
    </row>
    <row r="233" spans="1:14" x14ac:dyDescent="0.35">
      <c r="A233" s="12" t="s">
        <v>297</v>
      </c>
      <c r="B233" s="12" t="s">
        <v>24</v>
      </c>
      <c r="C233" s="17">
        <v>45719</v>
      </c>
      <c r="D233" s="12" t="s">
        <v>62</v>
      </c>
      <c r="E233" s="12" t="s">
        <v>157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4777</v>
      </c>
      <c r="L233">
        <v>219</v>
      </c>
      <c r="M233" s="12" t="s">
        <v>27</v>
      </c>
      <c r="N233" s="12" t="s">
        <v>22</v>
      </c>
    </row>
    <row r="234" spans="1:14" x14ac:dyDescent="0.35">
      <c r="A234" s="12" t="s">
        <v>298</v>
      </c>
      <c r="B234" s="12" t="s">
        <v>38</v>
      </c>
      <c r="C234" s="17">
        <v>45778</v>
      </c>
      <c r="D234" s="12" t="s">
        <v>40</v>
      </c>
      <c r="E234" s="12" t="s">
        <v>41</v>
      </c>
      <c r="F234">
        <v>2696</v>
      </c>
      <c r="G234">
        <v>628</v>
      </c>
      <c r="H234">
        <v>443</v>
      </c>
      <c r="I234">
        <v>45832</v>
      </c>
      <c r="J234">
        <v>45632</v>
      </c>
      <c r="K234">
        <v>3767</v>
      </c>
      <c r="L234">
        <v>248</v>
      </c>
      <c r="M234" s="12" t="s">
        <v>34</v>
      </c>
      <c r="N234" s="12" t="s">
        <v>35</v>
      </c>
    </row>
    <row r="235" spans="1:14" x14ac:dyDescent="0.35">
      <c r="A235" s="12" t="s">
        <v>299</v>
      </c>
      <c r="B235" s="12" t="s">
        <v>30</v>
      </c>
      <c r="C235" s="17">
        <v>45649</v>
      </c>
      <c r="D235" s="12" t="s">
        <v>46</v>
      </c>
      <c r="E235" s="12" t="s">
        <v>155</v>
      </c>
      <c r="F235">
        <v>521</v>
      </c>
      <c r="G235">
        <v>746</v>
      </c>
      <c r="H235">
        <v>315</v>
      </c>
      <c r="I235">
        <v>4168</v>
      </c>
      <c r="J235">
        <v>3399</v>
      </c>
      <c r="K235">
        <v>1582</v>
      </c>
      <c r="L235">
        <v>282</v>
      </c>
      <c r="M235" s="12" t="s">
        <v>53</v>
      </c>
      <c r="N235" s="12" t="s">
        <v>22</v>
      </c>
    </row>
    <row r="236" spans="1:14" x14ac:dyDescent="0.35">
      <c r="A236" s="12" t="s">
        <v>300</v>
      </c>
      <c r="B236" s="12" t="s">
        <v>38</v>
      </c>
      <c r="C236" s="17">
        <v>45783</v>
      </c>
      <c r="D236" s="12" t="s">
        <v>46</v>
      </c>
      <c r="E236" s="12" t="s">
        <v>51</v>
      </c>
      <c r="F236">
        <v>4872</v>
      </c>
      <c r="G236">
        <v>925</v>
      </c>
      <c r="H236">
        <v>176</v>
      </c>
      <c r="I236">
        <v>82824</v>
      </c>
      <c r="J236">
        <v>82543</v>
      </c>
      <c r="K236">
        <v>5973</v>
      </c>
      <c r="L236">
        <v>89</v>
      </c>
      <c r="M236" s="12" t="s">
        <v>34</v>
      </c>
      <c r="N236" s="12" t="s">
        <v>22</v>
      </c>
    </row>
    <row r="237" spans="1:14" x14ac:dyDescent="0.35">
      <c r="A237" s="12" t="s">
        <v>301</v>
      </c>
      <c r="B237" s="12" t="s">
        <v>24</v>
      </c>
      <c r="C237" s="17">
        <v>45502</v>
      </c>
      <c r="D237" s="12" t="s">
        <v>32</v>
      </c>
      <c r="E237" s="12" t="s">
        <v>117</v>
      </c>
      <c r="F237">
        <v>1509</v>
      </c>
      <c r="G237">
        <v>88</v>
      </c>
      <c r="H237">
        <v>163</v>
      </c>
      <c r="I237">
        <v>30180</v>
      </c>
      <c r="J237">
        <v>29689</v>
      </c>
      <c r="K237">
        <v>1760</v>
      </c>
      <c r="L237">
        <v>119</v>
      </c>
      <c r="M237" s="12" t="s">
        <v>34</v>
      </c>
      <c r="N237" s="12" t="s">
        <v>22</v>
      </c>
    </row>
    <row r="238" spans="1:14" x14ac:dyDescent="0.35">
      <c r="A238" s="12" t="s">
        <v>302</v>
      </c>
      <c r="B238" s="12" t="s">
        <v>38</v>
      </c>
      <c r="C238" s="17">
        <v>45629</v>
      </c>
      <c r="D238" s="12" t="s">
        <v>46</v>
      </c>
      <c r="E238" s="12" t="s">
        <v>51</v>
      </c>
      <c r="F238">
        <v>4606</v>
      </c>
      <c r="G238">
        <v>931</v>
      </c>
      <c r="H238">
        <v>230</v>
      </c>
      <c r="I238">
        <v>92120</v>
      </c>
      <c r="J238">
        <v>91440</v>
      </c>
      <c r="K238">
        <v>5767</v>
      </c>
      <c r="L238">
        <v>56</v>
      </c>
      <c r="M238" s="12" t="s">
        <v>27</v>
      </c>
      <c r="N238" s="12"/>
    </row>
    <row r="239" spans="1:14" x14ac:dyDescent="0.35">
      <c r="A239" s="12" t="s">
        <v>303</v>
      </c>
      <c r="B239" s="12" t="s">
        <v>38</v>
      </c>
      <c r="C239" s="17">
        <v>45454</v>
      </c>
      <c r="D239" s="12" t="s">
        <v>40</v>
      </c>
      <c r="E239" s="12" t="s">
        <v>41</v>
      </c>
      <c r="F239">
        <v>1869</v>
      </c>
      <c r="G239">
        <v>453</v>
      </c>
      <c r="H239">
        <v>490</v>
      </c>
      <c r="I239">
        <v>14952</v>
      </c>
      <c r="J239">
        <v>14309</v>
      </c>
      <c r="K239">
        <v>2812</v>
      </c>
      <c r="L239">
        <v>275</v>
      </c>
      <c r="M239" s="12" t="s">
        <v>27</v>
      </c>
      <c r="N239" s="12" t="s">
        <v>35</v>
      </c>
    </row>
    <row r="240" spans="1:14" x14ac:dyDescent="0.35">
      <c r="A240" s="12" t="s">
        <v>304</v>
      </c>
      <c r="B240" s="12" t="s">
        <v>14</v>
      </c>
      <c r="C240" s="17">
        <v>45685</v>
      </c>
      <c r="D240" s="12" t="s">
        <v>16</v>
      </c>
      <c r="E240" s="12" t="s">
        <v>17</v>
      </c>
      <c r="F240">
        <v>1188</v>
      </c>
      <c r="G240">
        <v>470</v>
      </c>
      <c r="H240">
        <v>174</v>
      </c>
      <c r="I240">
        <v>7128</v>
      </c>
      <c r="J240">
        <v>6145</v>
      </c>
      <c r="K240">
        <v>1832</v>
      </c>
      <c r="L240">
        <v>270</v>
      </c>
      <c r="M240" s="12" t="s">
        <v>27</v>
      </c>
      <c r="N240" s="12" t="s">
        <v>35</v>
      </c>
    </row>
    <row r="241" spans="1:14" x14ac:dyDescent="0.35">
      <c r="A241" s="12" t="s">
        <v>305</v>
      </c>
      <c r="B241" s="12" t="s">
        <v>30</v>
      </c>
      <c r="C241" s="17">
        <v>45445</v>
      </c>
      <c r="D241" s="12" t="s">
        <v>32</v>
      </c>
      <c r="E241" s="12" t="s">
        <v>33</v>
      </c>
      <c r="F241">
        <v>84</v>
      </c>
      <c r="G241">
        <v>897</v>
      </c>
      <c r="H241">
        <v>85</v>
      </c>
      <c r="I241">
        <v>588</v>
      </c>
      <c r="J241">
        <v>8</v>
      </c>
      <c r="K241">
        <v>1066</v>
      </c>
      <c r="L241">
        <v>12</v>
      </c>
      <c r="M241" s="12" t="s">
        <v>34</v>
      </c>
      <c r="N241" s="12"/>
    </row>
    <row r="242" spans="1:14" x14ac:dyDescent="0.35">
      <c r="A242" s="12" t="s">
        <v>306</v>
      </c>
      <c r="B242" s="12" t="s">
        <v>38</v>
      </c>
      <c r="C242" s="17">
        <v>45739</v>
      </c>
      <c r="D242" s="12" t="s">
        <v>62</v>
      </c>
      <c r="E242" s="12" t="s">
        <v>63</v>
      </c>
      <c r="F242">
        <v>4453</v>
      </c>
      <c r="G242">
        <v>111</v>
      </c>
      <c r="H242">
        <v>420</v>
      </c>
      <c r="I242">
        <v>31171</v>
      </c>
      <c r="J242">
        <v>30565</v>
      </c>
      <c r="K242">
        <v>4984</v>
      </c>
      <c r="L242">
        <v>23</v>
      </c>
      <c r="M242" s="12" t="s">
        <v>27</v>
      </c>
      <c r="N242" s="12"/>
    </row>
    <row r="243" spans="1:14" x14ac:dyDescent="0.35">
      <c r="A243" s="12" t="s">
        <v>307</v>
      </c>
      <c r="B243" s="12" t="s">
        <v>38</v>
      </c>
      <c r="C243" s="17">
        <v>45573</v>
      </c>
      <c r="D243" s="12" t="s">
        <v>16</v>
      </c>
      <c r="E243" s="12" t="s">
        <v>55</v>
      </c>
      <c r="F243">
        <v>1814</v>
      </c>
      <c r="G243">
        <v>653</v>
      </c>
      <c r="H243">
        <v>363</v>
      </c>
      <c r="I243">
        <v>25396</v>
      </c>
      <c r="J243">
        <v>25286</v>
      </c>
      <c r="K243">
        <v>2830</v>
      </c>
      <c r="L243">
        <v>39</v>
      </c>
      <c r="M243" s="12" t="s">
        <v>53</v>
      </c>
      <c r="N243" s="12" t="s">
        <v>18</v>
      </c>
    </row>
    <row r="244" spans="1:14" x14ac:dyDescent="0.35">
      <c r="A244" s="12" t="s">
        <v>307</v>
      </c>
      <c r="B244" s="12" t="s">
        <v>38</v>
      </c>
      <c r="C244" s="17">
        <v>45573</v>
      </c>
      <c r="D244" s="12" t="s">
        <v>16</v>
      </c>
      <c r="E244" s="12" t="s">
        <v>55</v>
      </c>
      <c r="F244">
        <v>1814</v>
      </c>
      <c r="G244">
        <v>653</v>
      </c>
      <c r="H244">
        <v>363</v>
      </c>
      <c r="I244">
        <v>25396</v>
      </c>
      <c r="J244">
        <v>25286</v>
      </c>
      <c r="K244">
        <v>2830</v>
      </c>
      <c r="L244">
        <v>39</v>
      </c>
      <c r="M244" s="12" t="s">
        <v>427</v>
      </c>
      <c r="N244" s="12" t="s">
        <v>18</v>
      </c>
    </row>
    <row r="245" spans="1:14" x14ac:dyDescent="0.35">
      <c r="A245" s="12" t="s">
        <v>308</v>
      </c>
      <c r="B245" s="12" t="s">
        <v>14</v>
      </c>
      <c r="C245" s="17">
        <v>45608</v>
      </c>
      <c r="D245" s="12" t="s">
        <v>46</v>
      </c>
      <c r="E245" s="12" t="s">
        <v>102</v>
      </c>
      <c r="F245">
        <v>3338</v>
      </c>
      <c r="G245">
        <v>277</v>
      </c>
      <c r="H245">
        <v>118</v>
      </c>
      <c r="I245">
        <v>60084</v>
      </c>
      <c r="J245">
        <v>59842</v>
      </c>
      <c r="K245">
        <v>3733</v>
      </c>
      <c r="L245">
        <v>252</v>
      </c>
      <c r="M245" s="12" t="s">
        <v>27</v>
      </c>
      <c r="N245" s="12"/>
    </row>
    <row r="246" spans="1:14" x14ac:dyDescent="0.35">
      <c r="A246" s="12" t="s">
        <v>309</v>
      </c>
      <c r="B246" s="12" t="s">
        <v>38</v>
      </c>
      <c r="C246" s="17">
        <v>45790</v>
      </c>
      <c r="D246" s="12" t="s">
        <v>46</v>
      </c>
      <c r="E246" s="12" t="s">
        <v>51</v>
      </c>
      <c r="F246">
        <v>602</v>
      </c>
      <c r="G246">
        <v>594</v>
      </c>
      <c r="H246">
        <v>156</v>
      </c>
      <c r="I246">
        <v>4214</v>
      </c>
      <c r="J246">
        <v>3363</v>
      </c>
      <c r="K246">
        <v>1352</v>
      </c>
      <c r="L246">
        <v>164</v>
      </c>
      <c r="M246" s="12" t="s">
        <v>27</v>
      </c>
      <c r="N246" s="12" t="s">
        <v>28</v>
      </c>
    </row>
    <row r="247" spans="1:14" x14ac:dyDescent="0.35">
      <c r="A247" s="12" t="s">
        <v>310</v>
      </c>
      <c r="B247" s="12" t="s">
        <v>14</v>
      </c>
      <c r="C247" s="17">
        <v>45463</v>
      </c>
      <c r="D247" s="12" t="s">
        <v>40</v>
      </c>
      <c r="E247" s="12" t="s">
        <v>44</v>
      </c>
      <c r="F247">
        <v>4672</v>
      </c>
      <c r="G247">
        <v>325</v>
      </c>
      <c r="H247">
        <v>32</v>
      </c>
      <c r="I247">
        <v>88768</v>
      </c>
      <c r="J247">
        <v>87833</v>
      </c>
      <c r="K247">
        <v>5029</v>
      </c>
      <c r="L247">
        <v>118</v>
      </c>
      <c r="M247" s="12" t="s">
        <v>34</v>
      </c>
      <c r="N247" s="12"/>
    </row>
    <row r="248" spans="1:14" x14ac:dyDescent="0.35">
      <c r="A248" s="12" t="s">
        <v>311</v>
      </c>
      <c r="B248" s="12" t="s">
        <v>30</v>
      </c>
      <c r="C248" s="17">
        <v>45511</v>
      </c>
      <c r="D248" s="12" t="s">
        <v>40</v>
      </c>
      <c r="E248" s="12" t="s">
        <v>75</v>
      </c>
      <c r="F248">
        <v>1741</v>
      </c>
      <c r="G248">
        <v>164</v>
      </c>
      <c r="H248">
        <v>318</v>
      </c>
      <c r="I248">
        <v>8705</v>
      </c>
      <c r="J248">
        <v>8272</v>
      </c>
      <c r="K248">
        <v>2223</v>
      </c>
      <c r="L248">
        <v>121</v>
      </c>
      <c r="M248" s="12" t="s">
        <v>27</v>
      </c>
      <c r="N248" s="12"/>
    </row>
    <row r="249" spans="1:14" x14ac:dyDescent="0.35">
      <c r="A249" s="12" t="s">
        <v>312</v>
      </c>
      <c r="B249" s="12" t="s">
        <v>30</v>
      </c>
      <c r="C249" s="17">
        <v>45455</v>
      </c>
      <c r="D249" s="12" t="s">
        <v>20</v>
      </c>
      <c r="E249" s="12" t="s">
        <v>89</v>
      </c>
      <c r="F249">
        <v>246</v>
      </c>
      <c r="G249">
        <v>149</v>
      </c>
      <c r="H249">
        <v>130</v>
      </c>
      <c r="I249">
        <v>4674</v>
      </c>
      <c r="J249">
        <v>4390</v>
      </c>
      <c r="K249">
        <v>525</v>
      </c>
      <c r="L249">
        <v>217</v>
      </c>
      <c r="M249" s="12" t="s">
        <v>53</v>
      </c>
      <c r="N249" s="12" t="s">
        <v>28</v>
      </c>
    </row>
    <row r="250" spans="1:14" x14ac:dyDescent="0.35">
      <c r="A250" s="12" t="s">
        <v>313</v>
      </c>
      <c r="B250" s="12" t="s">
        <v>30</v>
      </c>
      <c r="C250" s="17">
        <v>45474</v>
      </c>
      <c r="D250" s="12" t="s">
        <v>32</v>
      </c>
      <c r="E250" s="12" t="s">
        <v>33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5900</v>
      </c>
      <c r="L250">
        <v>195</v>
      </c>
      <c r="M250" s="12" t="s">
        <v>34</v>
      </c>
      <c r="N250" s="12" t="s">
        <v>18</v>
      </c>
    </row>
    <row r="251" spans="1:14" x14ac:dyDescent="0.35">
      <c r="A251" s="12" t="s">
        <v>315</v>
      </c>
      <c r="B251" s="12" t="s">
        <v>30</v>
      </c>
      <c r="C251" s="17">
        <v>45476</v>
      </c>
      <c r="D251" s="12" t="s">
        <v>40</v>
      </c>
      <c r="E251" s="12" t="s">
        <v>75</v>
      </c>
      <c r="F251">
        <v>4799</v>
      </c>
      <c r="G251">
        <v>694</v>
      </c>
      <c r="H251">
        <v>289</v>
      </c>
      <c r="I251">
        <v>43191</v>
      </c>
      <c r="J251">
        <v>42228</v>
      </c>
      <c r="K251">
        <v>5782</v>
      </c>
      <c r="L251">
        <v>118</v>
      </c>
      <c r="M251" s="12" t="s">
        <v>27</v>
      </c>
      <c r="N251" s="12"/>
    </row>
    <row r="252" spans="1:14" x14ac:dyDescent="0.35">
      <c r="A252" s="12" t="s">
        <v>316</v>
      </c>
      <c r="B252" s="12" t="s">
        <v>38</v>
      </c>
      <c r="C252" s="17">
        <v>45488</v>
      </c>
      <c r="D252" s="12" t="s">
        <v>16</v>
      </c>
      <c r="E252" s="12" t="s">
        <v>55</v>
      </c>
      <c r="F252">
        <v>3663</v>
      </c>
      <c r="G252">
        <v>17</v>
      </c>
      <c r="H252">
        <v>295</v>
      </c>
      <c r="I252">
        <v>51282</v>
      </c>
      <c r="J252">
        <v>50567</v>
      </c>
      <c r="K252">
        <v>3975</v>
      </c>
      <c r="L252">
        <v>84</v>
      </c>
      <c r="M252" s="12" t="s">
        <v>34</v>
      </c>
      <c r="N252" s="12" t="s">
        <v>28</v>
      </c>
    </row>
    <row r="253" spans="1:14" x14ac:dyDescent="0.35">
      <c r="A253" s="12" t="s">
        <v>317</v>
      </c>
      <c r="B253" s="12" t="s">
        <v>30</v>
      </c>
      <c r="C253" s="17">
        <v>45778</v>
      </c>
      <c r="D253" s="12" t="s">
        <v>20</v>
      </c>
      <c r="E253" s="12" t="s">
        <v>89</v>
      </c>
      <c r="F253">
        <v>1430</v>
      </c>
      <c r="G253">
        <v>376</v>
      </c>
      <c r="H253">
        <v>33</v>
      </c>
      <c r="I253">
        <v>21450</v>
      </c>
      <c r="J253">
        <v>20509</v>
      </c>
      <c r="K253">
        <v>1839</v>
      </c>
      <c r="L253">
        <v>251</v>
      </c>
      <c r="M253" s="12" t="s">
        <v>53</v>
      </c>
      <c r="N253" s="12" t="s">
        <v>18</v>
      </c>
    </row>
    <row r="254" spans="1:14" x14ac:dyDescent="0.35">
      <c r="A254" s="12" t="s">
        <v>318</v>
      </c>
      <c r="B254" s="12" t="s">
        <v>14</v>
      </c>
      <c r="C254" s="17">
        <v>45776</v>
      </c>
      <c r="D254" s="12" t="s">
        <v>32</v>
      </c>
      <c r="E254" s="12" t="s">
        <v>113</v>
      </c>
      <c r="F254">
        <v>249</v>
      </c>
      <c r="G254">
        <v>592</v>
      </c>
      <c r="H254">
        <v>230</v>
      </c>
      <c r="I254">
        <v>1494</v>
      </c>
      <c r="J254">
        <v>1044</v>
      </c>
      <c r="K254">
        <v>1071</v>
      </c>
      <c r="L254">
        <v>201</v>
      </c>
      <c r="M254" s="12" t="s">
        <v>34</v>
      </c>
      <c r="N254" s="12" t="s">
        <v>35</v>
      </c>
    </row>
    <row r="255" spans="1:14" x14ac:dyDescent="0.35">
      <c r="A255" s="12" t="s">
        <v>319</v>
      </c>
      <c r="B255" s="12" t="s">
        <v>38</v>
      </c>
      <c r="C255" s="17">
        <v>45724</v>
      </c>
      <c r="D255" s="12" t="s">
        <v>46</v>
      </c>
      <c r="E255" s="12" t="s">
        <v>51</v>
      </c>
      <c r="F255">
        <v>2382</v>
      </c>
      <c r="G255">
        <v>265</v>
      </c>
      <c r="H255">
        <v>134</v>
      </c>
      <c r="I255">
        <v>38112</v>
      </c>
      <c r="J255">
        <v>37437</v>
      </c>
      <c r="K255">
        <v>2781</v>
      </c>
      <c r="L255">
        <v>249</v>
      </c>
      <c r="M255" s="12" t="s">
        <v>53</v>
      </c>
      <c r="N255" s="12" t="s">
        <v>35</v>
      </c>
    </row>
    <row r="256" spans="1:14" x14ac:dyDescent="0.35">
      <c r="A256" s="12" t="s">
        <v>320</v>
      </c>
      <c r="B256" s="12" t="s">
        <v>38</v>
      </c>
      <c r="C256" s="17">
        <v>45444</v>
      </c>
      <c r="D256" s="12" t="s">
        <v>20</v>
      </c>
      <c r="E256" s="12" t="s">
        <v>49</v>
      </c>
      <c r="F256">
        <v>1272</v>
      </c>
      <c r="G256">
        <v>465</v>
      </c>
      <c r="H256">
        <v>99</v>
      </c>
      <c r="I256">
        <v>24168</v>
      </c>
      <c r="J256">
        <v>23719</v>
      </c>
      <c r="K256">
        <v>1836</v>
      </c>
      <c r="L256">
        <v>42</v>
      </c>
      <c r="M256" s="12" t="s">
        <v>27</v>
      </c>
      <c r="N256" s="12"/>
    </row>
    <row r="257" spans="1:14" x14ac:dyDescent="0.35">
      <c r="A257" s="12" t="s">
        <v>321</v>
      </c>
      <c r="B257" s="12" t="s">
        <v>38</v>
      </c>
      <c r="C257" s="17">
        <v>45648</v>
      </c>
      <c r="D257" s="12" t="s">
        <v>46</v>
      </c>
      <c r="E257" s="12" t="s">
        <v>51</v>
      </c>
      <c r="F257">
        <v>3196</v>
      </c>
      <c r="G257">
        <v>941</v>
      </c>
      <c r="H257">
        <v>376</v>
      </c>
      <c r="I257">
        <v>35156</v>
      </c>
      <c r="J257">
        <v>34444</v>
      </c>
      <c r="K257">
        <v>4513</v>
      </c>
      <c r="L257">
        <v>241</v>
      </c>
      <c r="M257" s="12" t="s">
        <v>27</v>
      </c>
      <c r="N257" s="12" t="s">
        <v>28</v>
      </c>
    </row>
    <row r="258" spans="1:14" x14ac:dyDescent="0.35">
      <c r="A258" s="12" t="s">
        <v>322</v>
      </c>
      <c r="B258" s="12" t="s">
        <v>38</v>
      </c>
      <c r="C258" s="17">
        <v>45523</v>
      </c>
      <c r="D258" s="12" t="s">
        <v>20</v>
      </c>
      <c r="E258" s="12" t="s">
        <v>49</v>
      </c>
      <c r="F258">
        <v>1257</v>
      </c>
      <c r="G258">
        <v>19</v>
      </c>
      <c r="H258">
        <v>351</v>
      </c>
      <c r="I258">
        <v>12570</v>
      </c>
      <c r="J258">
        <v>11660</v>
      </c>
      <c r="K258">
        <v>1627</v>
      </c>
      <c r="L258">
        <v>194</v>
      </c>
      <c r="M258" s="12" t="s">
        <v>53</v>
      </c>
      <c r="N258" s="12" t="s">
        <v>22</v>
      </c>
    </row>
    <row r="259" spans="1:14" x14ac:dyDescent="0.35">
      <c r="A259" s="12" t="s">
        <v>322</v>
      </c>
      <c r="B259" s="12" t="s">
        <v>38</v>
      </c>
      <c r="C259" s="17">
        <v>45523</v>
      </c>
      <c r="D259" s="12" t="s">
        <v>20</v>
      </c>
      <c r="E259" s="12" t="s">
        <v>49</v>
      </c>
      <c r="F259">
        <v>1257</v>
      </c>
      <c r="G259">
        <v>19</v>
      </c>
      <c r="H259">
        <v>351</v>
      </c>
      <c r="I259">
        <v>12570</v>
      </c>
      <c r="J259">
        <v>11660</v>
      </c>
      <c r="K259">
        <v>1627</v>
      </c>
      <c r="L259">
        <v>194</v>
      </c>
      <c r="M259" s="12" t="s">
        <v>431</v>
      </c>
      <c r="N259" s="12" t="s">
        <v>22</v>
      </c>
    </row>
    <row r="260" spans="1:14" x14ac:dyDescent="0.35">
      <c r="A260" s="12" t="s">
        <v>322</v>
      </c>
      <c r="B260" s="12" t="s">
        <v>38</v>
      </c>
      <c r="C260" s="17">
        <v>45523</v>
      </c>
      <c r="D260" s="12" t="s">
        <v>20</v>
      </c>
      <c r="E260" s="12" t="s">
        <v>49</v>
      </c>
      <c r="F260">
        <v>1257</v>
      </c>
      <c r="G260">
        <v>19</v>
      </c>
      <c r="H260">
        <v>351</v>
      </c>
      <c r="I260">
        <v>12570</v>
      </c>
      <c r="J260">
        <v>11660</v>
      </c>
      <c r="K260">
        <v>1627</v>
      </c>
      <c r="L260">
        <v>194</v>
      </c>
      <c r="M260" s="12" t="s">
        <v>34</v>
      </c>
      <c r="N260" s="12" t="s">
        <v>22</v>
      </c>
    </row>
    <row r="261" spans="1:14" x14ac:dyDescent="0.35">
      <c r="A261" s="12" t="s">
        <v>323</v>
      </c>
      <c r="B261" s="12" t="s">
        <v>30</v>
      </c>
      <c r="C261" s="17">
        <v>45587</v>
      </c>
      <c r="D261" s="12" t="s">
        <v>32</v>
      </c>
      <c r="E261" s="12" t="s">
        <v>33</v>
      </c>
      <c r="F261">
        <v>3770</v>
      </c>
      <c r="G261">
        <v>917</v>
      </c>
      <c r="H261">
        <v>129</v>
      </c>
      <c r="I261">
        <v>71630</v>
      </c>
      <c r="J261">
        <v>71322</v>
      </c>
      <c r="K261">
        <v>4816</v>
      </c>
      <c r="L261">
        <v>76</v>
      </c>
      <c r="M261" s="12" t="s">
        <v>53</v>
      </c>
      <c r="N261" s="12" t="s">
        <v>18</v>
      </c>
    </row>
    <row r="262" spans="1:14" x14ac:dyDescent="0.35">
      <c r="A262" s="12" t="s">
        <v>324</v>
      </c>
      <c r="B262" s="12" t="s">
        <v>14</v>
      </c>
      <c r="C262" s="17">
        <v>45489</v>
      </c>
      <c r="D262" s="12" t="s">
        <v>20</v>
      </c>
      <c r="E262" s="12" t="s">
        <v>21</v>
      </c>
      <c r="F262">
        <v>4725</v>
      </c>
      <c r="G262">
        <v>400</v>
      </c>
      <c r="H262">
        <v>362</v>
      </c>
      <c r="I262">
        <v>75600</v>
      </c>
      <c r="J262">
        <v>74927</v>
      </c>
      <c r="K262">
        <v>5487</v>
      </c>
      <c r="L262">
        <v>43</v>
      </c>
      <c r="M262" s="12" t="s">
        <v>53</v>
      </c>
      <c r="N262" s="12" t="s">
        <v>35</v>
      </c>
    </row>
    <row r="263" spans="1:14" x14ac:dyDescent="0.35">
      <c r="A263" s="12" t="s">
        <v>325</v>
      </c>
      <c r="B263" s="12" t="s">
        <v>24</v>
      </c>
      <c r="C263" s="17">
        <v>45712</v>
      </c>
      <c r="D263" s="12" t="s">
        <v>20</v>
      </c>
      <c r="E263" s="12" t="s">
        <v>83</v>
      </c>
      <c r="F263">
        <v>4188</v>
      </c>
      <c r="G263">
        <v>942</v>
      </c>
      <c r="H263">
        <v>118</v>
      </c>
      <c r="I263">
        <v>20940</v>
      </c>
      <c r="J263">
        <v>20471</v>
      </c>
      <c r="K263">
        <v>5248</v>
      </c>
      <c r="L263">
        <v>102</v>
      </c>
      <c r="M263" s="12" t="s">
        <v>53</v>
      </c>
      <c r="N263" s="12"/>
    </row>
    <row r="264" spans="1:14" x14ac:dyDescent="0.35">
      <c r="A264" s="12" t="s">
        <v>326</v>
      </c>
      <c r="B264" s="12" t="s">
        <v>14</v>
      </c>
      <c r="C264" s="17">
        <v>45530</v>
      </c>
      <c r="D264" s="12" t="s">
        <v>40</v>
      </c>
      <c r="E264" s="12" t="s">
        <v>44</v>
      </c>
      <c r="F264">
        <v>929</v>
      </c>
      <c r="G264">
        <v>192</v>
      </c>
      <c r="H264">
        <v>322</v>
      </c>
      <c r="I264">
        <v>16722</v>
      </c>
      <c r="J264">
        <v>15996</v>
      </c>
      <c r="K264">
        <v>1443</v>
      </c>
      <c r="L264">
        <v>145</v>
      </c>
      <c r="M264" s="12" t="s">
        <v>34</v>
      </c>
      <c r="N264" s="12" t="s">
        <v>28</v>
      </c>
    </row>
    <row r="265" spans="1:14" x14ac:dyDescent="0.35">
      <c r="A265" s="12" t="s">
        <v>326</v>
      </c>
      <c r="B265" s="12" t="s">
        <v>14</v>
      </c>
      <c r="C265" s="17">
        <v>45530</v>
      </c>
      <c r="D265" s="12" t="s">
        <v>40</v>
      </c>
      <c r="E265" s="12" t="s">
        <v>44</v>
      </c>
      <c r="F265">
        <v>929</v>
      </c>
      <c r="G265">
        <v>192</v>
      </c>
      <c r="H265">
        <v>322</v>
      </c>
      <c r="I265">
        <v>16722</v>
      </c>
      <c r="J265">
        <v>15996</v>
      </c>
      <c r="K265">
        <v>1443</v>
      </c>
      <c r="L265">
        <v>145</v>
      </c>
      <c r="M265" s="12" t="s">
        <v>27</v>
      </c>
      <c r="N265" s="12" t="s">
        <v>28</v>
      </c>
    </row>
    <row r="266" spans="1:14" x14ac:dyDescent="0.35">
      <c r="A266" s="12" t="s">
        <v>326</v>
      </c>
      <c r="B266" s="12" t="s">
        <v>14</v>
      </c>
      <c r="C266" s="17">
        <v>45530</v>
      </c>
      <c r="D266" s="12" t="s">
        <v>40</v>
      </c>
      <c r="E266" s="12" t="s">
        <v>44</v>
      </c>
      <c r="F266">
        <v>929</v>
      </c>
      <c r="G266">
        <v>192</v>
      </c>
      <c r="H266">
        <v>322</v>
      </c>
      <c r="I266">
        <v>16722</v>
      </c>
      <c r="J266">
        <v>15996</v>
      </c>
      <c r="K266">
        <v>1443</v>
      </c>
      <c r="L266">
        <v>145</v>
      </c>
      <c r="M266" s="12" t="s">
        <v>431</v>
      </c>
      <c r="N266" s="12" t="s">
        <v>28</v>
      </c>
    </row>
    <row r="267" spans="1:14" x14ac:dyDescent="0.35">
      <c r="A267" s="12" t="s">
        <v>327</v>
      </c>
      <c r="B267" s="12" t="s">
        <v>38</v>
      </c>
      <c r="C267" s="17">
        <v>45675</v>
      </c>
      <c r="D267" s="12" t="s">
        <v>32</v>
      </c>
      <c r="E267" s="12" t="s">
        <v>60</v>
      </c>
      <c r="F267">
        <v>4321</v>
      </c>
      <c r="G267">
        <v>874</v>
      </c>
      <c r="H267">
        <v>172</v>
      </c>
      <c r="I267">
        <v>30247</v>
      </c>
      <c r="J267">
        <v>29254</v>
      </c>
      <c r="K267">
        <v>5367</v>
      </c>
      <c r="L267">
        <v>122</v>
      </c>
      <c r="M267" s="12" t="s">
        <v>27</v>
      </c>
      <c r="N267" s="12" t="s">
        <v>35</v>
      </c>
    </row>
    <row r="268" spans="1:14" x14ac:dyDescent="0.35">
      <c r="A268" s="12" t="s">
        <v>328</v>
      </c>
      <c r="B268" s="12" t="s">
        <v>38</v>
      </c>
      <c r="C268" s="17">
        <v>45480</v>
      </c>
      <c r="D268" s="12" t="s">
        <v>16</v>
      </c>
      <c r="E268" s="12" t="s">
        <v>55</v>
      </c>
      <c r="F268">
        <v>4767</v>
      </c>
      <c r="G268">
        <v>190</v>
      </c>
      <c r="H268">
        <v>340</v>
      </c>
      <c r="I268">
        <v>28602</v>
      </c>
      <c r="J268">
        <v>28044</v>
      </c>
      <c r="K268">
        <v>5297</v>
      </c>
      <c r="L268">
        <v>210</v>
      </c>
      <c r="M268" s="12" t="s">
        <v>34</v>
      </c>
      <c r="N268" s="12" t="s">
        <v>28</v>
      </c>
    </row>
    <row r="269" spans="1:14" x14ac:dyDescent="0.35">
      <c r="A269" s="12" t="s">
        <v>329</v>
      </c>
      <c r="B269" s="12" t="s">
        <v>14</v>
      </c>
      <c r="C269" s="17">
        <v>45722</v>
      </c>
      <c r="D269" s="12" t="s">
        <v>46</v>
      </c>
      <c r="E269" s="12" t="s">
        <v>102</v>
      </c>
      <c r="F269">
        <v>3592</v>
      </c>
      <c r="G269">
        <v>911</v>
      </c>
      <c r="H269">
        <v>375</v>
      </c>
      <c r="I269">
        <v>50288</v>
      </c>
      <c r="J269">
        <v>49490</v>
      </c>
      <c r="K269">
        <v>4878</v>
      </c>
      <c r="L269">
        <v>32</v>
      </c>
      <c r="M269" s="12" t="s">
        <v>53</v>
      </c>
      <c r="N269" s="12" t="s">
        <v>35</v>
      </c>
    </row>
    <row r="270" spans="1:14" x14ac:dyDescent="0.35">
      <c r="A270" s="12" t="s">
        <v>330</v>
      </c>
      <c r="B270" s="12" t="s">
        <v>24</v>
      </c>
      <c r="C270" s="17">
        <v>45590</v>
      </c>
      <c r="D270" s="12" t="s">
        <v>62</v>
      </c>
      <c r="E270" s="12" t="s">
        <v>157</v>
      </c>
      <c r="F270">
        <v>4661</v>
      </c>
      <c r="G270">
        <v>935</v>
      </c>
      <c r="H270">
        <v>433</v>
      </c>
      <c r="I270">
        <v>23305</v>
      </c>
      <c r="J270">
        <v>22583</v>
      </c>
      <c r="K270">
        <v>6029</v>
      </c>
      <c r="L270">
        <v>63</v>
      </c>
      <c r="M270" s="12" t="s">
        <v>53</v>
      </c>
      <c r="N270" s="12" t="s">
        <v>28</v>
      </c>
    </row>
    <row r="271" spans="1:14" x14ac:dyDescent="0.35">
      <c r="A271" s="12" t="s">
        <v>331</v>
      </c>
      <c r="B271" s="12" t="s">
        <v>38</v>
      </c>
      <c r="C271" s="17">
        <v>45669</v>
      </c>
      <c r="D271" s="12" t="s">
        <v>16</v>
      </c>
      <c r="E271" s="12" t="s">
        <v>55</v>
      </c>
      <c r="F271">
        <v>4134</v>
      </c>
      <c r="G271">
        <v>824</v>
      </c>
      <c r="H271">
        <v>99</v>
      </c>
      <c r="I271">
        <v>41340</v>
      </c>
      <c r="J271">
        <v>41050</v>
      </c>
      <c r="K271">
        <v>5057</v>
      </c>
      <c r="L271">
        <v>177</v>
      </c>
      <c r="M271" s="12" t="s">
        <v>34</v>
      </c>
      <c r="N271" s="12" t="s">
        <v>18</v>
      </c>
    </row>
    <row r="272" spans="1:14" x14ac:dyDescent="0.35">
      <c r="A272" s="12" t="s">
        <v>332</v>
      </c>
      <c r="B272" s="12" t="s">
        <v>38</v>
      </c>
      <c r="C272" s="17">
        <v>45576</v>
      </c>
      <c r="D272" s="12" t="s">
        <v>46</v>
      </c>
      <c r="E272" s="12" t="s">
        <v>51</v>
      </c>
      <c r="F272">
        <v>400</v>
      </c>
      <c r="G272">
        <v>680</v>
      </c>
      <c r="H272">
        <v>434</v>
      </c>
      <c r="I272">
        <v>6400</v>
      </c>
      <c r="J272">
        <v>5472</v>
      </c>
      <c r="K272">
        <v>1514</v>
      </c>
      <c r="L272">
        <v>160</v>
      </c>
      <c r="M272" s="12" t="s">
        <v>53</v>
      </c>
      <c r="N272" s="12" t="s">
        <v>22</v>
      </c>
    </row>
    <row r="273" spans="1:14" x14ac:dyDescent="0.35">
      <c r="A273" s="12" t="s">
        <v>333</v>
      </c>
      <c r="B273" s="12" t="s">
        <v>38</v>
      </c>
      <c r="C273" s="17">
        <v>45531</v>
      </c>
      <c r="D273" s="12" t="s">
        <v>16</v>
      </c>
      <c r="E273" s="12" t="s">
        <v>55</v>
      </c>
      <c r="F273">
        <v>3960</v>
      </c>
      <c r="G273">
        <v>266</v>
      </c>
      <c r="H273">
        <v>8</v>
      </c>
      <c r="I273">
        <v>35640</v>
      </c>
      <c r="J273">
        <v>34850</v>
      </c>
      <c r="K273">
        <v>4234</v>
      </c>
      <c r="L273">
        <v>208</v>
      </c>
      <c r="M273" s="12" t="s">
        <v>53</v>
      </c>
      <c r="N273" s="12"/>
    </row>
    <row r="274" spans="1:14" x14ac:dyDescent="0.35">
      <c r="A274" s="12" t="s">
        <v>333</v>
      </c>
      <c r="B274" s="12" t="s">
        <v>38</v>
      </c>
      <c r="C274" s="17">
        <v>45531</v>
      </c>
      <c r="D274" s="12" t="s">
        <v>16</v>
      </c>
      <c r="E274" s="12" t="s">
        <v>55</v>
      </c>
      <c r="F274">
        <v>3960</v>
      </c>
      <c r="G274">
        <v>266</v>
      </c>
      <c r="H274">
        <v>8</v>
      </c>
      <c r="I274">
        <v>35640</v>
      </c>
      <c r="J274">
        <v>34850</v>
      </c>
      <c r="K274">
        <v>4234</v>
      </c>
      <c r="L274">
        <v>208</v>
      </c>
      <c r="M274" s="12" t="s">
        <v>34</v>
      </c>
      <c r="N274" s="12"/>
    </row>
    <row r="275" spans="1:14" x14ac:dyDescent="0.35">
      <c r="A275" s="12" t="s">
        <v>333</v>
      </c>
      <c r="B275" s="12" t="s">
        <v>38</v>
      </c>
      <c r="C275" s="17">
        <v>45531</v>
      </c>
      <c r="D275" s="12" t="s">
        <v>16</v>
      </c>
      <c r="E275" s="12" t="s">
        <v>55</v>
      </c>
      <c r="F275">
        <v>3960</v>
      </c>
      <c r="G275">
        <v>266</v>
      </c>
      <c r="H275">
        <v>8</v>
      </c>
      <c r="I275">
        <v>35640</v>
      </c>
      <c r="J275">
        <v>34850</v>
      </c>
      <c r="K275">
        <v>4234</v>
      </c>
      <c r="L275">
        <v>208</v>
      </c>
      <c r="M275" s="12" t="s">
        <v>432</v>
      </c>
      <c r="N275" s="12"/>
    </row>
    <row r="276" spans="1:14" x14ac:dyDescent="0.35">
      <c r="A276" s="12" t="s">
        <v>334</v>
      </c>
      <c r="B276" s="12" t="s">
        <v>38</v>
      </c>
      <c r="C276" s="17">
        <v>45690</v>
      </c>
      <c r="D276" s="12" t="s">
        <v>32</v>
      </c>
      <c r="E276" s="12" t="s">
        <v>60</v>
      </c>
      <c r="F276">
        <v>886</v>
      </c>
      <c r="G276">
        <v>126</v>
      </c>
      <c r="H276">
        <v>153</v>
      </c>
      <c r="I276">
        <v>4430</v>
      </c>
      <c r="J276">
        <v>4037</v>
      </c>
      <c r="K276">
        <v>1165</v>
      </c>
      <c r="L276">
        <v>212</v>
      </c>
      <c r="M276" s="12" t="s">
        <v>34</v>
      </c>
      <c r="N276" s="12"/>
    </row>
    <row r="277" spans="1:14" x14ac:dyDescent="0.35">
      <c r="A277" s="12" t="s">
        <v>335</v>
      </c>
      <c r="B277" s="12" t="s">
        <v>14</v>
      </c>
      <c r="C277" s="17">
        <v>45491</v>
      </c>
      <c r="D277" s="12" t="s">
        <v>46</v>
      </c>
      <c r="E277" s="12" t="s">
        <v>102</v>
      </c>
      <c r="F277">
        <v>827</v>
      </c>
      <c r="G277">
        <v>77</v>
      </c>
      <c r="H277">
        <v>402</v>
      </c>
      <c r="I277">
        <v>14886</v>
      </c>
      <c r="J277">
        <v>14129</v>
      </c>
      <c r="K277">
        <v>1306</v>
      </c>
      <c r="L277">
        <v>254</v>
      </c>
      <c r="M277" s="12" t="s">
        <v>34</v>
      </c>
      <c r="N277" s="12" t="s">
        <v>22</v>
      </c>
    </row>
    <row r="278" spans="1:14" x14ac:dyDescent="0.35">
      <c r="A278" s="12" t="s">
        <v>336</v>
      </c>
      <c r="B278" s="12" t="s">
        <v>38</v>
      </c>
      <c r="C278" s="17">
        <v>45465</v>
      </c>
      <c r="D278" s="12" t="s">
        <v>16</v>
      </c>
      <c r="E278" s="12" t="s">
        <v>55</v>
      </c>
      <c r="F278">
        <v>3813</v>
      </c>
      <c r="G278">
        <v>935</v>
      </c>
      <c r="H278">
        <v>274</v>
      </c>
      <c r="I278">
        <v>68634</v>
      </c>
      <c r="J278">
        <v>68488</v>
      </c>
      <c r="K278">
        <v>5022</v>
      </c>
      <c r="L278">
        <v>251</v>
      </c>
      <c r="M278" s="12" t="s">
        <v>53</v>
      </c>
      <c r="N278" s="12"/>
    </row>
    <row r="279" spans="1:14" x14ac:dyDescent="0.35">
      <c r="A279" s="12" t="s">
        <v>337</v>
      </c>
      <c r="B279" s="12" t="s">
        <v>30</v>
      </c>
      <c r="C279" s="17">
        <v>45743</v>
      </c>
      <c r="D279" s="12" t="s">
        <v>40</v>
      </c>
      <c r="E279" s="12" t="s">
        <v>75</v>
      </c>
      <c r="F279">
        <v>1377</v>
      </c>
      <c r="G279">
        <v>796</v>
      </c>
      <c r="H279">
        <v>387</v>
      </c>
      <c r="I279">
        <v>22032</v>
      </c>
      <c r="J279">
        <v>21869</v>
      </c>
      <c r="K279">
        <v>2560</v>
      </c>
      <c r="L279">
        <v>189</v>
      </c>
      <c r="M279" s="12" t="s">
        <v>53</v>
      </c>
      <c r="N279" s="12"/>
    </row>
    <row r="280" spans="1:14" x14ac:dyDescent="0.35">
      <c r="A280" s="12" t="s">
        <v>338</v>
      </c>
      <c r="B280" s="12" t="s">
        <v>38</v>
      </c>
      <c r="C280" s="17">
        <v>45775</v>
      </c>
      <c r="D280" s="12" t="s">
        <v>40</v>
      </c>
      <c r="E280" s="12" t="s">
        <v>41</v>
      </c>
      <c r="F280">
        <v>2089</v>
      </c>
      <c r="G280">
        <v>476</v>
      </c>
      <c r="H280">
        <v>69</v>
      </c>
      <c r="I280">
        <v>16712</v>
      </c>
      <c r="J280">
        <v>16309</v>
      </c>
      <c r="K280">
        <v>2634</v>
      </c>
      <c r="L280">
        <v>64</v>
      </c>
      <c r="M280" s="12" t="s">
        <v>53</v>
      </c>
      <c r="N280" s="12" t="s">
        <v>28</v>
      </c>
    </row>
    <row r="281" spans="1:14" x14ac:dyDescent="0.35">
      <c r="A281" s="12" t="s">
        <v>339</v>
      </c>
      <c r="B281" s="12" t="s">
        <v>14</v>
      </c>
      <c r="C281" s="17">
        <v>45507</v>
      </c>
      <c r="D281" s="12" t="s">
        <v>16</v>
      </c>
      <c r="E281" s="12" t="s">
        <v>17</v>
      </c>
      <c r="F281">
        <v>3791</v>
      </c>
      <c r="G281">
        <v>593</v>
      </c>
      <c r="H281">
        <v>228</v>
      </c>
      <c r="I281">
        <v>53074</v>
      </c>
      <c r="J281">
        <v>52613</v>
      </c>
      <c r="K281">
        <v>4612</v>
      </c>
      <c r="L281">
        <v>205</v>
      </c>
      <c r="M281" s="12" t="s">
        <v>34</v>
      </c>
      <c r="N281" s="12"/>
    </row>
    <row r="282" spans="1:14" x14ac:dyDescent="0.35">
      <c r="A282" s="12" t="s">
        <v>340</v>
      </c>
      <c r="B282" s="12" t="s">
        <v>14</v>
      </c>
      <c r="C282" s="17">
        <v>45671</v>
      </c>
      <c r="D282" s="12" t="s">
        <v>46</v>
      </c>
      <c r="E282" s="12" t="s">
        <v>102</v>
      </c>
      <c r="F282">
        <v>2692</v>
      </c>
      <c r="G282">
        <v>115</v>
      </c>
      <c r="H282">
        <v>64</v>
      </c>
      <c r="I282">
        <v>21536</v>
      </c>
      <c r="J282">
        <v>21120</v>
      </c>
      <c r="K282">
        <v>2871</v>
      </c>
      <c r="L282">
        <v>224</v>
      </c>
      <c r="M282" s="12" t="s">
        <v>53</v>
      </c>
      <c r="N282" s="12" t="s">
        <v>22</v>
      </c>
    </row>
    <row r="283" spans="1:14" x14ac:dyDescent="0.35">
      <c r="A283" s="12" t="s">
        <v>341</v>
      </c>
      <c r="B283" s="12" t="s">
        <v>38</v>
      </c>
      <c r="C283" s="17">
        <v>45750</v>
      </c>
      <c r="D283" s="12" t="s">
        <v>32</v>
      </c>
      <c r="E283" s="12" t="s">
        <v>60</v>
      </c>
      <c r="F283">
        <v>3767</v>
      </c>
      <c r="G283">
        <v>514</v>
      </c>
      <c r="H283">
        <v>238</v>
      </c>
      <c r="I283">
        <v>37670</v>
      </c>
      <c r="J283">
        <v>36807</v>
      </c>
      <c r="K283">
        <v>4519</v>
      </c>
      <c r="L283">
        <v>226</v>
      </c>
      <c r="M283" s="12" t="s">
        <v>53</v>
      </c>
      <c r="N283" s="12" t="s">
        <v>35</v>
      </c>
    </row>
    <row r="284" spans="1:14" x14ac:dyDescent="0.35">
      <c r="A284" s="12" t="s">
        <v>342</v>
      </c>
      <c r="B284" s="12" t="s">
        <v>24</v>
      </c>
      <c r="C284" s="17">
        <v>45553</v>
      </c>
      <c r="D284" s="12" t="s">
        <v>40</v>
      </c>
      <c r="E284" s="12" t="s">
        <v>58</v>
      </c>
      <c r="F284">
        <v>2143</v>
      </c>
      <c r="G284">
        <v>12</v>
      </c>
      <c r="H284">
        <v>204</v>
      </c>
      <c r="I284">
        <v>40717</v>
      </c>
      <c r="J284">
        <v>40125</v>
      </c>
      <c r="K284">
        <v>2359</v>
      </c>
      <c r="L284">
        <v>248</v>
      </c>
      <c r="M284" s="12" t="s">
        <v>34</v>
      </c>
      <c r="N284" s="12" t="s">
        <v>22</v>
      </c>
    </row>
    <row r="285" spans="1:14" x14ac:dyDescent="0.35">
      <c r="A285" s="12" t="s">
        <v>343</v>
      </c>
      <c r="B285" s="12" t="s">
        <v>38</v>
      </c>
      <c r="C285" s="17">
        <v>45753</v>
      </c>
      <c r="D285" s="12" t="s">
        <v>46</v>
      </c>
      <c r="E285" s="12" t="s">
        <v>51</v>
      </c>
      <c r="F285">
        <v>3090</v>
      </c>
      <c r="G285">
        <v>697</v>
      </c>
      <c r="H285">
        <v>164</v>
      </c>
      <c r="I285">
        <v>49440</v>
      </c>
      <c r="J285">
        <v>48524</v>
      </c>
      <c r="K285">
        <v>3951</v>
      </c>
      <c r="L285">
        <v>25</v>
      </c>
      <c r="M285" s="12" t="s">
        <v>34</v>
      </c>
      <c r="N285" s="12" t="s">
        <v>22</v>
      </c>
    </row>
    <row r="286" spans="1:14" x14ac:dyDescent="0.35">
      <c r="A286" s="12" t="s">
        <v>343</v>
      </c>
      <c r="B286" s="12" t="s">
        <v>38</v>
      </c>
      <c r="C286" s="17">
        <v>45753</v>
      </c>
      <c r="D286" s="12" t="s">
        <v>46</v>
      </c>
      <c r="E286" s="12" t="s">
        <v>51</v>
      </c>
      <c r="F286">
        <v>3090</v>
      </c>
      <c r="G286">
        <v>697</v>
      </c>
      <c r="H286">
        <v>164</v>
      </c>
      <c r="I286">
        <v>49440</v>
      </c>
      <c r="J286">
        <v>48524</v>
      </c>
      <c r="K286">
        <v>3951</v>
      </c>
      <c r="L286">
        <v>25</v>
      </c>
      <c r="M286" s="12" t="s">
        <v>34</v>
      </c>
      <c r="N286" s="12" t="s">
        <v>22</v>
      </c>
    </row>
    <row r="287" spans="1:14" x14ac:dyDescent="0.35">
      <c r="A287" s="12" t="s">
        <v>343</v>
      </c>
      <c r="B287" s="12" t="s">
        <v>38</v>
      </c>
      <c r="C287" s="17">
        <v>45753</v>
      </c>
      <c r="D287" s="12" t="s">
        <v>46</v>
      </c>
      <c r="E287" s="12" t="s">
        <v>51</v>
      </c>
      <c r="F287">
        <v>3090</v>
      </c>
      <c r="G287">
        <v>697</v>
      </c>
      <c r="H287">
        <v>164</v>
      </c>
      <c r="I287">
        <v>49440</v>
      </c>
      <c r="J287">
        <v>48524</v>
      </c>
      <c r="K287">
        <v>3951</v>
      </c>
      <c r="L287">
        <v>25</v>
      </c>
      <c r="M287" s="12" t="s">
        <v>432</v>
      </c>
      <c r="N287" s="12" t="s">
        <v>22</v>
      </c>
    </row>
    <row r="288" spans="1:14" x14ac:dyDescent="0.35">
      <c r="A288" s="12" t="s">
        <v>344</v>
      </c>
      <c r="B288" s="12" t="s">
        <v>30</v>
      </c>
      <c r="C288" s="17">
        <v>45509</v>
      </c>
      <c r="D288" s="12" t="s">
        <v>32</v>
      </c>
      <c r="E288" s="12" t="s">
        <v>33</v>
      </c>
      <c r="F288">
        <v>3601</v>
      </c>
      <c r="G288">
        <v>695</v>
      </c>
      <c r="H288">
        <v>75</v>
      </c>
      <c r="I288">
        <v>21606</v>
      </c>
      <c r="J288">
        <v>21454</v>
      </c>
      <c r="K288">
        <v>4371</v>
      </c>
      <c r="L288">
        <v>172</v>
      </c>
      <c r="M288" s="12" t="s">
        <v>34</v>
      </c>
      <c r="N288" s="12" t="s">
        <v>22</v>
      </c>
    </row>
    <row r="289" spans="1:14" x14ac:dyDescent="0.35">
      <c r="A289" s="12" t="s">
        <v>346</v>
      </c>
      <c r="B289" s="12" t="s">
        <v>38</v>
      </c>
      <c r="C289" s="17">
        <v>45698</v>
      </c>
      <c r="D289" s="12" t="s">
        <v>20</v>
      </c>
      <c r="E289" s="12" t="s">
        <v>49</v>
      </c>
      <c r="F289">
        <v>562</v>
      </c>
      <c r="G289">
        <v>158</v>
      </c>
      <c r="H289">
        <v>149</v>
      </c>
      <c r="I289">
        <v>3372</v>
      </c>
      <c r="J289">
        <v>2940</v>
      </c>
      <c r="K289">
        <v>869</v>
      </c>
      <c r="L289">
        <v>93</v>
      </c>
      <c r="M289" s="12" t="s">
        <v>27</v>
      </c>
      <c r="N289" s="12" t="s">
        <v>18</v>
      </c>
    </row>
    <row r="290" spans="1:14" x14ac:dyDescent="0.35">
      <c r="A290" s="12" t="s">
        <v>347</v>
      </c>
      <c r="B290" s="12" t="s">
        <v>30</v>
      </c>
      <c r="C290" s="17">
        <v>45700</v>
      </c>
      <c r="D290" s="12" t="s">
        <v>32</v>
      </c>
      <c r="E290" s="12" t="s">
        <v>33</v>
      </c>
      <c r="F290">
        <v>4332</v>
      </c>
      <c r="G290">
        <v>771</v>
      </c>
      <c r="H290">
        <v>219</v>
      </c>
      <c r="I290">
        <v>60648</v>
      </c>
      <c r="J290">
        <v>60397</v>
      </c>
      <c r="K290">
        <v>5322</v>
      </c>
      <c r="L290">
        <v>10</v>
      </c>
      <c r="M290" s="12" t="s">
        <v>27</v>
      </c>
      <c r="N290" s="12" t="s">
        <v>28</v>
      </c>
    </row>
    <row r="291" spans="1:14" x14ac:dyDescent="0.35">
      <c r="A291" s="12" t="s">
        <v>347</v>
      </c>
      <c r="B291" s="12" t="s">
        <v>30</v>
      </c>
      <c r="C291" s="17">
        <v>45700</v>
      </c>
      <c r="D291" s="12" t="s">
        <v>32</v>
      </c>
      <c r="E291" s="12" t="s">
        <v>33</v>
      </c>
      <c r="F291">
        <v>4332</v>
      </c>
      <c r="G291">
        <v>771</v>
      </c>
      <c r="H291">
        <v>219</v>
      </c>
      <c r="I291">
        <v>60648</v>
      </c>
      <c r="J291">
        <v>60397</v>
      </c>
      <c r="K291">
        <v>5322</v>
      </c>
      <c r="L291">
        <v>10</v>
      </c>
      <c r="M291" s="12" t="s">
        <v>34</v>
      </c>
      <c r="N291" s="12" t="s">
        <v>28</v>
      </c>
    </row>
    <row r="292" spans="1:14" x14ac:dyDescent="0.35">
      <c r="A292" s="12" t="s">
        <v>347</v>
      </c>
      <c r="B292" s="12" t="s">
        <v>30</v>
      </c>
      <c r="C292" s="17">
        <v>45700</v>
      </c>
      <c r="D292" s="12" t="s">
        <v>32</v>
      </c>
      <c r="E292" s="12" t="s">
        <v>33</v>
      </c>
      <c r="F292">
        <v>4332</v>
      </c>
      <c r="G292">
        <v>771</v>
      </c>
      <c r="H292">
        <v>219</v>
      </c>
      <c r="I292">
        <v>60648</v>
      </c>
      <c r="J292">
        <v>60397</v>
      </c>
      <c r="K292">
        <v>5322</v>
      </c>
      <c r="L292">
        <v>10</v>
      </c>
      <c r="M292" s="12" t="s">
        <v>432</v>
      </c>
      <c r="N292" s="12" t="s">
        <v>28</v>
      </c>
    </row>
    <row r="293" spans="1:14" x14ac:dyDescent="0.35">
      <c r="A293" s="12" t="s">
        <v>348</v>
      </c>
      <c r="B293" s="12" t="s">
        <v>30</v>
      </c>
      <c r="C293" s="17">
        <v>45592</v>
      </c>
      <c r="D293" s="12" t="s">
        <v>46</v>
      </c>
      <c r="E293" s="12" t="s">
        <v>155</v>
      </c>
      <c r="F293">
        <v>4853</v>
      </c>
      <c r="G293">
        <v>837</v>
      </c>
      <c r="H293">
        <v>340</v>
      </c>
      <c r="I293">
        <v>72795</v>
      </c>
      <c r="J293">
        <v>72237</v>
      </c>
      <c r="K293">
        <v>6030</v>
      </c>
      <c r="L293">
        <v>170</v>
      </c>
      <c r="M293" s="12" t="s">
        <v>34</v>
      </c>
      <c r="N293" s="12" t="s">
        <v>18</v>
      </c>
    </row>
    <row r="294" spans="1:14" x14ac:dyDescent="0.35">
      <c r="A294" s="12" t="s">
        <v>349</v>
      </c>
      <c r="B294" s="12" t="s">
        <v>24</v>
      </c>
      <c r="C294" s="17">
        <v>45675</v>
      </c>
      <c r="D294" s="12" t="s">
        <v>46</v>
      </c>
      <c r="E294" s="12" t="s">
        <v>47</v>
      </c>
      <c r="F294">
        <v>1206</v>
      </c>
      <c r="G294">
        <v>238</v>
      </c>
      <c r="H294">
        <v>36</v>
      </c>
      <c r="I294">
        <v>9648</v>
      </c>
      <c r="J294">
        <v>9417</v>
      </c>
      <c r="K294">
        <v>1480</v>
      </c>
      <c r="L294">
        <v>237</v>
      </c>
      <c r="M294" s="12" t="s">
        <v>27</v>
      </c>
      <c r="N294" s="12"/>
    </row>
    <row r="295" spans="1:14" x14ac:dyDescent="0.35">
      <c r="A295" s="12" t="s">
        <v>350</v>
      </c>
      <c r="B295" s="12" t="s">
        <v>30</v>
      </c>
      <c r="C295" s="17">
        <v>45524</v>
      </c>
      <c r="D295" s="12" t="s">
        <v>16</v>
      </c>
      <c r="E295" s="12" t="s">
        <v>70</v>
      </c>
      <c r="F295">
        <v>2603</v>
      </c>
      <c r="G295">
        <v>690</v>
      </c>
      <c r="H295">
        <v>205</v>
      </c>
      <c r="I295">
        <v>13015</v>
      </c>
      <c r="J295">
        <v>12130</v>
      </c>
      <c r="K295">
        <v>3498</v>
      </c>
      <c r="L295">
        <v>20</v>
      </c>
      <c r="M295" s="12" t="s">
        <v>53</v>
      </c>
      <c r="N295" s="12" t="s">
        <v>22</v>
      </c>
    </row>
    <row r="296" spans="1:14" x14ac:dyDescent="0.35">
      <c r="A296" s="12" t="s">
        <v>351</v>
      </c>
      <c r="B296" s="12" t="s">
        <v>14</v>
      </c>
      <c r="C296" s="17">
        <v>45687</v>
      </c>
      <c r="D296" s="12" t="s">
        <v>46</v>
      </c>
      <c r="E296" s="12" t="s">
        <v>102</v>
      </c>
      <c r="F296">
        <v>59</v>
      </c>
      <c r="G296">
        <v>163</v>
      </c>
      <c r="H296">
        <v>93</v>
      </c>
      <c r="I296">
        <v>590</v>
      </c>
      <c r="J296">
        <v>475</v>
      </c>
      <c r="K296">
        <v>315</v>
      </c>
      <c r="L296">
        <v>293</v>
      </c>
      <c r="M296" s="12" t="s">
        <v>27</v>
      </c>
      <c r="N296" s="12" t="s">
        <v>22</v>
      </c>
    </row>
    <row r="297" spans="1:14" x14ac:dyDescent="0.35">
      <c r="A297" s="12" t="s">
        <v>352</v>
      </c>
      <c r="B297" s="12" t="s">
        <v>14</v>
      </c>
      <c r="C297" s="17">
        <v>45708</v>
      </c>
      <c r="D297" s="12" t="s">
        <v>40</v>
      </c>
      <c r="E297" s="12" t="s">
        <v>44</v>
      </c>
      <c r="F297">
        <v>1877</v>
      </c>
      <c r="G297">
        <v>745</v>
      </c>
      <c r="H297">
        <v>225</v>
      </c>
      <c r="I297">
        <v>11262</v>
      </c>
      <c r="J297">
        <v>10967</v>
      </c>
      <c r="K297">
        <v>2847</v>
      </c>
      <c r="L297">
        <v>41</v>
      </c>
      <c r="M297" s="12" t="s">
        <v>34</v>
      </c>
      <c r="N297" s="12" t="s">
        <v>35</v>
      </c>
    </row>
    <row r="298" spans="1:14" x14ac:dyDescent="0.35">
      <c r="A298" s="12" t="s">
        <v>353</v>
      </c>
      <c r="B298" s="12" t="s">
        <v>38</v>
      </c>
      <c r="C298" s="17">
        <v>45621</v>
      </c>
      <c r="D298" s="12" t="s">
        <v>32</v>
      </c>
      <c r="E298" s="12" t="s">
        <v>60</v>
      </c>
      <c r="F298">
        <v>4182</v>
      </c>
      <c r="G298">
        <v>640</v>
      </c>
      <c r="H298">
        <v>240</v>
      </c>
      <c r="I298">
        <v>50184</v>
      </c>
      <c r="J298">
        <v>49351</v>
      </c>
      <c r="K298">
        <v>5062</v>
      </c>
      <c r="L298">
        <v>10</v>
      </c>
      <c r="M298" s="12" t="s">
        <v>27</v>
      </c>
      <c r="N298" s="12" t="s">
        <v>28</v>
      </c>
    </row>
    <row r="299" spans="1:14" x14ac:dyDescent="0.35">
      <c r="A299" s="12" t="s">
        <v>354</v>
      </c>
      <c r="B299" s="12" t="s">
        <v>14</v>
      </c>
      <c r="C299" s="17">
        <v>45569</v>
      </c>
      <c r="D299" s="12" t="s">
        <v>16</v>
      </c>
      <c r="E299" s="12" t="s">
        <v>17</v>
      </c>
      <c r="F299">
        <v>4187</v>
      </c>
      <c r="G299">
        <v>66</v>
      </c>
      <c r="H299">
        <v>31</v>
      </c>
      <c r="I299">
        <v>66992</v>
      </c>
      <c r="J299">
        <v>66614</v>
      </c>
      <c r="K299">
        <v>4284</v>
      </c>
      <c r="L299">
        <v>62</v>
      </c>
      <c r="M299" s="12" t="s">
        <v>53</v>
      </c>
      <c r="N299" s="12"/>
    </row>
    <row r="300" spans="1:14" x14ac:dyDescent="0.35">
      <c r="A300" s="12" t="s">
        <v>355</v>
      </c>
      <c r="B300" s="12" t="s">
        <v>30</v>
      </c>
      <c r="C300" s="17">
        <v>45760</v>
      </c>
      <c r="D300" s="12" t="s">
        <v>16</v>
      </c>
      <c r="E300" s="12" t="s">
        <v>70</v>
      </c>
      <c r="F300">
        <v>4579</v>
      </c>
      <c r="G300">
        <v>125</v>
      </c>
      <c r="H300">
        <v>300</v>
      </c>
      <c r="I300">
        <v>59527</v>
      </c>
      <c r="J300">
        <v>59400</v>
      </c>
      <c r="K300">
        <v>5004</v>
      </c>
      <c r="L300">
        <v>269</v>
      </c>
      <c r="M300" s="12" t="s">
        <v>34</v>
      </c>
      <c r="N300" s="12" t="s">
        <v>18</v>
      </c>
    </row>
    <row r="301" spans="1:14" x14ac:dyDescent="0.35">
      <c r="A301" s="12" t="s">
        <v>356</v>
      </c>
      <c r="B301" s="12" t="s">
        <v>30</v>
      </c>
      <c r="C301" s="17">
        <v>45601</v>
      </c>
      <c r="D301" s="12" t="s">
        <v>62</v>
      </c>
      <c r="E301" s="12" t="s">
        <v>72</v>
      </c>
      <c r="F301">
        <v>4561</v>
      </c>
      <c r="G301">
        <v>51</v>
      </c>
      <c r="H301">
        <v>441</v>
      </c>
      <c r="I301">
        <v>22805</v>
      </c>
      <c r="J301">
        <v>21890</v>
      </c>
      <c r="K301">
        <v>5053</v>
      </c>
      <c r="L301">
        <v>45</v>
      </c>
      <c r="M301" s="12" t="s">
        <v>27</v>
      </c>
      <c r="N301" s="12" t="s">
        <v>22</v>
      </c>
    </row>
    <row r="302" spans="1:14" x14ac:dyDescent="0.35">
      <c r="A302" s="12" t="s">
        <v>357</v>
      </c>
      <c r="B302" s="12" t="s">
        <v>24</v>
      </c>
      <c r="C302" s="17">
        <v>45672</v>
      </c>
      <c r="D302" s="12" t="s">
        <v>16</v>
      </c>
      <c r="E302" s="12" t="s">
        <v>26</v>
      </c>
      <c r="F302">
        <v>3774</v>
      </c>
      <c r="G302">
        <v>239</v>
      </c>
      <c r="H302">
        <v>39</v>
      </c>
      <c r="I302">
        <v>60384</v>
      </c>
      <c r="J302">
        <v>59490</v>
      </c>
      <c r="K302">
        <v>4052</v>
      </c>
      <c r="L302">
        <v>241</v>
      </c>
      <c r="M302" s="12" t="s">
        <v>27</v>
      </c>
      <c r="N302" s="12" t="s">
        <v>28</v>
      </c>
    </row>
    <row r="303" spans="1:14" x14ac:dyDescent="0.35">
      <c r="A303" s="12" t="s">
        <v>358</v>
      </c>
      <c r="B303" s="12" t="s">
        <v>30</v>
      </c>
      <c r="C303" s="17">
        <v>45582</v>
      </c>
      <c r="D303" s="12" t="s">
        <v>62</v>
      </c>
      <c r="E303" s="12" t="s">
        <v>72</v>
      </c>
      <c r="F303">
        <v>3575</v>
      </c>
      <c r="G303">
        <v>749</v>
      </c>
      <c r="H303">
        <v>111</v>
      </c>
      <c r="I303">
        <v>21450</v>
      </c>
      <c r="J303">
        <v>20785</v>
      </c>
      <c r="K303">
        <v>4435</v>
      </c>
      <c r="L303">
        <v>195</v>
      </c>
      <c r="M303" s="12" t="s">
        <v>34</v>
      </c>
      <c r="N303" s="12" t="s">
        <v>22</v>
      </c>
    </row>
    <row r="304" spans="1:14" x14ac:dyDescent="0.35">
      <c r="A304" s="12" t="s">
        <v>359</v>
      </c>
      <c r="B304" s="12" t="s">
        <v>30</v>
      </c>
      <c r="C304" s="17">
        <v>45743</v>
      </c>
      <c r="D304" s="12" t="s">
        <v>20</v>
      </c>
      <c r="E304" s="12" t="s">
        <v>89</v>
      </c>
      <c r="F304">
        <v>4941</v>
      </c>
      <c r="G304">
        <v>414</v>
      </c>
      <c r="H304">
        <v>266</v>
      </c>
      <c r="I304">
        <v>39528</v>
      </c>
      <c r="J304">
        <v>39154</v>
      </c>
      <c r="K304">
        <v>5621</v>
      </c>
      <c r="L304">
        <v>217</v>
      </c>
      <c r="M304" s="12" t="s">
        <v>27</v>
      </c>
      <c r="N304" s="12" t="s">
        <v>28</v>
      </c>
    </row>
    <row r="305" spans="1:14" x14ac:dyDescent="0.35">
      <c r="A305" s="12" t="s">
        <v>360</v>
      </c>
      <c r="B305" s="12" t="s">
        <v>24</v>
      </c>
      <c r="C305" s="17">
        <v>45577</v>
      </c>
      <c r="D305" s="12" t="s">
        <v>32</v>
      </c>
      <c r="E305" s="12" t="s">
        <v>117</v>
      </c>
      <c r="F305">
        <v>3641</v>
      </c>
      <c r="G305">
        <v>226</v>
      </c>
      <c r="H305">
        <v>46</v>
      </c>
      <c r="I305">
        <v>40051</v>
      </c>
      <c r="J305">
        <v>39319</v>
      </c>
      <c r="K305">
        <v>3913</v>
      </c>
      <c r="L305">
        <v>296</v>
      </c>
      <c r="M305" s="12" t="s">
        <v>34</v>
      </c>
      <c r="N305" s="12" t="s">
        <v>35</v>
      </c>
    </row>
    <row r="306" spans="1:14" x14ac:dyDescent="0.35">
      <c r="A306" s="12" t="s">
        <v>361</v>
      </c>
      <c r="B306" s="12" t="s">
        <v>14</v>
      </c>
      <c r="C306" s="17">
        <v>45658</v>
      </c>
      <c r="D306" s="12" t="s">
        <v>40</v>
      </c>
      <c r="E306" s="12" t="s">
        <v>44</v>
      </c>
      <c r="F306">
        <v>3535</v>
      </c>
      <c r="G306">
        <v>494</v>
      </c>
      <c r="H306">
        <v>152</v>
      </c>
      <c r="I306">
        <v>53025</v>
      </c>
      <c r="J306">
        <v>52791</v>
      </c>
      <c r="K306">
        <v>4181</v>
      </c>
      <c r="L306">
        <v>44</v>
      </c>
      <c r="M306" s="12" t="s">
        <v>27</v>
      </c>
      <c r="N306" s="12" t="s">
        <v>35</v>
      </c>
    </row>
    <row r="307" spans="1:14" x14ac:dyDescent="0.35">
      <c r="A307" s="12" t="s">
        <v>362</v>
      </c>
      <c r="B307" s="12" t="s">
        <v>38</v>
      </c>
      <c r="C307" s="17">
        <v>45509</v>
      </c>
      <c r="D307" s="12" t="s">
        <v>16</v>
      </c>
      <c r="E307" s="12" t="s">
        <v>55</v>
      </c>
      <c r="F307">
        <v>1741</v>
      </c>
      <c r="G307">
        <v>831</v>
      </c>
      <c r="H307">
        <v>345</v>
      </c>
      <c r="I307">
        <v>17410</v>
      </c>
      <c r="J307">
        <v>16844</v>
      </c>
      <c r="K307">
        <v>2917</v>
      </c>
      <c r="L307">
        <v>58</v>
      </c>
      <c r="M307" s="12" t="s">
        <v>34</v>
      </c>
      <c r="N307" s="12" t="s">
        <v>28</v>
      </c>
    </row>
    <row r="308" spans="1:14" x14ac:dyDescent="0.35">
      <c r="A308" s="12" t="s">
        <v>363</v>
      </c>
      <c r="B308" s="12" t="s">
        <v>14</v>
      </c>
      <c r="C308" s="17">
        <v>45450</v>
      </c>
      <c r="D308" s="12" t="s">
        <v>40</v>
      </c>
      <c r="E308" s="12" t="s">
        <v>44</v>
      </c>
      <c r="F308">
        <v>1556</v>
      </c>
      <c r="G308">
        <v>195</v>
      </c>
      <c r="H308">
        <v>131</v>
      </c>
      <c r="I308">
        <v>9336</v>
      </c>
      <c r="J308">
        <v>8875</v>
      </c>
      <c r="K308">
        <v>1882</v>
      </c>
      <c r="L308">
        <v>137</v>
      </c>
      <c r="M308" s="12" t="s">
        <v>27</v>
      </c>
      <c r="N308" s="12" t="s">
        <v>22</v>
      </c>
    </row>
    <row r="309" spans="1:14" x14ac:dyDescent="0.35">
      <c r="A309" s="12" t="s">
        <v>364</v>
      </c>
      <c r="B309" s="12" t="s">
        <v>38</v>
      </c>
      <c r="C309" s="17">
        <v>45753</v>
      </c>
      <c r="D309" s="12" t="s">
        <v>46</v>
      </c>
      <c r="E309" s="12" t="s">
        <v>51</v>
      </c>
      <c r="F309">
        <v>4236</v>
      </c>
      <c r="G309">
        <v>711</v>
      </c>
      <c r="H309">
        <v>298</v>
      </c>
      <c r="I309">
        <v>21180</v>
      </c>
      <c r="J309">
        <v>20516</v>
      </c>
      <c r="K309">
        <v>5245</v>
      </c>
      <c r="L309">
        <v>238</v>
      </c>
      <c r="M309" s="12" t="s">
        <v>53</v>
      </c>
      <c r="N309" s="12" t="s">
        <v>18</v>
      </c>
    </row>
    <row r="310" spans="1:14" x14ac:dyDescent="0.35">
      <c r="A310" s="12" t="s">
        <v>365</v>
      </c>
      <c r="B310" s="12" t="s">
        <v>14</v>
      </c>
      <c r="C310" s="17">
        <v>45622</v>
      </c>
      <c r="D310" s="12" t="s">
        <v>20</v>
      </c>
      <c r="E310" s="12" t="s">
        <v>21</v>
      </c>
      <c r="F310">
        <v>4516</v>
      </c>
      <c r="G310">
        <v>836</v>
      </c>
      <c r="H310">
        <v>169</v>
      </c>
      <c r="I310">
        <v>49676</v>
      </c>
      <c r="J310">
        <v>49257</v>
      </c>
      <c r="K310">
        <v>5521</v>
      </c>
      <c r="L310">
        <v>282</v>
      </c>
      <c r="M310" s="12" t="s">
        <v>34</v>
      </c>
      <c r="N310" s="12" t="s">
        <v>35</v>
      </c>
    </row>
    <row r="311" spans="1:14" x14ac:dyDescent="0.35">
      <c r="A311" s="12" t="s">
        <v>366</v>
      </c>
      <c r="B311" s="12" t="s">
        <v>24</v>
      </c>
      <c r="C311" s="17">
        <v>45537</v>
      </c>
      <c r="D311" s="12" t="s">
        <v>46</v>
      </c>
      <c r="E311" s="12" t="s">
        <v>47</v>
      </c>
      <c r="F311">
        <v>4905</v>
      </c>
      <c r="G311">
        <v>845</v>
      </c>
      <c r="H311">
        <v>129</v>
      </c>
      <c r="I311">
        <v>98100</v>
      </c>
      <c r="J311">
        <v>97772</v>
      </c>
      <c r="K311">
        <v>5879</v>
      </c>
      <c r="L311">
        <v>279</v>
      </c>
      <c r="M311" s="12" t="s">
        <v>27</v>
      </c>
      <c r="N311" s="12" t="s">
        <v>22</v>
      </c>
    </row>
    <row r="312" spans="1:14" x14ac:dyDescent="0.35">
      <c r="A312" s="12" t="s">
        <v>367</v>
      </c>
      <c r="B312" s="12" t="s">
        <v>24</v>
      </c>
      <c r="C312" s="17">
        <v>45586</v>
      </c>
      <c r="D312" s="12" t="s">
        <v>62</v>
      </c>
      <c r="E312" s="12" t="s">
        <v>157</v>
      </c>
      <c r="F312">
        <v>4275</v>
      </c>
      <c r="G312">
        <v>680</v>
      </c>
      <c r="H312">
        <v>385</v>
      </c>
      <c r="I312">
        <v>64125</v>
      </c>
      <c r="J312">
        <v>63650</v>
      </c>
      <c r="K312">
        <v>5340</v>
      </c>
      <c r="L312">
        <v>104</v>
      </c>
      <c r="M312" s="12" t="s">
        <v>34</v>
      </c>
      <c r="N312" s="12" t="s">
        <v>35</v>
      </c>
    </row>
    <row r="313" spans="1:14" x14ac:dyDescent="0.35">
      <c r="A313" s="12" t="s">
        <v>367</v>
      </c>
      <c r="B313" s="12" t="s">
        <v>24</v>
      </c>
      <c r="C313" s="17">
        <v>45586</v>
      </c>
      <c r="D313" s="12" t="s">
        <v>62</v>
      </c>
      <c r="E313" s="12" t="s">
        <v>157</v>
      </c>
      <c r="F313">
        <v>4275</v>
      </c>
      <c r="G313">
        <v>680</v>
      </c>
      <c r="H313">
        <v>385</v>
      </c>
      <c r="I313">
        <v>64125</v>
      </c>
      <c r="J313">
        <v>63650</v>
      </c>
      <c r="K313">
        <v>5340</v>
      </c>
      <c r="L313">
        <v>104</v>
      </c>
      <c r="M313" s="12" t="s">
        <v>27</v>
      </c>
      <c r="N313" s="12" t="s">
        <v>35</v>
      </c>
    </row>
    <row r="314" spans="1:14" x14ac:dyDescent="0.35">
      <c r="A314" s="12" t="s">
        <v>367</v>
      </c>
      <c r="B314" s="12" t="s">
        <v>24</v>
      </c>
      <c r="C314" s="17">
        <v>45586</v>
      </c>
      <c r="D314" s="12" t="s">
        <v>62</v>
      </c>
      <c r="E314" s="12" t="s">
        <v>157</v>
      </c>
      <c r="F314">
        <v>4275</v>
      </c>
      <c r="G314">
        <v>680</v>
      </c>
      <c r="H314">
        <v>385</v>
      </c>
      <c r="I314">
        <v>64125</v>
      </c>
      <c r="J314">
        <v>63650</v>
      </c>
      <c r="K314">
        <v>5340</v>
      </c>
      <c r="L314">
        <v>104</v>
      </c>
      <c r="M314" s="12" t="s">
        <v>431</v>
      </c>
      <c r="N314" s="12" t="s">
        <v>35</v>
      </c>
    </row>
    <row r="315" spans="1:14" x14ac:dyDescent="0.35">
      <c r="A315" s="12" t="s">
        <v>368</v>
      </c>
      <c r="B315" s="12" t="s">
        <v>24</v>
      </c>
      <c r="C315" s="17">
        <v>45738</v>
      </c>
      <c r="D315" s="12" t="s">
        <v>46</v>
      </c>
      <c r="E315" s="12" t="s">
        <v>47</v>
      </c>
      <c r="F315">
        <v>3166</v>
      </c>
      <c r="G315">
        <v>90</v>
      </c>
      <c r="H315">
        <v>341</v>
      </c>
      <c r="I315">
        <v>56988</v>
      </c>
      <c r="J315">
        <v>56125</v>
      </c>
      <c r="K315">
        <v>3597</v>
      </c>
      <c r="L315">
        <v>135</v>
      </c>
      <c r="M315" s="12" t="s">
        <v>34</v>
      </c>
      <c r="N315" s="12" t="s">
        <v>22</v>
      </c>
    </row>
    <row r="316" spans="1:14" x14ac:dyDescent="0.35">
      <c r="A316" s="12" t="s">
        <v>369</v>
      </c>
      <c r="B316" s="12" t="s">
        <v>30</v>
      </c>
      <c r="C316" s="17">
        <v>45568</v>
      </c>
      <c r="D316" s="12" t="s">
        <v>62</v>
      </c>
      <c r="E316" s="12" t="s">
        <v>72</v>
      </c>
      <c r="F316">
        <v>1488</v>
      </c>
      <c r="G316">
        <v>417</v>
      </c>
      <c r="H316">
        <v>168</v>
      </c>
      <c r="I316">
        <v>19344</v>
      </c>
      <c r="J316">
        <v>18395</v>
      </c>
      <c r="K316">
        <v>2073</v>
      </c>
      <c r="L316">
        <v>30</v>
      </c>
      <c r="M316" s="12" t="s">
        <v>53</v>
      </c>
      <c r="N316" s="12" t="s">
        <v>28</v>
      </c>
    </row>
    <row r="317" spans="1:14" x14ac:dyDescent="0.35">
      <c r="A317" s="12" t="s">
        <v>370</v>
      </c>
      <c r="B317" s="12" t="s">
        <v>14</v>
      </c>
      <c r="C317" s="17">
        <v>45786</v>
      </c>
      <c r="D317" s="12" t="s">
        <v>16</v>
      </c>
      <c r="E317" s="12" t="s">
        <v>17</v>
      </c>
      <c r="F317">
        <v>3367</v>
      </c>
      <c r="G317">
        <v>302</v>
      </c>
      <c r="H317">
        <v>57</v>
      </c>
      <c r="I317">
        <v>63973</v>
      </c>
      <c r="J317">
        <v>63789</v>
      </c>
      <c r="K317">
        <v>3726</v>
      </c>
      <c r="L317">
        <v>157</v>
      </c>
      <c r="M317" s="12" t="s">
        <v>53</v>
      </c>
      <c r="N317" s="12" t="s">
        <v>22</v>
      </c>
    </row>
    <row r="318" spans="1:14" x14ac:dyDescent="0.35">
      <c r="A318" s="12" t="s">
        <v>371</v>
      </c>
      <c r="B318" s="12" t="s">
        <v>14</v>
      </c>
      <c r="C318" s="17">
        <v>45552</v>
      </c>
      <c r="D318" s="12" t="s">
        <v>20</v>
      </c>
      <c r="E318" s="12" t="s">
        <v>21</v>
      </c>
      <c r="F318">
        <v>571</v>
      </c>
      <c r="G318">
        <v>190</v>
      </c>
      <c r="H318">
        <v>352</v>
      </c>
      <c r="I318">
        <v>9707</v>
      </c>
      <c r="J318">
        <v>9418</v>
      </c>
      <c r="K318">
        <v>1113</v>
      </c>
      <c r="L318">
        <v>231</v>
      </c>
      <c r="M318" s="12" t="s">
        <v>27</v>
      </c>
      <c r="N318" s="12" t="s">
        <v>35</v>
      </c>
    </row>
    <row r="319" spans="1:14" x14ac:dyDescent="0.35">
      <c r="A319" s="12" t="s">
        <v>372</v>
      </c>
      <c r="B319" s="12" t="s">
        <v>24</v>
      </c>
      <c r="C319" s="17">
        <v>45491</v>
      </c>
      <c r="D319" s="12" t="s">
        <v>20</v>
      </c>
      <c r="E319" s="12" t="s">
        <v>83</v>
      </c>
      <c r="F319">
        <v>4021</v>
      </c>
      <c r="G319">
        <v>794</v>
      </c>
      <c r="H319">
        <v>77</v>
      </c>
      <c r="I319">
        <v>36189</v>
      </c>
      <c r="J319">
        <v>35505</v>
      </c>
      <c r="K319">
        <v>4892</v>
      </c>
      <c r="L319">
        <v>174</v>
      </c>
      <c r="M319" s="12" t="s">
        <v>34</v>
      </c>
      <c r="N319" s="12"/>
    </row>
    <row r="320" spans="1:14" x14ac:dyDescent="0.35">
      <c r="A320" s="12" t="s">
        <v>373</v>
      </c>
      <c r="B320" s="12" t="s">
        <v>24</v>
      </c>
      <c r="C320" s="17">
        <v>45560</v>
      </c>
      <c r="D320" s="12" t="s">
        <v>62</v>
      </c>
      <c r="E320" s="12" t="s">
        <v>157</v>
      </c>
      <c r="F320">
        <v>3389</v>
      </c>
      <c r="G320">
        <v>344</v>
      </c>
      <c r="H320">
        <v>229</v>
      </c>
      <c r="I320">
        <v>20334</v>
      </c>
      <c r="J320">
        <v>19443</v>
      </c>
      <c r="K320">
        <v>3962</v>
      </c>
      <c r="L320">
        <v>228</v>
      </c>
      <c r="M320" s="12" t="s">
        <v>53</v>
      </c>
      <c r="N320" s="12" t="s">
        <v>28</v>
      </c>
    </row>
    <row r="321" spans="1:14" x14ac:dyDescent="0.35">
      <c r="A321" s="12" t="s">
        <v>374</v>
      </c>
      <c r="B321" s="12" t="s">
        <v>30</v>
      </c>
      <c r="C321" s="17">
        <v>45519</v>
      </c>
      <c r="D321" s="12" t="s">
        <v>16</v>
      </c>
      <c r="E321" s="12" t="s">
        <v>70</v>
      </c>
      <c r="F321">
        <v>1164</v>
      </c>
      <c r="G321">
        <v>616</v>
      </c>
      <c r="H321">
        <v>324</v>
      </c>
      <c r="I321">
        <v>6984</v>
      </c>
      <c r="J321">
        <v>6636</v>
      </c>
      <c r="K321">
        <v>2104</v>
      </c>
      <c r="L321">
        <v>82</v>
      </c>
      <c r="M321" s="12" t="s">
        <v>34</v>
      </c>
      <c r="N321" s="12" t="s">
        <v>18</v>
      </c>
    </row>
    <row r="322" spans="1:14" x14ac:dyDescent="0.35">
      <c r="A322" s="12" t="s">
        <v>375</v>
      </c>
      <c r="B322" s="12" t="s">
        <v>24</v>
      </c>
      <c r="C322" s="17">
        <v>45764</v>
      </c>
      <c r="D322" s="12" t="s">
        <v>40</v>
      </c>
      <c r="E322" s="12" t="s">
        <v>58</v>
      </c>
      <c r="F322">
        <v>4780</v>
      </c>
      <c r="G322">
        <v>691</v>
      </c>
      <c r="H322">
        <v>380</v>
      </c>
      <c r="I322">
        <v>86040</v>
      </c>
      <c r="J322">
        <v>85743</v>
      </c>
      <c r="K322">
        <v>5851</v>
      </c>
      <c r="L322">
        <v>262</v>
      </c>
      <c r="M322" s="12" t="s">
        <v>53</v>
      </c>
      <c r="N322" s="12" t="s">
        <v>28</v>
      </c>
    </row>
    <row r="323" spans="1:14" x14ac:dyDescent="0.35">
      <c r="A323" s="12" t="s">
        <v>376</v>
      </c>
      <c r="B323" s="12" t="s">
        <v>38</v>
      </c>
      <c r="C323" s="17">
        <v>45624</v>
      </c>
      <c r="D323" s="12" t="s">
        <v>40</v>
      </c>
      <c r="E323" s="12" t="s">
        <v>41</v>
      </c>
      <c r="F323">
        <v>2751</v>
      </c>
      <c r="G323">
        <v>33</v>
      </c>
      <c r="H323">
        <v>430</v>
      </c>
      <c r="I323">
        <v>44016</v>
      </c>
      <c r="J323">
        <v>43415</v>
      </c>
      <c r="K323">
        <v>3214</v>
      </c>
      <c r="L323">
        <v>129</v>
      </c>
      <c r="M323" s="12" t="s">
        <v>53</v>
      </c>
      <c r="N323" s="12"/>
    </row>
    <row r="324" spans="1:14" x14ac:dyDescent="0.35">
      <c r="A324" s="12" t="s">
        <v>377</v>
      </c>
      <c r="B324" s="12" t="s">
        <v>30</v>
      </c>
      <c r="C324" s="17">
        <v>45646</v>
      </c>
      <c r="D324" s="12" t="s">
        <v>40</v>
      </c>
      <c r="E324" s="12" t="s">
        <v>75</v>
      </c>
      <c r="F324">
        <v>2107</v>
      </c>
      <c r="G324">
        <v>550</v>
      </c>
      <c r="H324">
        <v>349</v>
      </c>
      <c r="I324">
        <v>35819</v>
      </c>
      <c r="J324">
        <v>35340</v>
      </c>
      <c r="K324">
        <v>3006</v>
      </c>
      <c r="L324">
        <v>191</v>
      </c>
      <c r="M324" s="12" t="s">
        <v>34</v>
      </c>
      <c r="N324" s="12" t="s">
        <v>35</v>
      </c>
    </row>
    <row r="325" spans="1:14" x14ac:dyDescent="0.35">
      <c r="A325" s="12" t="s">
        <v>378</v>
      </c>
      <c r="B325" s="12" t="s">
        <v>38</v>
      </c>
      <c r="C325" s="17">
        <v>45602</v>
      </c>
      <c r="D325" s="12" t="s">
        <v>62</v>
      </c>
      <c r="E325" s="12" t="s">
        <v>63</v>
      </c>
      <c r="F325">
        <v>4663</v>
      </c>
      <c r="G325">
        <v>145</v>
      </c>
      <c r="H325">
        <v>225</v>
      </c>
      <c r="I325">
        <v>69945</v>
      </c>
      <c r="J325">
        <v>69596</v>
      </c>
      <c r="K325">
        <v>5033</v>
      </c>
      <c r="L325">
        <v>35</v>
      </c>
      <c r="M325" s="12" t="s">
        <v>34</v>
      </c>
      <c r="N325" s="12" t="s">
        <v>35</v>
      </c>
    </row>
    <row r="326" spans="1:14" x14ac:dyDescent="0.35">
      <c r="A326" s="12" t="s">
        <v>379</v>
      </c>
      <c r="B326" s="12" t="s">
        <v>38</v>
      </c>
      <c r="C326" s="17">
        <v>45613</v>
      </c>
      <c r="D326" s="12" t="s">
        <v>20</v>
      </c>
      <c r="E326" s="12" t="s">
        <v>49</v>
      </c>
      <c r="F326">
        <v>880</v>
      </c>
      <c r="G326">
        <v>297</v>
      </c>
      <c r="H326">
        <v>345</v>
      </c>
      <c r="I326">
        <v>12320</v>
      </c>
      <c r="J326">
        <v>11978</v>
      </c>
      <c r="K326">
        <v>1522</v>
      </c>
      <c r="L326">
        <v>238</v>
      </c>
      <c r="M326" s="12" t="s">
        <v>27</v>
      </c>
      <c r="N326" s="12"/>
    </row>
    <row r="327" spans="1:14" x14ac:dyDescent="0.35">
      <c r="A327" s="12" t="s">
        <v>379</v>
      </c>
      <c r="B327" s="12" t="s">
        <v>38</v>
      </c>
      <c r="C327" s="17">
        <v>45613</v>
      </c>
      <c r="D327" s="12" t="s">
        <v>20</v>
      </c>
      <c r="E327" s="12" t="s">
        <v>49</v>
      </c>
      <c r="F327">
        <v>880</v>
      </c>
      <c r="G327">
        <v>297</v>
      </c>
      <c r="H327">
        <v>345</v>
      </c>
      <c r="I327">
        <v>12320</v>
      </c>
      <c r="J327">
        <v>11978</v>
      </c>
      <c r="K327">
        <v>1522</v>
      </c>
      <c r="L327">
        <v>238</v>
      </c>
      <c r="M327" s="12" t="s">
        <v>431</v>
      </c>
      <c r="N327" s="12"/>
    </row>
    <row r="328" spans="1:14" x14ac:dyDescent="0.35">
      <c r="A328" s="12" t="s">
        <v>380</v>
      </c>
      <c r="B328" s="12" t="s">
        <v>38</v>
      </c>
      <c r="C328" s="17">
        <v>45791</v>
      </c>
      <c r="D328" s="12" t="s">
        <v>20</v>
      </c>
      <c r="E328" s="12" t="s">
        <v>49</v>
      </c>
      <c r="F328">
        <v>2634</v>
      </c>
      <c r="G328">
        <v>726</v>
      </c>
      <c r="H328">
        <v>241</v>
      </c>
      <c r="I328">
        <v>28974</v>
      </c>
      <c r="J328">
        <v>28102</v>
      </c>
      <c r="K328">
        <v>3601</v>
      </c>
      <c r="L328">
        <v>277</v>
      </c>
      <c r="M328" s="12" t="s">
        <v>34</v>
      </c>
      <c r="N328" s="12" t="s">
        <v>18</v>
      </c>
    </row>
    <row r="329" spans="1:14" x14ac:dyDescent="0.35">
      <c r="A329" s="12" t="s">
        <v>381</v>
      </c>
      <c r="B329" s="12" t="s">
        <v>38</v>
      </c>
      <c r="C329" s="17">
        <v>45462</v>
      </c>
      <c r="D329" s="12" t="s">
        <v>40</v>
      </c>
      <c r="E329" s="12" t="s">
        <v>41</v>
      </c>
      <c r="F329">
        <v>4731</v>
      </c>
      <c r="G329">
        <v>173</v>
      </c>
      <c r="H329">
        <v>276</v>
      </c>
      <c r="I329">
        <v>28386</v>
      </c>
      <c r="J329">
        <v>28185</v>
      </c>
      <c r="K329">
        <v>5180</v>
      </c>
      <c r="L329">
        <v>89</v>
      </c>
      <c r="M329" s="12" t="s">
        <v>34</v>
      </c>
      <c r="N329" s="12" t="s">
        <v>28</v>
      </c>
    </row>
    <row r="330" spans="1:14" x14ac:dyDescent="0.35">
      <c r="A330" s="12" t="s">
        <v>382</v>
      </c>
      <c r="B330" s="12" t="s">
        <v>14</v>
      </c>
      <c r="C330" s="17">
        <v>45783</v>
      </c>
      <c r="D330" s="12" t="s">
        <v>46</v>
      </c>
      <c r="E330" s="12" t="s">
        <v>102</v>
      </c>
      <c r="F330">
        <v>1952</v>
      </c>
      <c r="G330">
        <v>344</v>
      </c>
      <c r="H330">
        <v>287</v>
      </c>
      <c r="I330">
        <v>15616</v>
      </c>
      <c r="J330">
        <v>15403</v>
      </c>
      <c r="K330">
        <v>2583</v>
      </c>
      <c r="L330">
        <v>235</v>
      </c>
      <c r="M330" s="12" t="s">
        <v>53</v>
      </c>
      <c r="N330" s="12" t="s">
        <v>22</v>
      </c>
    </row>
    <row r="331" spans="1:14" x14ac:dyDescent="0.35">
      <c r="A331" s="12" t="s">
        <v>382</v>
      </c>
      <c r="B331" s="12" t="s">
        <v>14</v>
      </c>
      <c r="C331" s="17">
        <v>45783</v>
      </c>
      <c r="D331" s="12" t="s">
        <v>46</v>
      </c>
      <c r="E331" s="12" t="s">
        <v>102</v>
      </c>
      <c r="F331">
        <v>1952</v>
      </c>
      <c r="G331">
        <v>344</v>
      </c>
      <c r="H331">
        <v>287</v>
      </c>
      <c r="I331">
        <v>15616</v>
      </c>
      <c r="J331">
        <v>15403</v>
      </c>
      <c r="K331">
        <v>2583</v>
      </c>
      <c r="L331">
        <v>235</v>
      </c>
      <c r="M331" s="12" t="s">
        <v>27</v>
      </c>
      <c r="N331" s="12" t="s">
        <v>22</v>
      </c>
    </row>
    <row r="332" spans="1:14" x14ac:dyDescent="0.35">
      <c r="A332" s="12" t="s">
        <v>382</v>
      </c>
      <c r="B332" s="12" t="s">
        <v>14</v>
      </c>
      <c r="C332" s="17">
        <v>45783</v>
      </c>
      <c r="D332" s="12" t="s">
        <v>46</v>
      </c>
      <c r="E332" s="12" t="s">
        <v>102</v>
      </c>
      <c r="F332">
        <v>1952</v>
      </c>
      <c r="G332">
        <v>344</v>
      </c>
      <c r="H332">
        <v>287</v>
      </c>
      <c r="I332">
        <v>15616</v>
      </c>
      <c r="J332">
        <v>15403</v>
      </c>
      <c r="K332">
        <v>2583</v>
      </c>
      <c r="L332">
        <v>235</v>
      </c>
      <c r="M332" s="12" t="s">
        <v>431</v>
      </c>
      <c r="N332" s="12" t="s">
        <v>22</v>
      </c>
    </row>
    <row r="333" spans="1:14" x14ac:dyDescent="0.35">
      <c r="A333" s="12" t="s">
        <v>383</v>
      </c>
      <c r="B333" s="12" t="s">
        <v>14</v>
      </c>
      <c r="C333" s="17">
        <v>45699</v>
      </c>
      <c r="D333" s="12" t="s">
        <v>62</v>
      </c>
      <c r="E333" s="12" t="s">
        <v>109</v>
      </c>
      <c r="F333">
        <v>3440</v>
      </c>
      <c r="G333">
        <v>13</v>
      </c>
      <c r="H333">
        <v>20</v>
      </c>
      <c r="I333">
        <v>58480</v>
      </c>
      <c r="J333">
        <v>58146</v>
      </c>
      <c r="K333">
        <v>3473</v>
      </c>
      <c r="L333">
        <v>210</v>
      </c>
      <c r="M333" s="12" t="s">
        <v>27</v>
      </c>
      <c r="N333" s="12" t="s">
        <v>35</v>
      </c>
    </row>
    <row r="334" spans="1:14" x14ac:dyDescent="0.35">
      <c r="A334" s="12" t="s">
        <v>383</v>
      </c>
      <c r="B334" s="12" t="s">
        <v>14</v>
      </c>
      <c r="C334" s="17">
        <v>45699</v>
      </c>
      <c r="D334" s="12" t="s">
        <v>62</v>
      </c>
      <c r="E334" s="12" t="s">
        <v>109</v>
      </c>
      <c r="F334">
        <v>3440</v>
      </c>
      <c r="G334">
        <v>13</v>
      </c>
      <c r="H334">
        <v>20</v>
      </c>
      <c r="I334">
        <v>58480</v>
      </c>
      <c r="J334">
        <v>58146</v>
      </c>
      <c r="K334">
        <v>3473</v>
      </c>
      <c r="L334">
        <v>210</v>
      </c>
      <c r="M334" s="12" t="s">
        <v>427</v>
      </c>
      <c r="N334" s="12" t="s">
        <v>35</v>
      </c>
    </row>
    <row r="335" spans="1:14" x14ac:dyDescent="0.35">
      <c r="A335" s="12" t="s">
        <v>384</v>
      </c>
      <c r="B335" s="12" t="s">
        <v>14</v>
      </c>
      <c r="C335" s="17">
        <v>45650</v>
      </c>
      <c r="D335" s="12" t="s">
        <v>20</v>
      </c>
      <c r="E335" s="12" t="s">
        <v>21</v>
      </c>
      <c r="F335">
        <v>2166</v>
      </c>
      <c r="G335">
        <v>354</v>
      </c>
      <c r="H335">
        <v>117</v>
      </c>
      <c r="I335">
        <v>10830</v>
      </c>
      <c r="J335">
        <v>10245</v>
      </c>
      <c r="K335">
        <v>2637</v>
      </c>
      <c r="L335">
        <v>24</v>
      </c>
      <c r="M335" s="12" t="s">
        <v>34</v>
      </c>
      <c r="N335" s="12" t="s">
        <v>35</v>
      </c>
    </row>
    <row r="336" spans="1:14" x14ac:dyDescent="0.35">
      <c r="A336" s="12" t="s">
        <v>385</v>
      </c>
      <c r="B336" s="12" t="s">
        <v>38</v>
      </c>
      <c r="C336" s="17">
        <v>45589</v>
      </c>
      <c r="D336" s="12" t="s">
        <v>46</v>
      </c>
      <c r="E336" s="12" t="s">
        <v>51</v>
      </c>
      <c r="F336">
        <v>4303</v>
      </c>
      <c r="G336">
        <v>451</v>
      </c>
      <c r="H336">
        <v>286</v>
      </c>
      <c r="I336">
        <v>86060</v>
      </c>
      <c r="J336">
        <v>85823</v>
      </c>
      <c r="K336">
        <v>5040</v>
      </c>
      <c r="L336">
        <v>14</v>
      </c>
      <c r="M336" s="12" t="s">
        <v>27</v>
      </c>
      <c r="N336" s="12" t="s">
        <v>28</v>
      </c>
    </row>
    <row r="337" spans="1:14" x14ac:dyDescent="0.35">
      <c r="A337" s="12" t="s">
        <v>386</v>
      </c>
      <c r="B337" s="12" t="s">
        <v>38</v>
      </c>
      <c r="C337" s="17">
        <v>45530</v>
      </c>
      <c r="D337" s="12" t="s">
        <v>46</v>
      </c>
      <c r="E337" s="12" t="s">
        <v>51</v>
      </c>
      <c r="F337">
        <v>2581</v>
      </c>
      <c r="G337">
        <v>517</v>
      </c>
      <c r="H337">
        <v>117</v>
      </c>
      <c r="I337">
        <v>23229</v>
      </c>
      <c r="J337">
        <v>22331</v>
      </c>
      <c r="K337">
        <v>3215</v>
      </c>
      <c r="L337">
        <v>70</v>
      </c>
      <c r="M337" s="12" t="s">
        <v>53</v>
      </c>
      <c r="N337" s="12" t="s">
        <v>28</v>
      </c>
    </row>
    <row r="338" spans="1:14" x14ac:dyDescent="0.35">
      <c r="A338" s="12" t="s">
        <v>387</v>
      </c>
      <c r="B338" s="12" t="s">
        <v>14</v>
      </c>
      <c r="C338" s="17">
        <v>45535</v>
      </c>
      <c r="D338" s="12" t="s">
        <v>40</v>
      </c>
      <c r="E338" s="12" t="s">
        <v>44</v>
      </c>
      <c r="F338">
        <v>4494</v>
      </c>
      <c r="G338">
        <v>717</v>
      </c>
      <c r="H338">
        <v>45</v>
      </c>
      <c r="I338">
        <v>62916</v>
      </c>
      <c r="J338">
        <v>62688</v>
      </c>
      <c r="K338">
        <v>5256</v>
      </c>
      <c r="L338">
        <v>191</v>
      </c>
      <c r="M338" s="12" t="s">
        <v>27</v>
      </c>
      <c r="N338" s="12" t="s">
        <v>18</v>
      </c>
    </row>
    <row r="339" spans="1:14" x14ac:dyDescent="0.35">
      <c r="A339" s="12" t="s">
        <v>387</v>
      </c>
      <c r="B339" s="12" t="s">
        <v>14</v>
      </c>
      <c r="C339" s="17">
        <v>45535</v>
      </c>
      <c r="D339" s="12" t="s">
        <v>40</v>
      </c>
      <c r="E339" s="12" t="s">
        <v>44</v>
      </c>
      <c r="F339">
        <v>4494</v>
      </c>
      <c r="G339">
        <v>717</v>
      </c>
      <c r="H339">
        <v>45</v>
      </c>
      <c r="I339">
        <v>62916</v>
      </c>
      <c r="J339">
        <v>62688</v>
      </c>
      <c r="K339">
        <v>5256</v>
      </c>
      <c r="L339">
        <v>191</v>
      </c>
      <c r="M339" s="12" t="s">
        <v>34</v>
      </c>
      <c r="N339" s="12" t="s">
        <v>18</v>
      </c>
    </row>
    <row r="340" spans="1:14" x14ac:dyDescent="0.35">
      <c r="A340" s="12" t="s">
        <v>387</v>
      </c>
      <c r="B340" s="12" t="s">
        <v>14</v>
      </c>
      <c r="C340" s="17">
        <v>45535</v>
      </c>
      <c r="D340" s="12" t="s">
        <v>40</v>
      </c>
      <c r="E340" s="12" t="s">
        <v>44</v>
      </c>
      <c r="F340">
        <v>4494</v>
      </c>
      <c r="G340">
        <v>717</v>
      </c>
      <c r="H340">
        <v>45</v>
      </c>
      <c r="I340">
        <v>62916</v>
      </c>
      <c r="J340">
        <v>62688</v>
      </c>
      <c r="K340">
        <v>5256</v>
      </c>
      <c r="L340">
        <v>191</v>
      </c>
      <c r="M340" s="12" t="s">
        <v>432</v>
      </c>
      <c r="N340" s="12" t="s">
        <v>18</v>
      </c>
    </row>
    <row r="341" spans="1:14" x14ac:dyDescent="0.35">
      <c r="A341" s="12"/>
      <c r="B341" s="12"/>
      <c r="C341" s="17"/>
      <c r="D341" s="12"/>
      <c r="E341" s="12"/>
      <c r="M341" s="12"/>
      <c r="N341" s="12"/>
    </row>
    <row r="342" spans="1:14" x14ac:dyDescent="0.35">
      <c r="A342" s="12"/>
      <c r="B342" s="12"/>
      <c r="C342" s="17"/>
      <c r="D342" s="12"/>
      <c r="E342" s="12"/>
      <c r="M342" s="12"/>
      <c r="N342" s="12"/>
    </row>
    <row r="343" spans="1:14" x14ac:dyDescent="0.35">
      <c r="A343" s="12"/>
      <c r="B343" s="12"/>
      <c r="C343" s="17"/>
      <c r="D343" s="12"/>
      <c r="E343" s="12"/>
      <c r="M343" s="12"/>
      <c r="N343" s="12"/>
    </row>
    <row r="344" spans="1:14" x14ac:dyDescent="0.35">
      <c r="A344" s="12"/>
      <c r="B344" s="12"/>
      <c r="C344" s="17"/>
      <c r="D344" s="12"/>
      <c r="E344" s="12"/>
      <c r="M344" s="12"/>
      <c r="N344" s="12"/>
    </row>
    <row r="345" spans="1:14" x14ac:dyDescent="0.35">
      <c r="A345" s="12"/>
      <c r="B345" s="12"/>
      <c r="C345" s="17"/>
      <c r="D345" s="12"/>
      <c r="E345" s="12"/>
      <c r="M345" s="12"/>
      <c r="N345" s="12"/>
    </row>
    <row r="346" spans="1:14" x14ac:dyDescent="0.35">
      <c r="A346" s="12"/>
      <c r="B346" s="12"/>
      <c r="C346" s="17"/>
      <c r="D346" s="12"/>
      <c r="E346" s="12"/>
      <c r="M346" s="12"/>
      <c r="N346" s="12"/>
    </row>
    <row r="347" spans="1:14" x14ac:dyDescent="0.35">
      <c r="A347" s="12"/>
      <c r="B347" s="12"/>
      <c r="C347" s="17"/>
      <c r="D347" s="12"/>
      <c r="E347" s="12"/>
      <c r="M347" s="12"/>
      <c r="N347" s="12"/>
    </row>
    <row r="348" spans="1:14" x14ac:dyDescent="0.35">
      <c r="A348" s="12"/>
      <c r="B348" s="12"/>
      <c r="C348" s="17"/>
      <c r="D348" s="12"/>
      <c r="E348" s="12"/>
      <c r="M348" s="12"/>
      <c r="N348" s="12"/>
    </row>
    <row r="349" spans="1:14" x14ac:dyDescent="0.35">
      <c r="A349" s="12"/>
      <c r="B349" s="12"/>
      <c r="C349" s="17"/>
      <c r="D349" s="12"/>
      <c r="E349" s="12"/>
      <c r="M349" s="12"/>
      <c r="N349" s="12"/>
    </row>
    <row r="350" spans="1:14" x14ac:dyDescent="0.35">
      <c r="A350" s="12"/>
      <c r="B350" s="12"/>
      <c r="C350" s="17"/>
      <c r="D350" s="12"/>
      <c r="E350" s="12"/>
      <c r="M350" s="12"/>
      <c r="N350" s="12"/>
    </row>
    <row r="351" spans="1:14" x14ac:dyDescent="0.35">
      <c r="A351" s="12"/>
      <c r="B351" s="12"/>
      <c r="C351" s="17"/>
      <c r="D351" s="12"/>
      <c r="E351" s="12"/>
      <c r="M351" s="12"/>
      <c r="N351" s="12"/>
    </row>
    <row r="352" spans="1:14" x14ac:dyDescent="0.35">
      <c r="A352" s="12"/>
      <c r="B352" s="12"/>
      <c r="C352" s="17"/>
      <c r="D352" s="12"/>
      <c r="E352" s="12"/>
      <c r="M352" s="12"/>
      <c r="N352" s="12"/>
    </row>
    <row r="353" spans="1:14" x14ac:dyDescent="0.35">
      <c r="A353" s="12"/>
      <c r="B353" s="12"/>
      <c r="C353" s="17"/>
      <c r="D353" s="12"/>
      <c r="E353" s="12"/>
      <c r="M353" s="12"/>
      <c r="N353" s="12"/>
    </row>
    <row r="354" spans="1:14" x14ac:dyDescent="0.35">
      <c r="A354" s="12"/>
      <c r="B354" s="12"/>
      <c r="C354" s="17"/>
      <c r="D354" s="12"/>
      <c r="E354" s="12"/>
      <c r="M354" s="12"/>
      <c r="N354" s="12"/>
    </row>
    <row r="355" spans="1:14" x14ac:dyDescent="0.35">
      <c r="A355" s="12"/>
      <c r="B355" s="12"/>
      <c r="C355" s="17"/>
      <c r="D355" s="12"/>
      <c r="E355" s="12"/>
      <c r="M355" s="12"/>
      <c r="N355" s="12"/>
    </row>
    <row r="356" spans="1:14" x14ac:dyDescent="0.35">
      <c r="A356" s="12"/>
      <c r="B356" s="12"/>
      <c r="C356" s="17"/>
      <c r="D356" s="12"/>
      <c r="E356" s="12"/>
      <c r="M356" s="12"/>
      <c r="N356" s="12"/>
    </row>
    <row r="357" spans="1:14" x14ac:dyDescent="0.35">
      <c r="A357" s="12"/>
      <c r="B357" s="12"/>
      <c r="C357" s="17"/>
      <c r="D357" s="12"/>
      <c r="E357" s="12"/>
      <c r="M357" s="12"/>
      <c r="N357" s="12"/>
    </row>
    <row r="358" spans="1:14" x14ac:dyDescent="0.35">
      <c r="A358" s="12"/>
      <c r="B358" s="12"/>
      <c r="C358" s="17"/>
      <c r="D358" s="12"/>
      <c r="E358" s="12"/>
      <c r="M358" s="12"/>
      <c r="N358" s="12"/>
    </row>
    <row r="359" spans="1:14" x14ac:dyDescent="0.35">
      <c r="A359" s="12"/>
      <c r="B359" s="12"/>
      <c r="C359" s="17"/>
      <c r="D359" s="12"/>
      <c r="E359" s="12"/>
      <c r="M359" s="12"/>
      <c r="N359" s="12"/>
    </row>
    <row r="360" spans="1:14" x14ac:dyDescent="0.35">
      <c r="A360" s="12"/>
      <c r="B360" s="12"/>
      <c r="C360" s="17"/>
      <c r="D360" s="12"/>
      <c r="E360" s="12"/>
      <c r="M360" s="12"/>
      <c r="N360" s="12"/>
    </row>
    <row r="361" spans="1:14" x14ac:dyDescent="0.35">
      <c r="A361" s="12"/>
      <c r="B361" s="12"/>
      <c r="C361" s="17"/>
      <c r="D361" s="12"/>
      <c r="E361" s="12"/>
      <c r="M361" s="12"/>
      <c r="N361" s="12"/>
    </row>
    <row r="362" spans="1:14" x14ac:dyDescent="0.35">
      <c r="A362" s="12"/>
      <c r="B362" s="12"/>
      <c r="C362" s="17"/>
      <c r="D362" s="12"/>
      <c r="E362" s="12"/>
      <c r="M362" s="12"/>
      <c r="N362" s="12"/>
    </row>
    <row r="363" spans="1:14" x14ac:dyDescent="0.35">
      <c r="A363" s="12"/>
      <c r="B363" s="12"/>
      <c r="C363" s="17"/>
      <c r="D363" s="12"/>
      <c r="E363" s="12"/>
      <c r="M363" s="12"/>
      <c r="N363" s="12"/>
    </row>
    <row r="364" spans="1:14" x14ac:dyDescent="0.35">
      <c r="A364" s="12"/>
      <c r="B364" s="12"/>
      <c r="C364" s="17"/>
      <c r="D364" s="12"/>
      <c r="E364" s="12"/>
      <c r="M364" s="12"/>
      <c r="N364" s="12"/>
    </row>
    <row r="365" spans="1:14" x14ac:dyDescent="0.35">
      <c r="A365" s="12"/>
      <c r="B365" s="12"/>
      <c r="C365" s="17"/>
      <c r="D365" s="12"/>
      <c r="E365" s="12"/>
      <c r="M365" s="12"/>
      <c r="N365" s="12"/>
    </row>
    <row r="366" spans="1:14" x14ac:dyDescent="0.35">
      <c r="A366" s="12"/>
      <c r="B366" s="12"/>
      <c r="C366" s="17"/>
      <c r="D366" s="12"/>
      <c r="E366" s="12"/>
      <c r="M366" s="12"/>
      <c r="N366" s="12"/>
    </row>
    <row r="367" spans="1:14" x14ac:dyDescent="0.35">
      <c r="A367" s="12"/>
      <c r="B367" s="12"/>
      <c r="C367" s="17"/>
      <c r="D367" s="12"/>
      <c r="E367" s="12"/>
      <c r="M367" s="12"/>
      <c r="N367" s="12"/>
    </row>
    <row r="368" spans="1:14" x14ac:dyDescent="0.35">
      <c r="A368" s="12"/>
      <c r="B368" s="12"/>
      <c r="C368" s="17"/>
      <c r="D368" s="12"/>
      <c r="E368" s="12"/>
      <c r="M368" s="12"/>
      <c r="N368" s="12"/>
    </row>
    <row r="369" spans="1:14" x14ac:dyDescent="0.35">
      <c r="A369" s="12"/>
      <c r="B369" s="12"/>
      <c r="C369" s="17"/>
      <c r="D369" s="12"/>
      <c r="E369" s="12"/>
      <c r="M369" s="12"/>
      <c r="N369" s="12"/>
    </row>
    <row r="370" spans="1:14" x14ac:dyDescent="0.35">
      <c r="A370" s="12"/>
      <c r="B370" s="12"/>
      <c r="C370" s="17"/>
      <c r="D370" s="12"/>
      <c r="E370" s="12"/>
      <c r="M370" s="12"/>
      <c r="N370" s="12"/>
    </row>
    <row r="371" spans="1:14" x14ac:dyDescent="0.35">
      <c r="A371" s="12"/>
      <c r="B371" s="12"/>
      <c r="C371" s="17"/>
      <c r="D371" s="12"/>
      <c r="E371" s="12"/>
      <c r="M371" s="12"/>
      <c r="N371" s="12"/>
    </row>
    <row r="372" spans="1:14" x14ac:dyDescent="0.35">
      <c r="A372" s="12"/>
      <c r="B372" s="12"/>
      <c r="C372" s="17"/>
      <c r="D372" s="12"/>
      <c r="E372" s="12"/>
      <c r="M372" s="12"/>
      <c r="N372" s="12"/>
    </row>
    <row r="373" spans="1:14" x14ac:dyDescent="0.35">
      <c r="A373" s="12"/>
      <c r="B373" s="12"/>
      <c r="C373" s="17"/>
      <c r="D373" s="12"/>
      <c r="E373" s="12"/>
      <c r="M373" s="12"/>
      <c r="N373" s="12"/>
    </row>
    <row r="374" spans="1:14" x14ac:dyDescent="0.35">
      <c r="A374" s="12"/>
      <c r="B374" s="12"/>
      <c r="C374" s="17"/>
      <c r="D374" s="12"/>
      <c r="E374" s="12"/>
      <c r="M374" s="12"/>
      <c r="N374" s="12"/>
    </row>
    <row r="375" spans="1:14" x14ac:dyDescent="0.35">
      <c r="A375" s="12"/>
      <c r="B375" s="12"/>
      <c r="C375" s="17"/>
      <c r="D375" s="12"/>
      <c r="E375" s="12"/>
      <c r="M375" s="12"/>
      <c r="N375" s="12"/>
    </row>
    <row r="376" spans="1:14" x14ac:dyDescent="0.35">
      <c r="A376" s="12"/>
      <c r="B376" s="12"/>
      <c r="C376" s="17"/>
      <c r="D376" s="12"/>
      <c r="E376" s="12"/>
      <c r="M376" s="12"/>
      <c r="N376" s="12"/>
    </row>
    <row r="377" spans="1:14" x14ac:dyDescent="0.35">
      <c r="A377" s="12"/>
      <c r="B377" s="12"/>
      <c r="C377" s="17"/>
      <c r="D377" s="12"/>
      <c r="E377" s="12"/>
      <c r="M377" s="12"/>
      <c r="N377" s="12"/>
    </row>
    <row r="378" spans="1:14" x14ac:dyDescent="0.35">
      <c r="A378" s="12"/>
      <c r="B378" s="12"/>
      <c r="C378" s="17"/>
      <c r="D378" s="12"/>
      <c r="E378" s="12"/>
      <c r="M378" s="12"/>
      <c r="N378" s="12"/>
    </row>
    <row r="379" spans="1:14" x14ac:dyDescent="0.35">
      <c r="A379" s="12"/>
      <c r="B379" s="12"/>
      <c r="C379" s="17"/>
      <c r="D379" s="12"/>
      <c r="E379" s="12"/>
      <c r="M379" s="12"/>
      <c r="N379" s="12"/>
    </row>
    <row r="380" spans="1:14" x14ac:dyDescent="0.35">
      <c r="A380" s="12"/>
      <c r="B380" s="12"/>
      <c r="C380" s="17"/>
      <c r="D380" s="12"/>
      <c r="E380" s="12"/>
      <c r="M380" s="12"/>
      <c r="N380" s="12"/>
    </row>
    <row r="381" spans="1:14" x14ac:dyDescent="0.35">
      <c r="A381" s="12"/>
      <c r="B381" s="12"/>
      <c r="C381" s="17"/>
      <c r="D381" s="12"/>
      <c r="E381" s="12"/>
      <c r="M381" s="12"/>
      <c r="N381" s="12"/>
    </row>
    <row r="382" spans="1:14" x14ac:dyDescent="0.35">
      <c r="A382" s="12"/>
      <c r="B382" s="12"/>
      <c r="C382" s="17"/>
      <c r="D382" s="12"/>
      <c r="E382" s="12"/>
      <c r="M382" s="12"/>
      <c r="N382" s="12"/>
    </row>
    <row r="383" spans="1:14" x14ac:dyDescent="0.35">
      <c r="A383" s="12"/>
      <c r="B383" s="12"/>
      <c r="C383" s="17"/>
      <c r="D383" s="12"/>
      <c r="E383" s="12"/>
      <c r="M383" s="12"/>
      <c r="N383" s="12"/>
    </row>
    <row r="384" spans="1:14" x14ac:dyDescent="0.35">
      <c r="A384" s="12"/>
      <c r="B384" s="12"/>
      <c r="C384" s="17"/>
      <c r="D384" s="12"/>
      <c r="E384" s="12"/>
      <c r="M384" s="12"/>
      <c r="N384" s="12"/>
    </row>
    <row r="385" spans="1:14" x14ac:dyDescent="0.35">
      <c r="A385" s="12"/>
      <c r="B385" s="12"/>
      <c r="C385" s="17"/>
      <c r="D385" s="12"/>
      <c r="E385" s="12"/>
      <c r="M385" s="12"/>
      <c r="N385" s="12"/>
    </row>
    <row r="386" spans="1:14" x14ac:dyDescent="0.35">
      <c r="A386" s="12"/>
      <c r="B386" s="12"/>
      <c r="C386" s="17"/>
      <c r="D386" s="12"/>
      <c r="E386" s="12"/>
      <c r="M386" s="12"/>
      <c r="N386" s="12"/>
    </row>
    <row r="387" spans="1:14" x14ac:dyDescent="0.35">
      <c r="A387" s="12"/>
      <c r="B387" s="12"/>
      <c r="C387" s="17"/>
      <c r="D387" s="12"/>
      <c r="E387" s="12"/>
      <c r="M387" s="12"/>
      <c r="N387" s="12"/>
    </row>
    <row r="388" spans="1:14" x14ac:dyDescent="0.35">
      <c r="A388" s="12"/>
      <c r="B388" s="12"/>
      <c r="C388" s="17"/>
      <c r="D388" s="12"/>
      <c r="E388" s="12"/>
      <c r="M388" s="12"/>
      <c r="N388" s="12"/>
    </row>
    <row r="389" spans="1:14" x14ac:dyDescent="0.35">
      <c r="A389" s="12"/>
      <c r="B389" s="12"/>
      <c r="C389" s="17"/>
      <c r="D389" s="12"/>
      <c r="E389" s="12"/>
      <c r="M389" s="12"/>
      <c r="N389" s="12"/>
    </row>
    <row r="390" spans="1:14" x14ac:dyDescent="0.35">
      <c r="A390" s="12"/>
      <c r="B390" s="12"/>
      <c r="C390" s="17"/>
      <c r="D390" s="12"/>
      <c r="E390" s="12"/>
      <c r="M390" s="12"/>
      <c r="N390" s="12"/>
    </row>
    <row r="391" spans="1:14" x14ac:dyDescent="0.35">
      <c r="A391" s="12"/>
      <c r="B391" s="12"/>
      <c r="C391" s="17"/>
      <c r="D391" s="12"/>
      <c r="E391" s="12"/>
      <c r="M391" s="12"/>
      <c r="N391" s="12"/>
    </row>
    <row r="392" spans="1:14" x14ac:dyDescent="0.35">
      <c r="A392" s="12"/>
      <c r="B392" s="12"/>
      <c r="C392" s="17"/>
      <c r="D392" s="12"/>
      <c r="E392" s="12"/>
      <c r="M392" s="12"/>
      <c r="N392" s="12"/>
    </row>
    <row r="393" spans="1:14" x14ac:dyDescent="0.35">
      <c r="A393" s="12"/>
      <c r="B393" s="12"/>
      <c r="C393" s="17"/>
      <c r="D393" s="12"/>
      <c r="E393" s="12"/>
      <c r="M393" s="12"/>
      <c r="N393" s="12"/>
    </row>
    <row r="394" spans="1:14" x14ac:dyDescent="0.35">
      <c r="A394" s="12"/>
      <c r="B394" s="12"/>
      <c r="C394" s="17"/>
      <c r="D394" s="12"/>
      <c r="E394" s="12"/>
      <c r="M394" s="12"/>
      <c r="N394" s="12"/>
    </row>
    <row r="395" spans="1:14" x14ac:dyDescent="0.35">
      <c r="A395" s="12"/>
      <c r="B395" s="12"/>
      <c r="C395" s="17"/>
      <c r="D395" s="12"/>
      <c r="E395" s="12"/>
      <c r="M395" s="12"/>
      <c r="N395" s="12"/>
    </row>
    <row r="396" spans="1:14" x14ac:dyDescent="0.35">
      <c r="A396" s="12"/>
      <c r="B396" s="12"/>
      <c r="C396" s="17"/>
      <c r="D396" s="12"/>
      <c r="E396" s="12"/>
      <c r="M396" s="12"/>
      <c r="N396" s="12"/>
    </row>
    <row r="397" spans="1:14" x14ac:dyDescent="0.35">
      <c r="A397" s="12"/>
      <c r="B397" s="12"/>
      <c r="C397" s="17"/>
      <c r="D397" s="12"/>
      <c r="E397" s="12"/>
      <c r="M397" s="12"/>
      <c r="N397" s="12"/>
    </row>
    <row r="398" spans="1:14" x14ac:dyDescent="0.35">
      <c r="A398" s="12"/>
      <c r="B398" s="12"/>
      <c r="C398" s="17"/>
      <c r="D398" s="12"/>
      <c r="E398" s="12"/>
      <c r="M398" s="12"/>
      <c r="N398" s="12"/>
    </row>
    <row r="399" spans="1:14" x14ac:dyDescent="0.35">
      <c r="A399" s="12"/>
      <c r="B399" s="12"/>
      <c r="C399" s="17"/>
      <c r="D399" s="12"/>
      <c r="E399" s="12"/>
      <c r="M399" s="12"/>
      <c r="N399" s="12"/>
    </row>
    <row r="400" spans="1:14" x14ac:dyDescent="0.35">
      <c r="A400" s="12"/>
      <c r="B400" s="12"/>
      <c r="C400" s="17"/>
      <c r="D400" s="12"/>
      <c r="E400" s="12"/>
      <c r="M400" s="12"/>
      <c r="N400" s="12"/>
    </row>
    <row r="401" spans="1:14" x14ac:dyDescent="0.35">
      <c r="A401" s="12"/>
      <c r="B401" s="12"/>
      <c r="C401" s="17"/>
      <c r="D401" s="12"/>
      <c r="E401" s="12"/>
      <c r="M401" s="12"/>
      <c r="N401" s="12"/>
    </row>
    <row r="402" spans="1:14" x14ac:dyDescent="0.35">
      <c r="A402" s="12"/>
      <c r="B402" s="12"/>
      <c r="C402" s="17"/>
      <c r="D402" s="12"/>
      <c r="E402" s="12"/>
      <c r="M402" s="12"/>
      <c r="N402" s="12"/>
    </row>
    <row r="403" spans="1:14" x14ac:dyDescent="0.35">
      <c r="A403" s="12"/>
      <c r="B403" s="12"/>
      <c r="C403" s="17"/>
      <c r="D403" s="12"/>
      <c r="E403" s="12"/>
      <c r="M403" s="12"/>
      <c r="N403" s="12"/>
    </row>
    <row r="404" spans="1:14" x14ac:dyDescent="0.35">
      <c r="A404" s="12"/>
      <c r="B404" s="12"/>
      <c r="C404" s="17"/>
      <c r="D404" s="12"/>
      <c r="E404" s="12"/>
      <c r="M404" s="12"/>
      <c r="N404" s="12"/>
    </row>
    <row r="405" spans="1:14" x14ac:dyDescent="0.35">
      <c r="A405" s="12"/>
      <c r="B405" s="12"/>
      <c r="C405" s="17"/>
      <c r="D405" s="12"/>
      <c r="E405" s="12"/>
      <c r="M405" s="12"/>
      <c r="N405" s="12"/>
    </row>
    <row r="406" spans="1:14" x14ac:dyDescent="0.35">
      <c r="A406" s="12"/>
      <c r="B406" s="12"/>
      <c r="C406" s="17"/>
      <c r="D406" s="12"/>
      <c r="E406" s="12"/>
      <c r="M406" s="12"/>
      <c r="N406" s="12"/>
    </row>
    <row r="407" spans="1:14" x14ac:dyDescent="0.35">
      <c r="A407" s="12"/>
      <c r="B407" s="12"/>
      <c r="C407" s="17"/>
      <c r="D407" s="12"/>
      <c r="E407" s="12"/>
      <c r="M407" s="12"/>
      <c r="N407" s="12"/>
    </row>
    <row r="408" spans="1:14" x14ac:dyDescent="0.35">
      <c r="A408" s="12"/>
      <c r="B408" s="12"/>
      <c r="C408" s="17"/>
      <c r="D408" s="12"/>
      <c r="E408" s="12"/>
      <c r="M408" s="12"/>
      <c r="N408" s="12"/>
    </row>
    <row r="409" spans="1:14" x14ac:dyDescent="0.35">
      <c r="A409" s="12"/>
      <c r="B409" s="12"/>
      <c r="C409" s="17"/>
      <c r="D409" s="12"/>
      <c r="E409" s="12"/>
      <c r="M409" s="12"/>
      <c r="N409" s="12"/>
    </row>
    <row r="410" spans="1:14" x14ac:dyDescent="0.35">
      <c r="A410" s="12"/>
      <c r="B410" s="12"/>
      <c r="C410" s="17"/>
      <c r="D410" s="12"/>
      <c r="E410" s="12"/>
      <c r="M410" s="12"/>
      <c r="N410" s="12"/>
    </row>
    <row r="411" spans="1:14" x14ac:dyDescent="0.35">
      <c r="A411" s="12"/>
      <c r="B411" s="12"/>
      <c r="C411" s="17"/>
      <c r="D411" s="12"/>
      <c r="E411" s="12"/>
      <c r="M411" s="12"/>
      <c r="N411" s="12"/>
    </row>
    <row r="412" spans="1:14" x14ac:dyDescent="0.35">
      <c r="A412" s="12"/>
      <c r="B412" s="12"/>
      <c r="C412" s="17"/>
      <c r="D412" s="12"/>
      <c r="E412" s="12"/>
      <c r="M412" s="12"/>
      <c r="N412" s="12"/>
    </row>
    <row r="413" spans="1:14" x14ac:dyDescent="0.35">
      <c r="A413" s="12"/>
      <c r="B413" s="12"/>
      <c r="C413" s="17"/>
      <c r="D413" s="12"/>
      <c r="E413" s="12"/>
      <c r="M413" s="12"/>
      <c r="N413" s="12"/>
    </row>
    <row r="414" spans="1:14" x14ac:dyDescent="0.35">
      <c r="A414" s="12"/>
      <c r="B414" s="12"/>
      <c r="C414" s="17"/>
      <c r="D414" s="12"/>
      <c r="E414" s="12"/>
      <c r="M414" s="12"/>
      <c r="N414" s="12"/>
    </row>
    <row r="415" spans="1:14" x14ac:dyDescent="0.35">
      <c r="A415" s="12"/>
      <c r="B415" s="12"/>
      <c r="C415" s="17"/>
      <c r="D415" s="12"/>
      <c r="E415" s="12"/>
      <c r="M415" s="12"/>
      <c r="N415" s="12"/>
    </row>
    <row r="416" spans="1:14" x14ac:dyDescent="0.35">
      <c r="A416" s="12"/>
      <c r="B416" s="12"/>
      <c r="C416" s="17"/>
      <c r="D416" s="12"/>
      <c r="E416" s="12"/>
      <c r="M416" s="12"/>
      <c r="N416" s="12"/>
    </row>
    <row r="417" spans="1:14" x14ac:dyDescent="0.35">
      <c r="A417" s="12"/>
      <c r="B417" s="12"/>
      <c r="C417" s="17"/>
      <c r="D417" s="12"/>
      <c r="E417" s="12"/>
      <c r="M417" s="12"/>
      <c r="N417" s="12"/>
    </row>
    <row r="418" spans="1:14" x14ac:dyDescent="0.35">
      <c r="A418" s="12"/>
      <c r="B418" s="12"/>
      <c r="C418" s="17"/>
      <c r="D418" s="12"/>
      <c r="E418" s="12"/>
      <c r="M418" s="12"/>
      <c r="N418" s="12"/>
    </row>
    <row r="419" spans="1:14" x14ac:dyDescent="0.35">
      <c r="A419" s="12"/>
      <c r="B419" s="12"/>
      <c r="C419" s="17"/>
      <c r="D419" s="12"/>
      <c r="E419" s="12"/>
      <c r="M419" s="12"/>
      <c r="N419" s="12"/>
    </row>
    <row r="420" spans="1:14" x14ac:dyDescent="0.35">
      <c r="A420" s="12"/>
      <c r="B420" s="12"/>
      <c r="C420" s="17"/>
      <c r="D420" s="12"/>
      <c r="E420" s="12"/>
      <c r="M420" s="12"/>
      <c r="N420" s="12"/>
    </row>
    <row r="421" spans="1:14" x14ac:dyDescent="0.35">
      <c r="A421" s="12"/>
      <c r="B421" s="12"/>
      <c r="C421" s="17"/>
      <c r="D421" s="12"/>
      <c r="E421" s="12"/>
      <c r="M421" s="12"/>
      <c r="N421" s="12"/>
    </row>
    <row r="422" spans="1:14" x14ac:dyDescent="0.35">
      <c r="A422" s="12"/>
      <c r="B422" s="12"/>
      <c r="C422" s="17"/>
      <c r="D422" s="12"/>
      <c r="E422" s="12"/>
      <c r="M422" s="12"/>
      <c r="N422" s="12"/>
    </row>
    <row r="423" spans="1:14" x14ac:dyDescent="0.35">
      <c r="A423" s="12"/>
      <c r="B423" s="12"/>
      <c r="C423" s="17"/>
      <c r="D423" s="12"/>
      <c r="E423" s="12"/>
      <c r="M423" s="12"/>
      <c r="N423" s="12"/>
    </row>
    <row r="424" spans="1:14" x14ac:dyDescent="0.35">
      <c r="A424" s="12"/>
      <c r="B424" s="12"/>
      <c r="C424" s="17"/>
      <c r="D424" s="12"/>
      <c r="E424" s="12"/>
      <c r="M424" s="12"/>
      <c r="N424" s="12"/>
    </row>
    <row r="425" spans="1:14" x14ac:dyDescent="0.35">
      <c r="A425" s="12"/>
      <c r="B425" s="12"/>
      <c r="C425" s="17"/>
      <c r="D425" s="12"/>
      <c r="E425" s="12"/>
      <c r="M425" s="12"/>
      <c r="N425" s="12"/>
    </row>
    <row r="426" spans="1:14" x14ac:dyDescent="0.35">
      <c r="A426" s="12"/>
      <c r="B426" s="12"/>
      <c r="C426" s="17"/>
      <c r="D426" s="12"/>
      <c r="E426" s="12"/>
      <c r="M426" s="12"/>
      <c r="N426" s="12"/>
    </row>
    <row r="427" spans="1:14" x14ac:dyDescent="0.35">
      <c r="A427" s="12"/>
      <c r="B427" s="12"/>
      <c r="C427" s="17"/>
      <c r="D427" s="12"/>
      <c r="E427" s="12"/>
      <c r="M427" s="12"/>
      <c r="N427" s="12"/>
    </row>
    <row r="428" spans="1:14" x14ac:dyDescent="0.35">
      <c r="A428" s="12"/>
      <c r="B428" s="12"/>
      <c r="C428" s="17"/>
      <c r="D428" s="12"/>
      <c r="E428" s="12"/>
      <c r="M428" s="12"/>
      <c r="N428" s="12"/>
    </row>
    <row r="429" spans="1:14" x14ac:dyDescent="0.35">
      <c r="A429" s="12"/>
      <c r="B429" s="12"/>
      <c r="C429" s="17"/>
      <c r="D429" s="12"/>
      <c r="E429" s="12"/>
      <c r="M429" s="12"/>
      <c r="N429" s="12"/>
    </row>
    <row r="430" spans="1:14" x14ac:dyDescent="0.35">
      <c r="A430" s="12"/>
      <c r="B430" s="12"/>
      <c r="C430" s="17"/>
      <c r="D430" s="12"/>
      <c r="E430" s="12"/>
      <c r="M430" s="12"/>
      <c r="N430" s="12"/>
    </row>
    <row r="431" spans="1:14" x14ac:dyDescent="0.35">
      <c r="A431" s="12"/>
      <c r="B431" s="12"/>
      <c r="C431" s="17"/>
      <c r="D431" s="12"/>
      <c r="E431" s="12"/>
      <c r="M431" s="12"/>
      <c r="N431" s="12"/>
    </row>
    <row r="432" spans="1:14" x14ac:dyDescent="0.35">
      <c r="A432" s="12"/>
      <c r="B432" s="12"/>
      <c r="C432" s="17"/>
      <c r="D432" s="12"/>
      <c r="E432" s="12"/>
      <c r="M432" s="12"/>
      <c r="N432" s="12"/>
    </row>
    <row r="433" spans="1:14" x14ac:dyDescent="0.35">
      <c r="A433" s="12"/>
      <c r="B433" s="12"/>
      <c r="C433" s="17"/>
      <c r="D433" s="12"/>
      <c r="E433" s="12"/>
      <c r="M433" s="12"/>
      <c r="N433" s="12"/>
    </row>
    <row r="434" spans="1:14" x14ac:dyDescent="0.35">
      <c r="A434" s="12"/>
      <c r="B434" s="12"/>
      <c r="C434" s="17"/>
      <c r="D434" s="12"/>
      <c r="E434" s="12"/>
      <c r="M434" s="12"/>
      <c r="N434" s="12"/>
    </row>
    <row r="435" spans="1:14" x14ac:dyDescent="0.35">
      <c r="A435" s="12"/>
      <c r="B435" s="12"/>
      <c r="C435" s="17"/>
      <c r="D435" s="12"/>
      <c r="E435" s="12"/>
      <c r="M435" s="12"/>
      <c r="N435" s="12"/>
    </row>
    <row r="436" spans="1:14" x14ac:dyDescent="0.35">
      <c r="A436" s="12"/>
      <c r="B436" s="12"/>
      <c r="C436" s="17"/>
      <c r="D436" s="12"/>
      <c r="E436" s="12"/>
      <c r="M436" s="12"/>
      <c r="N436" s="12"/>
    </row>
    <row r="437" spans="1:14" x14ac:dyDescent="0.35">
      <c r="A437" s="12"/>
      <c r="B437" s="12"/>
      <c r="C437" s="17"/>
      <c r="D437" s="12"/>
      <c r="E437" s="12"/>
      <c r="M437" s="12"/>
      <c r="N437" s="12"/>
    </row>
    <row r="438" spans="1:14" x14ac:dyDescent="0.35">
      <c r="A438" s="12"/>
      <c r="B438" s="12"/>
      <c r="C438" s="17"/>
      <c r="D438" s="12"/>
      <c r="E438" s="12"/>
      <c r="M438" s="12"/>
      <c r="N438" s="12"/>
    </row>
    <row r="439" spans="1:14" x14ac:dyDescent="0.35">
      <c r="A439" s="12"/>
      <c r="B439" s="12"/>
      <c r="C439" s="17"/>
      <c r="D439" s="12"/>
      <c r="E439" s="12"/>
      <c r="M439" s="12"/>
      <c r="N439" s="12"/>
    </row>
    <row r="440" spans="1:14" x14ac:dyDescent="0.35">
      <c r="A440" s="12"/>
      <c r="B440" s="12"/>
      <c r="C440" s="17"/>
      <c r="D440" s="12"/>
      <c r="E440" s="12"/>
      <c r="M440" s="12"/>
      <c r="N440" s="12"/>
    </row>
    <row r="441" spans="1:14" x14ac:dyDescent="0.35">
      <c r="A441" s="12"/>
      <c r="B441" s="12"/>
      <c r="C441" s="17"/>
      <c r="D441" s="12"/>
      <c r="E441" s="12"/>
      <c r="M441" s="12"/>
      <c r="N441" s="12"/>
    </row>
    <row r="442" spans="1:14" x14ac:dyDescent="0.35">
      <c r="A442" s="12"/>
      <c r="B442" s="12"/>
      <c r="C442" s="17"/>
      <c r="D442" s="12"/>
      <c r="E442" s="12"/>
      <c r="M442" s="12"/>
      <c r="N442" s="12"/>
    </row>
    <row r="443" spans="1:14" x14ac:dyDescent="0.35">
      <c r="A443" s="12"/>
      <c r="B443" s="12"/>
      <c r="C443" s="17"/>
      <c r="D443" s="12"/>
      <c r="E443" s="12"/>
      <c r="M443" s="12"/>
      <c r="N443" s="12"/>
    </row>
    <row r="444" spans="1:14" x14ac:dyDescent="0.35">
      <c r="A444" s="12"/>
      <c r="B444" s="12"/>
      <c r="C444" s="17"/>
      <c r="D444" s="12"/>
      <c r="E444" s="12"/>
      <c r="M444" s="12"/>
      <c r="N444" s="12"/>
    </row>
    <row r="445" spans="1:14" x14ac:dyDescent="0.35">
      <c r="A445" s="12"/>
      <c r="B445" s="12"/>
      <c r="C445" s="17"/>
      <c r="D445" s="12"/>
      <c r="E445" s="12"/>
      <c r="M445" s="12"/>
      <c r="N445" s="12"/>
    </row>
    <row r="446" spans="1:14" x14ac:dyDescent="0.35">
      <c r="A446" s="12"/>
      <c r="B446" s="12"/>
      <c r="C446" s="17"/>
      <c r="D446" s="12"/>
      <c r="E446" s="12"/>
      <c r="M446" s="12"/>
      <c r="N446" s="12"/>
    </row>
    <row r="447" spans="1:14" x14ac:dyDescent="0.35">
      <c r="A447" s="12"/>
      <c r="B447" s="12"/>
      <c r="C447" s="17"/>
      <c r="D447" s="12"/>
      <c r="E447" s="12"/>
      <c r="M447" s="12"/>
      <c r="N447" s="12"/>
    </row>
    <row r="448" spans="1:14" x14ac:dyDescent="0.35">
      <c r="A448" s="12"/>
      <c r="B448" s="12"/>
      <c r="C448" s="17"/>
      <c r="D448" s="12"/>
      <c r="E448" s="12"/>
      <c r="M448" s="12"/>
      <c r="N448" s="12"/>
    </row>
    <row r="449" spans="1:14" x14ac:dyDescent="0.35">
      <c r="A449" s="12"/>
      <c r="B449" s="12"/>
      <c r="C449" s="17"/>
      <c r="D449" s="12"/>
      <c r="E449" s="12"/>
      <c r="M449" s="12"/>
      <c r="N449" s="12"/>
    </row>
    <row r="450" spans="1:14" x14ac:dyDescent="0.35">
      <c r="A450" s="12"/>
      <c r="B450" s="12"/>
      <c r="C450" s="17"/>
      <c r="D450" s="12"/>
      <c r="E450" s="12"/>
      <c r="M450" s="12"/>
      <c r="N450" s="12"/>
    </row>
    <row r="451" spans="1:14" x14ac:dyDescent="0.35">
      <c r="A451" s="12"/>
      <c r="B451" s="12"/>
      <c r="C451" s="17"/>
      <c r="D451" s="12"/>
      <c r="E451" s="12"/>
      <c r="M451" s="12"/>
      <c r="N451" s="12"/>
    </row>
    <row r="452" spans="1:14" x14ac:dyDescent="0.35">
      <c r="A452" s="12"/>
      <c r="B452" s="12"/>
      <c r="C452" s="17"/>
      <c r="D452" s="12"/>
      <c r="E452" s="12"/>
      <c r="M452" s="12"/>
      <c r="N452" s="12"/>
    </row>
    <row r="453" spans="1:14" x14ac:dyDescent="0.35">
      <c r="A453" s="12"/>
      <c r="B453" s="12"/>
      <c r="C453" s="17"/>
      <c r="D453" s="12"/>
      <c r="E453" s="12"/>
      <c r="M453" s="12"/>
      <c r="N453" s="12"/>
    </row>
    <row r="454" spans="1:14" x14ac:dyDescent="0.35">
      <c r="A454" s="12"/>
      <c r="B454" s="12"/>
      <c r="C454" s="17"/>
      <c r="D454" s="12"/>
      <c r="E454" s="12"/>
      <c r="M454" s="12"/>
      <c r="N454" s="12"/>
    </row>
    <row r="455" spans="1:14" x14ac:dyDescent="0.35">
      <c r="A455" s="12"/>
      <c r="B455" s="12"/>
      <c r="C455" s="17"/>
      <c r="D455" s="12"/>
      <c r="E455" s="12"/>
      <c r="M455" s="12"/>
      <c r="N455" s="12"/>
    </row>
    <row r="456" spans="1:14" x14ac:dyDescent="0.35">
      <c r="A456" s="12"/>
      <c r="B456" s="12"/>
      <c r="C456" s="17"/>
      <c r="D456" s="12"/>
      <c r="E456" s="12"/>
      <c r="M456" s="12"/>
      <c r="N456" s="12"/>
    </row>
    <row r="457" spans="1:14" x14ac:dyDescent="0.35">
      <c r="A457" s="12"/>
      <c r="B457" s="12"/>
      <c r="C457" s="17"/>
      <c r="D457" s="12"/>
      <c r="E457" s="12"/>
      <c r="M457" s="12"/>
      <c r="N457" s="12"/>
    </row>
    <row r="458" spans="1:14" x14ac:dyDescent="0.35">
      <c r="A458" s="12"/>
      <c r="B458" s="12"/>
      <c r="C458" s="17"/>
      <c r="D458" s="12"/>
      <c r="E458" s="12"/>
      <c r="M458" s="12"/>
      <c r="N458" s="12"/>
    </row>
    <row r="459" spans="1:14" x14ac:dyDescent="0.35">
      <c r="A459" s="12"/>
      <c r="B459" s="12"/>
      <c r="C459" s="17"/>
      <c r="D459" s="12"/>
      <c r="E459" s="12"/>
      <c r="M459" s="12"/>
      <c r="N459" s="12"/>
    </row>
    <row r="460" spans="1:14" x14ac:dyDescent="0.35">
      <c r="A460" s="12"/>
      <c r="B460" s="12"/>
      <c r="C460" s="17"/>
      <c r="D460" s="12"/>
      <c r="E460" s="12"/>
      <c r="M460" s="12"/>
      <c r="N460" s="12"/>
    </row>
    <row r="461" spans="1:14" x14ac:dyDescent="0.35">
      <c r="A461" s="12"/>
      <c r="B461" s="12"/>
      <c r="C461" s="17"/>
      <c r="D461" s="12"/>
      <c r="E461" s="12"/>
      <c r="M461" s="12"/>
      <c r="N461" s="12"/>
    </row>
    <row r="462" spans="1:14" x14ac:dyDescent="0.35">
      <c r="A462" s="12"/>
      <c r="B462" s="12"/>
      <c r="C462" s="17"/>
      <c r="D462" s="12"/>
      <c r="E462" s="12"/>
      <c r="M462" s="12"/>
      <c r="N462" s="12"/>
    </row>
    <row r="463" spans="1:14" x14ac:dyDescent="0.35">
      <c r="A463" s="12"/>
      <c r="B463" s="12"/>
      <c r="C463" s="17"/>
      <c r="D463" s="12"/>
      <c r="E463" s="12"/>
      <c r="M463" s="12"/>
      <c r="N463" s="12"/>
    </row>
    <row r="464" spans="1:14" x14ac:dyDescent="0.35">
      <c r="A464" s="12"/>
      <c r="B464" s="12"/>
      <c r="C464" s="17"/>
      <c r="D464" s="12"/>
      <c r="E464" s="12"/>
      <c r="M464" s="12"/>
      <c r="N464" s="12"/>
    </row>
    <row r="465" spans="1:14" x14ac:dyDescent="0.35">
      <c r="A465" s="12"/>
      <c r="B465" s="12"/>
      <c r="C465" s="17"/>
      <c r="D465" s="12"/>
      <c r="E465" s="12"/>
      <c r="M465" s="12"/>
      <c r="N465" s="12"/>
    </row>
    <row r="466" spans="1:14" x14ac:dyDescent="0.35">
      <c r="A466" s="12"/>
      <c r="B466" s="12"/>
      <c r="C466" s="17"/>
      <c r="D466" s="12"/>
      <c r="E466" s="12"/>
      <c r="M466" s="12"/>
      <c r="N466" s="12"/>
    </row>
    <row r="467" spans="1:14" x14ac:dyDescent="0.35">
      <c r="A467" s="12"/>
      <c r="B467" s="12"/>
      <c r="C467" s="17"/>
      <c r="D467" s="12"/>
      <c r="E467" s="12"/>
      <c r="M467" s="12"/>
      <c r="N467" s="12"/>
    </row>
    <row r="468" spans="1:14" x14ac:dyDescent="0.35">
      <c r="A468" s="12"/>
      <c r="B468" s="12"/>
      <c r="C468" s="17"/>
      <c r="D468" s="12"/>
      <c r="E468" s="12"/>
      <c r="M468" s="12"/>
      <c r="N468" s="12"/>
    </row>
    <row r="469" spans="1:14" x14ac:dyDescent="0.35">
      <c r="A469" s="12"/>
      <c r="B469" s="12"/>
      <c r="C469" s="17"/>
      <c r="D469" s="12"/>
      <c r="E469" s="12"/>
      <c r="M469" s="12"/>
      <c r="N469" s="12"/>
    </row>
    <row r="470" spans="1:14" x14ac:dyDescent="0.35">
      <c r="A470" s="12"/>
      <c r="B470" s="12"/>
      <c r="C470" s="17"/>
      <c r="D470" s="12"/>
      <c r="E470" s="12"/>
      <c r="M470" s="12"/>
      <c r="N470" s="12"/>
    </row>
    <row r="471" spans="1:14" x14ac:dyDescent="0.35">
      <c r="A471" s="12"/>
      <c r="B471" s="12"/>
      <c r="C471" s="17"/>
      <c r="D471" s="12"/>
      <c r="E471" s="12"/>
      <c r="M471" s="12"/>
      <c r="N471" s="12"/>
    </row>
    <row r="472" spans="1:14" x14ac:dyDescent="0.35">
      <c r="A472" s="12"/>
      <c r="B472" s="12"/>
      <c r="C472" s="17"/>
      <c r="D472" s="12"/>
      <c r="E472" s="12"/>
      <c r="M472" s="12"/>
      <c r="N472" s="12"/>
    </row>
    <row r="473" spans="1:14" x14ac:dyDescent="0.35">
      <c r="A473" s="12"/>
      <c r="B473" s="12"/>
      <c r="C473" s="17"/>
      <c r="D473" s="12"/>
      <c r="E473" s="12"/>
      <c r="M473" s="12"/>
      <c r="N473" s="12"/>
    </row>
    <row r="474" spans="1:14" x14ac:dyDescent="0.35">
      <c r="A474" s="12"/>
      <c r="B474" s="12"/>
      <c r="C474" s="17"/>
      <c r="D474" s="12"/>
      <c r="E474" s="12"/>
      <c r="M474" s="12"/>
      <c r="N474" s="12"/>
    </row>
    <row r="475" spans="1:14" x14ac:dyDescent="0.35">
      <c r="A475" s="12"/>
      <c r="B475" s="12"/>
      <c r="C475" s="17"/>
      <c r="D475" s="12"/>
      <c r="E475" s="12"/>
      <c r="M475" s="12"/>
      <c r="N475" s="12"/>
    </row>
    <row r="476" spans="1:14" x14ac:dyDescent="0.35">
      <c r="A476" s="12"/>
      <c r="B476" s="12"/>
      <c r="C476" s="17"/>
      <c r="D476" s="12"/>
      <c r="E476" s="12"/>
      <c r="M476" s="12"/>
      <c r="N476" s="12"/>
    </row>
    <row r="477" spans="1:14" x14ac:dyDescent="0.35">
      <c r="A477" s="12"/>
      <c r="B477" s="12"/>
      <c r="C477" s="17"/>
      <c r="D477" s="12"/>
      <c r="E477" s="12"/>
      <c r="M477" s="12"/>
      <c r="N477" s="12"/>
    </row>
    <row r="478" spans="1:14" x14ac:dyDescent="0.35">
      <c r="A478" s="12"/>
      <c r="B478" s="12"/>
      <c r="C478" s="17"/>
      <c r="D478" s="12"/>
      <c r="E478" s="12"/>
      <c r="M478" s="12"/>
      <c r="N478" s="12"/>
    </row>
    <row r="479" spans="1:14" x14ac:dyDescent="0.35">
      <c r="A479" s="12"/>
      <c r="B479" s="12"/>
      <c r="C479" s="17"/>
      <c r="D479" s="12"/>
      <c r="E479" s="12"/>
      <c r="M479" s="12"/>
      <c r="N479" s="12"/>
    </row>
    <row r="480" spans="1:14" x14ac:dyDescent="0.35">
      <c r="A480" s="12"/>
      <c r="B480" s="12"/>
      <c r="C480" s="17"/>
      <c r="D480" s="12"/>
      <c r="E480" s="12"/>
      <c r="M480" s="12"/>
      <c r="N480" s="12"/>
    </row>
    <row r="481" spans="1:14" x14ac:dyDescent="0.35">
      <c r="A481" s="12"/>
      <c r="B481" s="12"/>
      <c r="C481" s="17"/>
      <c r="D481" s="12"/>
      <c r="E481" s="12"/>
      <c r="M481" s="12"/>
      <c r="N481" s="12"/>
    </row>
    <row r="482" spans="1:14" x14ac:dyDescent="0.35">
      <c r="A482" s="12"/>
      <c r="B482" s="12"/>
      <c r="C482" s="17"/>
      <c r="D482" s="12"/>
      <c r="E482" s="12"/>
      <c r="M482" s="12"/>
      <c r="N482" s="12"/>
    </row>
    <row r="483" spans="1:14" x14ac:dyDescent="0.35">
      <c r="A483" s="12"/>
      <c r="B483" s="12"/>
      <c r="C483" s="17"/>
      <c r="D483" s="12"/>
      <c r="E483" s="12"/>
      <c r="M483" s="12"/>
      <c r="N483" s="12"/>
    </row>
    <row r="484" spans="1:14" x14ac:dyDescent="0.35">
      <c r="A484" s="12"/>
      <c r="B484" s="12"/>
      <c r="C484" s="17"/>
      <c r="D484" s="12"/>
      <c r="E484" s="12"/>
      <c r="M484" s="12"/>
      <c r="N484" s="12"/>
    </row>
    <row r="485" spans="1:14" x14ac:dyDescent="0.35">
      <c r="A485" s="12"/>
      <c r="B485" s="12"/>
      <c r="C485" s="17"/>
      <c r="D485" s="12"/>
      <c r="E485" s="12"/>
      <c r="M485" s="12"/>
      <c r="N485" s="12"/>
    </row>
    <row r="486" spans="1:14" x14ac:dyDescent="0.35">
      <c r="A486" s="12"/>
      <c r="B486" s="12"/>
      <c r="C486" s="17"/>
      <c r="D486" s="12"/>
      <c r="E486" s="12"/>
      <c r="M486" s="12"/>
      <c r="N486" s="12"/>
    </row>
    <row r="487" spans="1:14" x14ac:dyDescent="0.35">
      <c r="A487" s="12"/>
      <c r="B487" s="12"/>
      <c r="C487" s="17"/>
      <c r="D487" s="12"/>
      <c r="E487" s="12"/>
      <c r="M487" s="12"/>
      <c r="N487" s="12"/>
    </row>
    <row r="488" spans="1:14" x14ac:dyDescent="0.35">
      <c r="A488" s="12"/>
      <c r="B488" s="12"/>
      <c r="C488" s="17"/>
      <c r="D488" s="12"/>
      <c r="E488" s="12"/>
      <c r="M488" s="12"/>
      <c r="N488" s="12"/>
    </row>
    <row r="489" spans="1:14" x14ac:dyDescent="0.35">
      <c r="A489" s="12"/>
      <c r="B489" s="12"/>
      <c r="C489" s="17"/>
      <c r="D489" s="12"/>
      <c r="E489" s="12"/>
      <c r="M489" s="12"/>
      <c r="N489" s="12"/>
    </row>
    <row r="490" spans="1:14" x14ac:dyDescent="0.35">
      <c r="A490" s="12"/>
      <c r="B490" s="12"/>
      <c r="C490" s="17"/>
      <c r="D490" s="12"/>
      <c r="E490" s="12"/>
      <c r="M490" s="12"/>
      <c r="N490" s="12"/>
    </row>
    <row r="491" spans="1:14" x14ac:dyDescent="0.35">
      <c r="A491" s="12"/>
      <c r="B491" s="12"/>
      <c r="C491" s="17"/>
      <c r="D491" s="12"/>
      <c r="E491" s="12"/>
      <c r="M491" s="12"/>
      <c r="N491" s="12"/>
    </row>
    <row r="492" spans="1:14" x14ac:dyDescent="0.35">
      <c r="A492" s="12"/>
      <c r="B492" s="12"/>
      <c r="C492" s="17"/>
      <c r="D492" s="12"/>
      <c r="E492" s="12"/>
      <c r="M492" s="12"/>
      <c r="N492" s="12"/>
    </row>
    <row r="493" spans="1:14" x14ac:dyDescent="0.35">
      <c r="A493" s="12"/>
      <c r="B493" s="12"/>
      <c r="C493" s="17"/>
      <c r="D493" s="12"/>
      <c r="E493" s="12"/>
      <c r="M493" s="12"/>
      <c r="N493" s="12"/>
    </row>
    <row r="494" spans="1:14" x14ac:dyDescent="0.35">
      <c r="A494" s="12"/>
      <c r="B494" s="12"/>
      <c r="C494" s="17"/>
      <c r="D494" s="12"/>
      <c r="E494" s="12"/>
      <c r="M494" s="12"/>
      <c r="N494" s="12"/>
    </row>
    <row r="495" spans="1:14" x14ac:dyDescent="0.35">
      <c r="A495" s="12"/>
      <c r="B495" s="12"/>
      <c r="C495" s="17"/>
      <c r="D495" s="12"/>
      <c r="E495" s="12"/>
      <c r="M495" s="12"/>
      <c r="N495" s="12"/>
    </row>
    <row r="496" spans="1:14" x14ac:dyDescent="0.35">
      <c r="A496" s="12"/>
      <c r="B496" s="12"/>
      <c r="C496" s="17"/>
      <c r="D496" s="12"/>
      <c r="E496" s="12"/>
      <c r="M496" s="12"/>
      <c r="N496" s="12"/>
    </row>
    <row r="497" spans="1:14" x14ac:dyDescent="0.35">
      <c r="A497" s="12"/>
      <c r="B497" s="12"/>
      <c r="C497" s="17"/>
      <c r="D497" s="12"/>
      <c r="E497" s="12"/>
      <c r="M497" s="12"/>
      <c r="N497" s="12"/>
    </row>
    <row r="498" spans="1:14" x14ac:dyDescent="0.35">
      <c r="A498" s="12"/>
      <c r="B498" s="12"/>
      <c r="C498" s="17"/>
      <c r="D498" s="12"/>
      <c r="E498" s="12"/>
      <c r="M498" s="12"/>
      <c r="N498" s="12"/>
    </row>
    <row r="499" spans="1:14" x14ac:dyDescent="0.35">
      <c r="A499" s="12"/>
      <c r="B499" s="12"/>
      <c r="C499" s="17"/>
      <c r="D499" s="12"/>
      <c r="E499" s="12"/>
      <c r="M499" s="12"/>
      <c r="N499" s="12"/>
    </row>
    <row r="500" spans="1:14" x14ac:dyDescent="0.35">
      <c r="A500" s="12"/>
      <c r="B500" s="12"/>
      <c r="C500" s="17"/>
      <c r="D500" s="12"/>
      <c r="E500" s="12"/>
      <c r="M500" s="12"/>
      <c r="N500" s="12"/>
    </row>
    <row r="501" spans="1:14" x14ac:dyDescent="0.35">
      <c r="A501" s="12"/>
      <c r="B501" s="12"/>
      <c r="C501" s="17"/>
      <c r="D501" s="12"/>
      <c r="E501" s="12"/>
      <c r="M501" s="12"/>
      <c r="N501" s="12"/>
    </row>
    <row r="502" spans="1:14" x14ac:dyDescent="0.35">
      <c r="A502" s="12"/>
      <c r="B502" s="12"/>
      <c r="C502" s="17"/>
      <c r="D502" s="12"/>
      <c r="E502" s="12"/>
      <c r="M502" s="12"/>
      <c r="N502" s="12"/>
    </row>
    <row r="503" spans="1:14" x14ac:dyDescent="0.35">
      <c r="A503" s="12"/>
      <c r="B503" s="12"/>
      <c r="C503" s="17"/>
      <c r="D503" s="12"/>
      <c r="E503" s="12"/>
      <c r="M503" s="12"/>
      <c r="N503" s="12"/>
    </row>
    <row r="504" spans="1:14" x14ac:dyDescent="0.35">
      <c r="A504" s="12"/>
      <c r="B504" s="12"/>
      <c r="C504" s="17"/>
      <c r="D504" s="12"/>
      <c r="E504" s="12"/>
      <c r="M504" s="12"/>
      <c r="N504" s="12"/>
    </row>
    <row r="505" spans="1:14" x14ac:dyDescent="0.35">
      <c r="A505" s="12"/>
      <c r="B505" s="12"/>
      <c r="C505" s="17"/>
      <c r="D505" s="12"/>
      <c r="E505" s="12"/>
      <c r="M505" s="12"/>
      <c r="N505" s="12"/>
    </row>
    <row r="506" spans="1:14" x14ac:dyDescent="0.35">
      <c r="A506" s="12"/>
      <c r="B506" s="12"/>
      <c r="C506" s="17"/>
      <c r="D506" s="12"/>
      <c r="E506" s="12"/>
      <c r="M506" s="12"/>
      <c r="N506" s="12"/>
    </row>
    <row r="507" spans="1:14" x14ac:dyDescent="0.35">
      <c r="A507" s="12"/>
      <c r="B507" s="12"/>
      <c r="C507" s="17"/>
      <c r="D507" s="12"/>
      <c r="E507" s="12"/>
      <c r="M507" s="12"/>
      <c r="N507" s="12"/>
    </row>
    <row r="508" spans="1:14" x14ac:dyDescent="0.35">
      <c r="A508" s="12"/>
      <c r="B508" s="12"/>
      <c r="C508" s="17"/>
      <c r="D508" s="12"/>
      <c r="E508" s="12"/>
      <c r="M508" s="12"/>
      <c r="N508" s="12"/>
    </row>
    <row r="509" spans="1:14" x14ac:dyDescent="0.35">
      <c r="A509" s="12"/>
      <c r="B509" s="12"/>
      <c r="C509" s="17"/>
      <c r="D509" s="12"/>
      <c r="E509" s="12"/>
      <c r="M509" s="12"/>
      <c r="N509" s="12"/>
    </row>
    <row r="510" spans="1:14" x14ac:dyDescent="0.35">
      <c r="A510" s="12"/>
      <c r="B510" s="12"/>
      <c r="C510" s="17"/>
      <c r="D510" s="12"/>
      <c r="E510" s="12"/>
      <c r="M510" s="12"/>
      <c r="N510" s="12"/>
    </row>
    <row r="511" spans="1:14" x14ac:dyDescent="0.35">
      <c r="A511" s="12"/>
      <c r="B511" s="12"/>
      <c r="C511" s="17"/>
      <c r="D511" s="12"/>
      <c r="E511" s="12"/>
      <c r="M511" s="12"/>
      <c r="N511" s="12"/>
    </row>
    <row r="512" spans="1:14" x14ac:dyDescent="0.35">
      <c r="A512" s="12"/>
      <c r="B512" s="12"/>
      <c r="C512" s="17"/>
      <c r="D512" s="12"/>
      <c r="E512" s="12"/>
      <c r="M512" s="12"/>
      <c r="N512" s="12"/>
    </row>
    <row r="513" spans="1:14" x14ac:dyDescent="0.35">
      <c r="A513" s="12"/>
      <c r="B513" s="12"/>
      <c r="C513" s="17"/>
      <c r="D513" s="12"/>
      <c r="E513" s="12"/>
      <c r="M513" s="12"/>
      <c r="N513" s="12"/>
    </row>
    <row r="514" spans="1:14" x14ac:dyDescent="0.35">
      <c r="A514" s="12"/>
      <c r="B514" s="12"/>
      <c r="C514" s="17"/>
      <c r="D514" s="12"/>
      <c r="E514" s="12"/>
      <c r="M514" s="12"/>
      <c r="N514" s="12"/>
    </row>
    <row r="515" spans="1:14" x14ac:dyDescent="0.35">
      <c r="A515" s="12"/>
      <c r="B515" s="12"/>
      <c r="C515" s="17"/>
      <c r="D515" s="12"/>
      <c r="E515" s="12"/>
      <c r="M515" s="12"/>
      <c r="N515" s="12"/>
    </row>
    <row r="516" spans="1:14" x14ac:dyDescent="0.35">
      <c r="A516" s="12"/>
      <c r="B516" s="12"/>
      <c r="C516" s="17"/>
      <c r="D516" s="12"/>
      <c r="E516" s="12"/>
      <c r="M516" s="12"/>
      <c r="N516" s="12"/>
    </row>
    <row r="517" spans="1:14" x14ac:dyDescent="0.35">
      <c r="A517" s="12"/>
      <c r="B517" s="12"/>
      <c r="C517" s="17"/>
      <c r="D517" s="12"/>
      <c r="E517" s="12"/>
      <c r="M517" s="12"/>
      <c r="N517" s="12"/>
    </row>
    <row r="518" spans="1:14" x14ac:dyDescent="0.35">
      <c r="A518" s="12"/>
      <c r="B518" s="12"/>
      <c r="C518" s="17"/>
      <c r="D518" s="12"/>
      <c r="E518" s="12"/>
      <c r="M518" s="12"/>
      <c r="N518" s="12"/>
    </row>
    <row r="519" spans="1:14" x14ac:dyDescent="0.35">
      <c r="A519" s="12"/>
      <c r="B519" s="12"/>
      <c r="C519" s="17"/>
      <c r="D519" s="12"/>
      <c r="E519" s="12"/>
      <c r="M519" s="12"/>
      <c r="N519" s="12"/>
    </row>
    <row r="520" spans="1:14" x14ac:dyDescent="0.35">
      <c r="A520" s="12"/>
      <c r="B520" s="12"/>
      <c r="C520" s="17"/>
      <c r="D520" s="12"/>
      <c r="E520" s="12"/>
      <c r="M520" s="12"/>
      <c r="N520" s="12"/>
    </row>
    <row r="521" spans="1:14" x14ac:dyDescent="0.35">
      <c r="A521" s="12"/>
      <c r="B521" s="12"/>
      <c r="C521" s="17"/>
      <c r="D521" s="12"/>
      <c r="E521" s="12"/>
      <c r="M521" s="12"/>
      <c r="N521" s="12"/>
    </row>
    <row r="522" spans="1:14" x14ac:dyDescent="0.35">
      <c r="A522" s="12"/>
      <c r="B522" s="12"/>
      <c r="C522" s="17"/>
      <c r="D522" s="12"/>
      <c r="E522" s="12"/>
      <c r="M522" s="12"/>
      <c r="N522" s="12"/>
    </row>
    <row r="523" spans="1:14" x14ac:dyDescent="0.35">
      <c r="A523" s="12"/>
      <c r="B523" s="12"/>
      <c r="C523" s="17"/>
      <c r="D523" s="12"/>
      <c r="E523" s="12"/>
      <c r="M523" s="12"/>
      <c r="N523" s="12"/>
    </row>
    <row r="524" spans="1:14" x14ac:dyDescent="0.35">
      <c r="A524" s="12"/>
      <c r="B524" s="12"/>
      <c r="C524" s="17"/>
      <c r="D524" s="12"/>
      <c r="E524" s="12"/>
      <c r="M524" s="12"/>
      <c r="N524" s="12"/>
    </row>
    <row r="525" spans="1:14" x14ac:dyDescent="0.35">
      <c r="A525" s="12"/>
      <c r="B525" s="12"/>
      <c r="C525" s="17"/>
      <c r="D525" s="12"/>
      <c r="E525" s="12"/>
      <c r="M525" s="12"/>
      <c r="N525" s="12"/>
    </row>
    <row r="526" spans="1:14" x14ac:dyDescent="0.35">
      <c r="A526" s="12"/>
      <c r="B526" s="12"/>
      <c r="C526" s="17"/>
      <c r="D526" s="12"/>
      <c r="E526" s="12"/>
      <c r="M526" s="12"/>
      <c r="N526" s="12"/>
    </row>
    <row r="527" spans="1:14" x14ac:dyDescent="0.35">
      <c r="A527" s="12"/>
      <c r="B527" s="12"/>
      <c r="C527" s="17"/>
      <c r="D527" s="12"/>
      <c r="E527" s="12"/>
      <c r="M527" s="12"/>
      <c r="N527" s="12"/>
    </row>
    <row r="528" spans="1:14" x14ac:dyDescent="0.35">
      <c r="A528" s="12"/>
      <c r="B528" s="12"/>
      <c r="C528" s="17"/>
      <c r="D528" s="12"/>
      <c r="E528" s="12"/>
      <c r="M528" s="12"/>
      <c r="N528" s="12"/>
    </row>
    <row r="529" spans="1:14" x14ac:dyDescent="0.35">
      <c r="A529" s="12"/>
      <c r="B529" s="12"/>
      <c r="C529" s="17"/>
      <c r="D529" s="12"/>
      <c r="E529" s="12"/>
      <c r="M529" s="12"/>
      <c r="N529" s="12"/>
    </row>
    <row r="530" spans="1:14" x14ac:dyDescent="0.35">
      <c r="A530" s="12"/>
      <c r="B530" s="12"/>
      <c r="C530" s="17"/>
      <c r="D530" s="12"/>
      <c r="E530" s="12"/>
      <c r="M530" s="12"/>
      <c r="N530" s="12"/>
    </row>
    <row r="531" spans="1:14" x14ac:dyDescent="0.35">
      <c r="A531" s="12"/>
      <c r="B531" s="12"/>
      <c r="C531" s="17"/>
      <c r="D531" s="12"/>
      <c r="E531" s="12"/>
      <c r="M531" s="12"/>
      <c r="N531" s="12"/>
    </row>
    <row r="532" spans="1:14" x14ac:dyDescent="0.35">
      <c r="A532" s="12"/>
      <c r="B532" s="12"/>
      <c r="C532" s="17"/>
      <c r="D532" s="12"/>
      <c r="E532" s="12"/>
      <c r="M532" s="12"/>
      <c r="N532" s="12"/>
    </row>
    <row r="533" spans="1:14" x14ac:dyDescent="0.35">
      <c r="A533" s="12"/>
      <c r="B533" s="12"/>
      <c r="C533" s="17"/>
      <c r="D533" s="12"/>
      <c r="E533" s="12"/>
      <c r="M533" s="12"/>
      <c r="N533" s="12"/>
    </row>
    <row r="534" spans="1:14" x14ac:dyDescent="0.35">
      <c r="A534" s="12"/>
      <c r="B534" s="12"/>
      <c r="C534" s="17"/>
      <c r="D534" s="12"/>
      <c r="E534" s="12"/>
      <c r="M534" s="12"/>
      <c r="N534" s="12"/>
    </row>
    <row r="535" spans="1:14" x14ac:dyDescent="0.35">
      <c r="A535" s="12"/>
      <c r="B535" s="12"/>
      <c r="C535" s="17"/>
      <c r="D535" s="12"/>
      <c r="E535" s="12"/>
      <c r="M535" s="12"/>
      <c r="N535" s="12"/>
    </row>
    <row r="536" spans="1:14" x14ac:dyDescent="0.35">
      <c r="A536" s="12"/>
      <c r="B536" s="12"/>
      <c r="C536" s="17"/>
      <c r="D536" s="12"/>
      <c r="E536" s="12"/>
      <c r="M536" s="12"/>
      <c r="N536" s="12"/>
    </row>
    <row r="537" spans="1:14" x14ac:dyDescent="0.35">
      <c r="A537" s="12"/>
      <c r="B537" s="12"/>
      <c r="C537" s="17"/>
      <c r="D537" s="12"/>
      <c r="E537" s="12"/>
      <c r="M537" s="12"/>
      <c r="N537" s="12"/>
    </row>
    <row r="538" spans="1:14" x14ac:dyDescent="0.35">
      <c r="A538" s="12"/>
      <c r="B538" s="12"/>
      <c r="C538" s="17"/>
      <c r="D538" s="12"/>
      <c r="E538" s="12"/>
      <c r="M538" s="12"/>
      <c r="N538" s="12"/>
    </row>
    <row r="539" spans="1:14" x14ac:dyDescent="0.35">
      <c r="A539" s="12"/>
      <c r="B539" s="12"/>
      <c r="C539" s="17"/>
      <c r="D539" s="12"/>
      <c r="E539" s="12"/>
      <c r="M539" s="12"/>
      <c r="N539" s="12"/>
    </row>
    <row r="540" spans="1:14" x14ac:dyDescent="0.35">
      <c r="A540" s="12"/>
      <c r="B540" s="12"/>
      <c r="C540" s="17"/>
      <c r="D540" s="12"/>
      <c r="E540" s="12"/>
      <c r="M540" s="12"/>
      <c r="N540" s="12"/>
    </row>
    <row r="541" spans="1:14" x14ac:dyDescent="0.35">
      <c r="A541" s="12"/>
      <c r="B541" s="12"/>
      <c r="C541" s="17"/>
      <c r="D541" s="12"/>
      <c r="E541" s="12"/>
      <c r="M541" s="12"/>
      <c r="N541" s="12"/>
    </row>
    <row r="542" spans="1:14" x14ac:dyDescent="0.35">
      <c r="A542" s="12"/>
      <c r="B542" s="12"/>
      <c r="C542" s="17"/>
      <c r="D542" s="12"/>
      <c r="E542" s="12"/>
      <c r="M542" s="12"/>
      <c r="N542" s="12"/>
    </row>
    <row r="543" spans="1:14" x14ac:dyDescent="0.35">
      <c r="A543" s="12"/>
      <c r="B543" s="12"/>
      <c r="C543" s="17"/>
      <c r="D543" s="12"/>
      <c r="E543" s="12"/>
      <c r="M543" s="12"/>
      <c r="N543" s="12"/>
    </row>
    <row r="544" spans="1:14" x14ac:dyDescent="0.35">
      <c r="A544" s="12"/>
      <c r="B544" s="12"/>
      <c r="C544" s="17"/>
      <c r="D544" s="12"/>
      <c r="E544" s="12"/>
      <c r="M544" s="12"/>
      <c r="N544" s="12"/>
    </row>
    <row r="545" spans="1:14" x14ac:dyDescent="0.35">
      <c r="A545" s="12"/>
      <c r="B545" s="12"/>
      <c r="C545" s="17"/>
      <c r="D545" s="12"/>
      <c r="E545" s="12"/>
      <c r="M545" s="12"/>
      <c r="N545" s="12"/>
    </row>
    <row r="546" spans="1:14" x14ac:dyDescent="0.35">
      <c r="A546" s="12"/>
      <c r="B546" s="12"/>
      <c r="C546" s="17"/>
      <c r="D546" s="12"/>
      <c r="E546" s="12"/>
      <c r="M546" s="12"/>
      <c r="N546" s="12"/>
    </row>
    <row r="547" spans="1:14" x14ac:dyDescent="0.35">
      <c r="A547" s="12"/>
      <c r="B547" s="12"/>
      <c r="C547" s="17"/>
      <c r="D547" s="12"/>
      <c r="E547" s="12"/>
      <c r="M547" s="12"/>
      <c r="N547" s="12"/>
    </row>
    <row r="548" spans="1:14" x14ac:dyDescent="0.35">
      <c r="A548" s="12"/>
      <c r="B548" s="12"/>
      <c r="C548" s="17"/>
      <c r="D548" s="12"/>
      <c r="E548" s="12"/>
      <c r="M548" s="12"/>
      <c r="N548" s="12"/>
    </row>
    <row r="549" spans="1:14" x14ac:dyDescent="0.35">
      <c r="A549" s="12"/>
      <c r="B549" s="12"/>
      <c r="C549" s="17"/>
      <c r="D549" s="12"/>
      <c r="E549" s="12"/>
      <c r="M549" s="12"/>
      <c r="N549" s="12"/>
    </row>
    <row r="550" spans="1:14" x14ac:dyDescent="0.35">
      <c r="A550" s="12"/>
      <c r="B550" s="12"/>
      <c r="C550" s="17"/>
      <c r="D550" s="12"/>
      <c r="E550" s="12"/>
      <c r="M550" s="12"/>
      <c r="N550" s="12"/>
    </row>
    <row r="551" spans="1:14" x14ac:dyDescent="0.35">
      <c r="A551" s="12"/>
      <c r="B551" s="12"/>
      <c r="C551" s="17"/>
      <c r="D551" s="12"/>
      <c r="E551" s="12"/>
      <c r="M551" s="12"/>
      <c r="N551" s="12"/>
    </row>
    <row r="552" spans="1:14" x14ac:dyDescent="0.35">
      <c r="A552" s="12"/>
      <c r="B552" s="12"/>
      <c r="C552" s="17"/>
      <c r="D552" s="12"/>
      <c r="E552" s="12"/>
      <c r="M552" s="12"/>
      <c r="N552" s="12"/>
    </row>
    <row r="553" spans="1:14" x14ac:dyDescent="0.35">
      <c r="A553" s="12"/>
      <c r="B553" s="12"/>
      <c r="C553" s="17"/>
      <c r="D553" s="12"/>
      <c r="E553" s="12"/>
      <c r="M553" s="12"/>
      <c r="N553" s="12"/>
    </row>
    <row r="554" spans="1:14" x14ac:dyDescent="0.35">
      <c r="A554" s="12"/>
      <c r="B554" s="12"/>
      <c r="C554" s="17"/>
      <c r="D554" s="12"/>
      <c r="E554" s="12"/>
      <c r="M554" s="12"/>
      <c r="N554" s="12"/>
    </row>
    <row r="555" spans="1:14" x14ac:dyDescent="0.35">
      <c r="A555" s="12"/>
      <c r="B555" s="12"/>
      <c r="C555" s="17"/>
      <c r="D555" s="12"/>
      <c r="E555" s="12"/>
      <c r="M555" s="12"/>
      <c r="N555" s="12"/>
    </row>
    <row r="556" spans="1:14" x14ac:dyDescent="0.35">
      <c r="A556" s="12"/>
      <c r="B556" s="12"/>
      <c r="C556" s="17"/>
      <c r="D556" s="12"/>
      <c r="E556" s="12"/>
      <c r="M556" s="12"/>
      <c r="N556" s="12"/>
    </row>
    <row r="557" spans="1:14" x14ac:dyDescent="0.35">
      <c r="A557" s="12"/>
      <c r="B557" s="12"/>
      <c r="C557" s="17"/>
      <c r="D557" s="12"/>
      <c r="E557" s="12"/>
      <c r="M557" s="12"/>
      <c r="N557" s="12"/>
    </row>
    <row r="558" spans="1:14" x14ac:dyDescent="0.35">
      <c r="A558" s="12"/>
      <c r="B558" s="12"/>
      <c r="C558" s="17"/>
      <c r="D558" s="12"/>
      <c r="E558" s="12"/>
      <c r="M558" s="12"/>
      <c r="N558" s="12"/>
    </row>
    <row r="559" spans="1:14" x14ac:dyDescent="0.35">
      <c r="A559" s="12"/>
      <c r="B559" s="12"/>
      <c r="C559" s="17"/>
      <c r="D559" s="12"/>
      <c r="E559" s="12"/>
      <c r="M559" s="12"/>
      <c r="N559" s="12"/>
    </row>
    <row r="560" spans="1:14" x14ac:dyDescent="0.35">
      <c r="A560" s="12"/>
      <c r="B560" s="12"/>
      <c r="C560" s="17"/>
      <c r="D560" s="12"/>
      <c r="E560" s="12"/>
      <c r="M560" s="12"/>
      <c r="N560" s="12"/>
    </row>
    <row r="561" spans="1:14" x14ac:dyDescent="0.35">
      <c r="A561" s="12"/>
      <c r="B561" s="12"/>
      <c r="C561" s="17"/>
      <c r="D561" s="12"/>
      <c r="E561" s="12"/>
      <c r="M561" s="12"/>
      <c r="N561" s="12"/>
    </row>
    <row r="562" spans="1:14" x14ac:dyDescent="0.35">
      <c r="A562" s="12"/>
      <c r="B562" s="12"/>
      <c r="C562" s="17"/>
      <c r="D562" s="12"/>
      <c r="E562" s="12"/>
      <c r="M562" s="12"/>
      <c r="N562" s="12"/>
    </row>
    <row r="563" spans="1:14" x14ac:dyDescent="0.35">
      <c r="A563" s="12"/>
      <c r="B563" s="12"/>
      <c r="C563" s="17"/>
      <c r="D563" s="12"/>
      <c r="E563" s="12"/>
      <c r="M563" s="12"/>
      <c r="N563" s="12"/>
    </row>
    <row r="564" spans="1:14" x14ac:dyDescent="0.35">
      <c r="A564" s="12"/>
      <c r="B564" s="12"/>
      <c r="C564" s="17"/>
      <c r="D564" s="12"/>
      <c r="E564" s="12"/>
      <c r="M564" s="12"/>
      <c r="N564" s="12"/>
    </row>
    <row r="565" spans="1:14" x14ac:dyDescent="0.35">
      <c r="A565" s="12"/>
      <c r="B565" s="12"/>
      <c r="C565" s="17"/>
      <c r="D565" s="12"/>
      <c r="E565" s="12"/>
      <c r="M565" s="12"/>
      <c r="N565" s="12"/>
    </row>
    <row r="566" spans="1:14" x14ac:dyDescent="0.35">
      <c r="A566" s="12"/>
      <c r="B566" s="12"/>
      <c r="C566" s="17"/>
      <c r="D566" s="12"/>
      <c r="E566" s="12"/>
      <c r="M566" s="12"/>
      <c r="N566" s="12"/>
    </row>
    <row r="567" spans="1:14" x14ac:dyDescent="0.35">
      <c r="A567" s="12"/>
      <c r="B567" s="12"/>
      <c r="C567" s="17"/>
      <c r="D567" s="12"/>
      <c r="E567" s="12"/>
      <c r="M567" s="12"/>
      <c r="N567" s="12"/>
    </row>
    <row r="568" spans="1:14" x14ac:dyDescent="0.35">
      <c r="A568" s="12"/>
      <c r="B568" s="12"/>
      <c r="C568" s="17"/>
      <c r="D568" s="12"/>
      <c r="E568" s="12"/>
      <c r="M568" s="12"/>
      <c r="N568" s="12"/>
    </row>
    <row r="569" spans="1:14" x14ac:dyDescent="0.35">
      <c r="A569" s="12"/>
      <c r="B569" s="12"/>
      <c r="C569" s="17"/>
      <c r="D569" s="12"/>
      <c r="E569" s="12"/>
      <c r="M569" s="12"/>
      <c r="N569" s="12"/>
    </row>
    <row r="570" spans="1:14" x14ac:dyDescent="0.35">
      <c r="A570" s="12"/>
      <c r="B570" s="12"/>
      <c r="C570" s="17"/>
      <c r="D570" s="12"/>
      <c r="E570" s="12"/>
      <c r="M570" s="12"/>
      <c r="N570" s="12"/>
    </row>
    <row r="571" spans="1:14" x14ac:dyDescent="0.35">
      <c r="A571" s="12"/>
      <c r="B571" s="12"/>
      <c r="C571" s="17"/>
      <c r="D571" s="12"/>
      <c r="E571" s="12"/>
      <c r="M571" s="12"/>
      <c r="N571" s="12"/>
    </row>
    <row r="572" spans="1:14" x14ac:dyDescent="0.35">
      <c r="A572" s="12"/>
      <c r="B572" s="12"/>
      <c r="C572" s="17"/>
      <c r="D572" s="12"/>
      <c r="E572" s="12"/>
      <c r="M572" s="12"/>
      <c r="N572" s="12"/>
    </row>
    <row r="573" spans="1:14" x14ac:dyDescent="0.35">
      <c r="A573" s="12"/>
      <c r="B573" s="12"/>
      <c r="C573" s="17"/>
      <c r="D573" s="12"/>
      <c r="E573" s="12"/>
      <c r="M573" s="12"/>
      <c r="N573" s="12"/>
    </row>
    <row r="574" spans="1:14" x14ac:dyDescent="0.35">
      <c r="A574" s="12"/>
      <c r="B574" s="12"/>
      <c r="C574" s="17"/>
      <c r="D574" s="12"/>
      <c r="E574" s="12"/>
      <c r="M574" s="12"/>
      <c r="N574" s="12"/>
    </row>
    <row r="575" spans="1:14" x14ac:dyDescent="0.35">
      <c r="A575" s="12"/>
      <c r="B575" s="12"/>
      <c r="C575" s="17"/>
      <c r="D575" s="12"/>
      <c r="E575" s="12"/>
      <c r="M575" s="12"/>
      <c r="N575" s="12"/>
    </row>
    <row r="576" spans="1:14" x14ac:dyDescent="0.35">
      <c r="A576" s="12"/>
      <c r="B576" s="12"/>
      <c r="C576" s="17"/>
      <c r="D576" s="12"/>
      <c r="E576" s="12"/>
      <c r="M576" s="12"/>
      <c r="N576" s="12"/>
    </row>
    <row r="577" spans="1:14" x14ac:dyDescent="0.35">
      <c r="A577" s="12"/>
      <c r="B577" s="12"/>
      <c r="C577" s="17"/>
      <c r="D577" s="12"/>
      <c r="E577" s="12"/>
      <c r="M577" s="12"/>
      <c r="N577" s="12"/>
    </row>
    <row r="578" spans="1:14" x14ac:dyDescent="0.35">
      <c r="A578" s="12"/>
      <c r="B578" s="12"/>
      <c r="C578" s="17"/>
      <c r="D578" s="12"/>
      <c r="E578" s="12"/>
      <c r="M578" s="12"/>
      <c r="N578" s="12"/>
    </row>
    <row r="579" spans="1:14" x14ac:dyDescent="0.35">
      <c r="A579" s="12"/>
      <c r="B579" s="12"/>
      <c r="C579" s="17"/>
      <c r="D579" s="12"/>
      <c r="E579" s="12"/>
      <c r="M579" s="12"/>
      <c r="N579" s="12"/>
    </row>
    <row r="580" spans="1:14" x14ac:dyDescent="0.35">
      <c r="A580" s="12"/>
      <c r="B580" s="12"/>
      <c r="C580" s="17"/>
      <c r="D580" s="12"/>
      <c r="E580" s="12"/>
      <c r="M580" s="12"/>
      <c r="N580" s="12"/>
    </row>
    <row r="581" spans="1:14" x14ac:dyDescent="0.35">
      <c r="A581" s="12"/>
      <c r="B581" s="12"/>
      <c r="C581" s="17"/>
      <c r="D581" s="12"/>
      <c r="E581" s="12"/>
      <c r="M581" s="12"/>
      <c r="N581" s="12"/>
    </row>
    <row r="582" spans="1:14" x14ac:dyDescent="0.35">
      <c r="A582" s="12"/>
      <c r="B582" s="12"/>
      <c r="C582" s="17"/>
      <c r="D582" s="12"/>
      <c r="E582" s="12"/>
      <c r="M582" s="12"/>
      <c r="N582" s="12"/>
    </row>
    <row r="583" spans="1:14" x14ac:dyDescent="0.35">
      <c r="A583" s="12"/>
      <c r="B583" s="12"/>
      <c r="C583" s="17"/>
      <c r="D583" s="12"/>
      <c r="E583" s="12"/>
      <c r="M583" s="12"/>
      <c r="N583" s="12"/>
    </row>
    <row r="584" spans="1:14" x14ac:dyDescent="0.35">
      <c r="A584" s="12"/>
      <c r="B584" s="12"/>
      <c r="C584" s="17"/>
      <c r="D584" s="12"/>
      <c r="E584" s="12"/>
      <c r="M584" s="12"/>
      <c r="N584" s="12"/>
    </row>
    <row r="585" spans="1:14" x14ac:dyDescent="0.35">
      <c r="A585" s="12"/>
      <c r="B585" s="12"/>
      <c r="C585" s="17"/>
      <c r="D585" s="12"/>
      <c r="E585" s="12"/>
      <c r="M585" s="12"/>
      <c r="N585" s="12"/>
    </row>
    <row r="586" spans="1:14" x14ac:dyDescent="0.35">
      <c r="A586" s="12"/>
      <c r="B586" s="12"/>
      <c r="C586" s="17"/>
      <c r="D586" s="12"/>
      <c r="E586" s="12"/>
      <c r="M586" s="12"/>
      <c r="N586" s="12"/>
    </row>
    <row r="587" spans="1:14" x14ac:dyDescent="0.35">
      <c r="A587" s="12"/>
      <c r="B587" s="12"/>
      <c r="C587" s="17"/>
      <c r="D587" s="12"/>
      <c r="E587" s="12"/>
      <c r="M587" s="12"/>
      <c r="N587" s="12"/>
    </row>
    <row r="588" spans="1:14" x14ac:dyDescent="0.35">
      <c r="A588" s="12"/>
      <c r="B588" s="12"/>
      <c r="C588" s="17"/>
      <c r="D588" s="12"/>
      <c r="E588" s="12"/>
      <c r="M588" s="12"/>
      <c r="N588" s="12"/>
    </row>
    <row r="589" spans="1:14" x14ac:dyDescent="0.35">
      <c r="A589" s="12"/>
      <c r="B589" s="12"/>
      <c r="C589" s="17"/>
      <c r="D589" s="12"/>
      <c r="E589" s="12"/>
      <c r="M589" s="12"/>
      <c r="N589" s="12"/>
    </row>
    <row r="590" spans="1:14" x14ac:dyDescent="0.35">
      <c r="A590" s="12"/>
      <c r="B590" s="12"/>
      <c r="C590" s="17"/>
      <c r="D590" s="12"/>
      <c r="E590" s="12"/>
      <c r="M590" s="12"/>
      <c r="N590" s="12"/>
    </row>
    <row r="591" spans="1:14" x14ac:dyDescent="0.35">
      <c r="A591" s="12"/>
      <c r="B591" s="12"/>
      <c r="C591" s="17"/>
      <c r="D591" s="12"/>
      <c r="E591" s="12"/>
      <c r="M591" s="12"/>
      <c r="N591" s="12"/>
    </row>
    <row r="592" spans="1:14" x14ac:dyDescent="0.35">
      <c r="A592" s="12"/>
      <c r="B592" s="12"/>
      <c r="C592" s="17"/>
      <c r="D592" s="12"/>
      <c r="E592" s="12"/>
      <c r="M592" s="12"/>
      <c r="N592" s="12"/>
    </row>
    <row r="593" spans="1:14" x14ac:dyDescent="0.35">
      <c r="A593" s="12"/>
      <c r="B593" s="12"/>
      <c r="C593" s="17"/>
      <c r="D593" s="12"/>
      <c r="E593" s="12"/>
      <c r="M593" s="12"/>
      <c r="N593" s="12"/>
    </row>
    <row r="594" spans="1:14" x14ac:dyDescent="0.35">
      <c r="A594" s="12"/>
      <c r="B594" s="12"/>
      <c r="C594" s="17"/>
      <c r="D594" s="12"/>
      <c r="E594" s="12"/>
      <c r="M594" s="12"/>
      <c r="N594" s="12"/>
    </row>
    <row r="595" spans="1:14" x14ac:dyDescent="0.35">
      <c r="A595" s="12"/>
      <c r="B595" s="12"/>
      <c r="C595" s="17"/>
      <c r="D595" s="12"/>
      <c r="E595" s="12"/>
      <c r="M595" s="12"/>
      <c r="N595" s="12"/>
    </row>
    <row r="596" spans="1:14" x14ac:dyDescent="0.35">
      <c r="A596" s="12"/>
      <c r="B596" s="12"/>
      <c r="C596" s="17"/>
      <c r="D596" s="12"/>
      <c r="E596" s="12"/>
      <c r="M596" s="12"/>
      <c r="N596" s="12"/>
    </row>
    <row r="597" spans="1:14" x14ac:dyDescent="0.35">
      <c r="A597" s="12"/>
      <c r="B597" s="12"/>
      <c r="C597" s="17"/>
      <c r="D597" s="12"/>
      <c r="E597" s="12"/>
      <c r="M597" s="12"/>
      <c r="N597" s="12"/>
    </row>
    <row r="598" spans="1:14" x14ac:dyDescent="0.35">
      <c r="A598" s="12"/>
      <c r="B598" s="12"/>
      <c r="C598" s="17"/>
      <c r="D598" s="12"/>
      <c r="E598" s="12"/>
      <c r="M598" s="12"/>
      <c r="N598" s="12"/>
    </row>
    <row r="599" spans="1:14" x14ac:dyDescent="0.35">
      <c r="A599" s="12"/>
      <c r="B599" s="12"/>
      <c r="C599" s="17"/>
      <c r="D599" s="12"/>
      <c r="E599" s="12"/>
      <c r="M599" s="12"/>
      <c r="N599" s="12"/>
    </row>
    <row r="600" spans="1:14" x14ac:dyDescent="0.35">
      <c r="A600" s="12"/>
      <c r="B600" s="12"/>
      <c r="C600" s="17"/>
      <c r="D600" s="12"/>
      <c r="E600" s="12"/>
      <c r="M600" s="12"/>
      <c r="N600" s="12"/>
    </row>
    <row r="601" spans="1:14" x14ac:dyDescent="0.35">
      <c r="A601" s="12"/>
      <c r="B601" s="12"/>
      <c r="C601" s="17"/>
      <c r="D601" s="12"/>
      <c r="E601" s="12"/>
      <c r="M601" s="12"/>
      <c r="N601" s="12"/>
    </row>
    <row r="602" spans="1:14" x14ac:dyDescent="0.35">
      <c r="A602" s="12"/>
      <c r="B602" s="12"/>
      <c r="C602" s="17"/>
      <c r="D602" s="12"/>
      <c r="E602" s="12"/>
      <c r="M602" s="12"/>
      <c r="N602" s="12"/>
    </row>
    <row r="603" spans="1:14" x14ac:dyDescent="0.35">
      <c r="A603" s="12"/>
      <c r="B603" s="12"/>
      <c r="C603" s="17"/>
      <c r="D603" s="12"/>
      <c r="E603" s="12"/>
      <c r="M603" s="12"/>
      <c r="N603" s="12"/>
    </row>
    <row r="604" spans="1:14" x14ac:dyDescent="0.35">
      <c r="A604" s="12"/>
      <c r="B604" s="12"/>
      <c r="C604" s="17"/>
      <c r="D604" s="12"/>
      <c r="E604" s="12"/>
      <c r="M604" s="12"/>
      <c r="N604" s="12"/>
    </row>
    <row r="605" spans="1:14" x14ac:dyDescent="0.35">
      <c r="A605" s="12"/>
      <c r="B605" s="12"/>
      <c r="C605" s="17"/>
      <c r="D605" s="12"/>
      <c r="E605" s="12"/>
      <c r="M605" s="12"/>
      <c r="N605" s="12"/>
    </row>
    <row r="606" spans="1:14" x14ac:dyDescent="0.35">
      <c r="A606" s="12"/>
      <c r="B606" s="12"/>
      <c r="C606" s="17"/>
      <c r="D606" s="12"/>
      <c r="E606" s="12"/>
      <c r="M606" s="12"/>
      <c r="N606" s="12"/>
    </row>
    <row r="607" spans="1:14" x14ac:dyDescent="0.35">
      <c r="A607" s="12"/>
      <c r="B607" s="12"/>
      <c r="C607" s="17"/>
      <c r="D607" s="12"/>
      <c r="E607" s="12"/>
      <c r="M607" s="12"/>
      <c r="N607" s="12"/>
    </row>
    <row r="608" spans="1:14" x14ac:dyDescent="0.35">
      <c r="A608" s="12"/>
      <c r="B608" s="12"/>
      <c r="C608" s="17"/>
      <c r="D608" s="12"/>
      <c r="E608" s="12"/>
      <c r="M608" s="12"/>
      <c r="N608" s="12"/>
    </row>
    <row r="609" spans="1:14" x14ac:dyDescent="0.35">
      <c r="A609" s="12"/>
      <c r="B609" s="12"/>
      <c r="C609" s="17"/>
      <c r="D609" s="12"/>
      <c r="E609" s="12"/>
      <c r="M609" s="12"/>
      <c r="N609" s="12"/>
    </row>
    <row r="610" spans="1:14" x14ac:dyDescent="0.35">
      <c r="A610" s="12"/>
      <c r="B610" s="12"/>
      <c r="C610" s="17"/>
      <c r="D610" s="12"/>
      <c r="E610" s="12"/>
      <c r="M610" s="12"/>
      <c r="N610" s="12"/>
    </row>
    <row r="611" spans="1:14" x14ac:dyDescent="0.35">
      <c r="A611" s="12"/>
      <c r="B611" s="12"/>
      <c r="C611" s="17"/>
      <c r="D611" s="12"/>
      <c r="E611" s="12"/>
      <c r="M611" s="12"/>
      <c r="N611" s="12"/>
    </row>
    <row r="612" spans="1:14" x14ac:dyDescent="0.35">
      <c r="A612" s="12"/>
      <c r="B612" s="12"/>
      <c r="C612" s="17"/>
      <c r="D612" s="12"/>
      <c r="E612" s="12"/>
      <c r="M612" s="12"/>
      <c r="N612" s="12"/>
    </row>
    <row r="613" spans="1:14" x14ac:dyDescent="0.35">
      <c r="A613" s="12"/>
      <c r="B613" s="12"/>
      <c r="C613" s="17"/>
      <c r="D613" s="12"/>
      <c r="E613" s="12"/>
      <c r="M613" s="12"/>
      <c r="N613" s="12"/>
    </row>
    <row r="614" spans="1:14" x14ac:dyDescent="0.35">
      <c r="A614" s="12"/>
      <c r="B614" s="12"/>
      <c r="C614" s="17"/>
      <c r="D614" s="12"/>
      <c r="E614" s="12"/>
      <c r="M614" s="12"/>
      <c r="N614" s="12"/>
    </row>
    <row r="615" spans="1:14" x14ac:dyDescent="0.35">
      <c r="A615" s="12"/>
      <c r="B615" s="12"/>
      <c r="C615" s="17"/>
      <c r="D615" s="12"/>
      <c r="E615" s="12"/>
      <c r="M615" s="12"/>
      <c r="N615" s="12"/>
    </row>
    <row r="616" spans="1:14" x14ac:dyDescent="0.35">
      <c r="A616" s="12"/>
      <c r="B616" s="12"/>
      <c r="C616" s="17"/>
      <c r="D616" s="12"/>
      <c r="E616" s="12"/>
      <c r="M616" s="12"/>
      <c r="N616" s="12"/>
    </row>
    <row r="617" spans="1:14" x14ac:dyDescent="0.35">
      <c r="A617" s="12"/>
      <c r="B617" s="12"/>
      <c r="C617" s="17"/>
      <c r="D617" s="12"/>
      <c r="E617" s="12"/>
      <c r="M617" s="12"/>
      <c r="N617" s="12"/>
    </row>
    <row r="618" spans="1:14" x14ac:dyDescent="0.35">
      <c r="A618" s="12"/>
      <c r="B618" s="12"/>
      <c r="C618" s="17"/>
      <c r="D618" s="12"/>
      <c r="E618" s="12"/>
      <c r="M618" s="12"/>
      <c r="N618" s="12"/>
    </row>
    <row r="619" spans="1:14" x14ac:dyDescent="0.35">
      <c r="A619" s="12"/>
      <c r="B619" s="12"/>
      <c r="C619" s="17"/>
      <c r="D619" s="12"/>
      <c r="E619" s="12"/>
      <c r="M619" s="12"/>
      <c r="N619" s="12"/>
    </row>
    <row r="620" spans="1:14" x14ac:dyDescent="0.35">
      <c r="A620" s="12"/>
      <c r="B620" s="12"/>
      <c r="C620" s="17"/>
      <c r="D620" s="12"/>
      <c r="E620" s="12"/>
      <c r="M620" s="12"/>
      <c r="N620" s="12"/>
    </row>
    <row r="621" spans="1:14" x14ac:dyDescent="0.35">
      <c r="A621" s="12"/>
      <c r="B621" s="12"/>
      <c r="C621" s="17"/>
      <c r="D621" s="12"/>
      <c r="E621" s="12"/>
      <c r="M621" s="12"/>
      <c r="N621" s="12"/>
    </row>
    <row r="622" spans="1:14" x14ac:dyDescent="0.35">
      <c r="A622" s="12"/>
      <c r="B622" s="12"/>
      <c r="C622" s="17"/>
      <c r="D622" s="12"/>
      <c r="E622" s="12"/>
      <c r="M622" s="12"/>
      <c r="N622" s="12"/>
    </row>
    <row r="623" spans="1:14" x14ac:dyDescent="0.35">
      <c r="A623" s="12"/>
      <c r="B623" s="12"/>
      <c r="C623" s="17"/>
      <c r="D623" s="12"/>
      <c r="E623" s="12"/>
      <c r="M623" s="12"/>
      <c r="N623" s="12"/>
    </row>
    <row r="624" spans="1:14" x14ac:dyDescent="0.35">
      <c r="A624" s="12"/>
      <c r="B624" s="12"/>
      <c r="C624" s="17"/>
      <c r="D624" s="12"/>
      <c r="E624" s="12"/>
      <c r="M624" s="12"/>
      <c r="N624" s="12"/>
    </row>
    <row r="625" spans="1:14" x14ac:dyDescent="0.35">
      <c r="A625" s="12"/>
      <c r="B625" s="12"/>
      <c r="C625" s="17"/>
      <c r="D625" s="12"/>
      <c r="E625" s="12"/>
      <c r="M625" s="12"/>
      <c r="N625" s="12"/>
    </row>
    <row r="626" spans="1:14" x14ac:dyDescent="0.35">
      <c r="A626" s="12"/>
      <c r="B626" s="12"/>
      <c r="C626" s="17"/>
      <c r="D626" s="12"/>
      <c r="E626" s="12"/>
      <c r="M626" s="12"/>
      <c r="N626" s="12"/>
    </row>
    <row r="627" spans="1:14" x14ac:dyDescent="0.35">
      <c r="A627" s="12"/>
      <c r="B627" s="12"/>
      <c r="C627" s="17"/>
      <c r="D627" s="12"/>
      <c r="E627" s="12"/>
      <c r="M627" s="12"/>
      <c r="N627" s="12"/>
    </row>
    <row r="628" spans="1:14" x14ac:dyDescent="0.35">
      <c r="A628" s="12"/>
      <c r="B628" s="12"/>
      <c r="C628" s="17"/>
      <c r="D628" s="12"/>
      <c r="E628" s="12"/>
      <c r="M628" s="12"/>
      <c r="N628" s="12"/>
    </row>
    <row r="629" spans="1:14" x14ac:dyDescent="0.35">
      <c r="A629" s="12"/>
      <c r="B629" s="12"/>
      <c r="C629" s="17"/>
      <c r="D629" s="12"/>
      <c r="E629" s="12"/>
      <c r="M629" s="12"/>
      <c r="N629" s="12"/>
    </row>
    <row r="630" spans="1:14" x14ac:dyDescent="0.35">
      <c r="A630" s="12"/>
      <c r="B630" s="12"/>
      <c r="C630" s="17"/>
      <c r="D630" s="12"/>
      <c r="E630" s="12"/>
      <c r="M630" s="12"/>
      <c r="N630" s="12"/>
    </row>
    <row r="631" spans="1:14" x14ac:dyDescent="0.35">
      <c r="A631" s="12"/>
      <c r="B631" s="12"/>
      <c r="C631" s="17"/>
      <c r="D631" s="12"/>
      <c r="E631" s="12"/>
      <c r="M631" s="12"/>
      <c r="N631" s="12"/>
    </row>
    <row r="632" spans="1:14" x14ac:dyDescent="0.35">
      <c r="A632" s="12"/>
      <c r="B632" s="12"/>
      <c r="C632" s="17"/>
      <c r="D632" s="12"/>
      <c r="E632" s="12"/>
      <c r="M632" s="12"/>
      <c r="N632" s="12"/>
    </row>
    <row r="633" spans="1:14" x14ac:dyDescent="0.35">
      <c r="A633" s="12"/>
      <c r="B633" s="12"/>
      <c r="C633" s="17"/>
      <c r="D633" s="12"/>
      <c r="E633" s="12"/>
      <c r="M633" s="12"/>
      <c r="N633" s="12"/>
    </row>
    <row r="634" spans="1:14" x14ac:dyDescent="0.35">
      <c r="A634" s="12"/>
      <c r="B634" s="12"/>
      <c r="C634" s="17"/>
      <c r="D634" s="12"/>
      <c r="E634" s="12"/>
      <c r="M634" s="12"/>
      <c r="N634" s="12"/>
    </row>
    <row r="635" spans="1:14" x14ac:dyDescent="0.35">
      <c r="A635" s="12"/>
      <c r="B635" s="12"/>
      <c r="C635" s="17"/>
      <c r="D635" s="12"/>
      <c r="E635" s="12"/>
      <c r="M635" s="12"/>
      <c r="N635" s="12"/>
    </row>
    <row r="636" spans="1:14" x14ac:dyDescent="0.35">
      <c r="A636" s="12"/>
      <c r="B636" s="12"/>
      <c r="C636" s="17"/>
      <c r="D636" s="12"/>
      <c r="E636" s="12"/>
      <c r="M636" s="12"/>
      <c r="N636" s="12"/>
    </row>
    <row r="637" spans="1:14" x14ac:dyDescent="0.35">
      <c r="A637" s="12"/>
      <c r="B637" s="12"/>
      <c r="C637" s="17"/>
      <c r="D637" s="12"/>
      <c r="E637" s="12"/>
      <c r="M637" s="12"/>
      <c r="N637" s="12"/>
    </row>
    <row r="638" spans="1:14" x14ac:dyDescent="0.35">
      <c r="A638" s="12"/>
      <c r="B638" s="12"/>
      <c r="C638" s="17"/>
      <c r="D638" s="12"/>
      <c r="E638" s="12"/>
      <c r="M638" s="12"/>
      <c r="N638" s="12"/>
    </row>
    <row r="639" spans="1:14" x14ac:dyDescent="0.35">
      <c r="A639" s="12"/>
      <c r="B639" s="12"/>
      <c r="C639" s="17"/>
      <c r="D639" s="12"/>
      <c r="E639" s="12"/>
      <c r="M639" s="12"/>
      <c r="N639" s="12"/>
    </row>
    <row r="640" spans="1:14" x14ac:dyDescent="0.35">
      <c r="A640" s="12"/>
      <c r="B640" s="12"/>
      <c r="C640" s="17"/>
      <c r="D640" s="12"/>
      <c r="E640" s="12"/>
      <c r="M640" s="12"/>
      <c r="N640" s="12"/>
    </row>
    <row r="641" spans="1:14" x14ac:dyDescent="0.35">
      <c r="A641" s="12"/>
      <c r="B641" s="12"/>
      <c r="C641" s="17"/>
      <c r="D641" s="12"/>
      <c r="E641" s="12"/>
      <c r="M641" s="12"/>
      <c r="N641" s="12"/>
    </row>
    <row r="642" spans="1:14" x14ac:dyDescent="0.35">
      <c r="A642" s="12"/>
      <c r="B642" s="12"/>
      <c r="C642" s="17"/>
      <c r="D642" s="12"/>
      <c r="E642" s="12"/>
      <c r="M642" s="12"/>
      <c r="N642" s="12"/>
    </row>
    <row r="643" spans="1:14" x14ac:dyDescent="0.35">
      <c r="A643" s="12"/>
      <c r="B643" s="12"/>
      <c r="C643" s="17"/>
      <c r="D643" s="12"/>
      <c r="E643" s="12"/>
      <c r="M643" s="12"/>
      <c r="N643" s="12"/>
    </row>
    <row r="644" spans="1:14" x14ac:dyDescent="0.35">
      <c r="A644" s="12"/>
      <c r="B644" s="12"/>
      <c r="C644" s="17"/>
      <c r="D644" s="12"/>
      <c r="E644" s="12"/>
      <c r="M644" s="12"/>
      <c r="N644" s="12"/>
    </row>
    <row r="645" spans="1:14" x14ac:dyDescent="0.35">
      <c r="A645" s="12"/>
      <c r="B645" s="12"/>
      <c r="C645" s="17"/>
      <c r="D645" s="12"/>
      <c r="E645" s="12"/>
      <c r="M645" s="12"/>
      <c r="N645" s="12"/>
    </row>
    <row r="646" spans="1:14" x14ac:dyDescent="0.35">
      <c r="A646" s="12"/>
      <c r="B646" s="12"/>
      <c r="C646" s="17"/>
      <c r="D646" s="12"/>
      <c r="E646" s="12"/>
      <c r="M646" s="12"/>
      <c r="N646" s="12"/>
    </row>
    <row r="647" spans="1:14" x14ac:dyDescent="0.35">
      <c r="A647" s="12"/>
      <c r="B647" s="12"/>
      <c r="C647" s="17"/>
      <c r="D647" s="12"/>
      <c r="E647" s="12"/>
      <c r="M647" s="12"/>
      <c r="N647" s="12"/>
    </row>
    <row r="648" spans="1:14" x14ac:dyDescent="0.35">
      <c r="A648" s="12"/>
      <c r="B648" s="12"/>
      <c r="C648" s="17"/>
      <c r="D648" s="12"/>
      <c r="E648" s="12"/>
      <c r="M648" s="12"/>
      <c r="N648" s="12"/>
    </row>
    <row r="649" spans="1:14" x14ac:dyDescent="0.35">
      <c r="A649" s="12"/>
      <c r="B649" s="12"/>
      <c r="C649" s="17"/>
      <c r="D649" s="12"/>
      <c r="E649" s="12"/>
      <c r="M649" s="12"/>
      <c r="N649" s="12"/>
    </row>
    <row r="650" spans="1:14" x14ac:dyDescent="0.35">
      <c r="A650" s="12"/>
      <c r="B650" s="12"/>
      <c r="C650" s="17"/>
      <c r="D650" s="12"/>
      <c r="E650" s="12"/>
      <c r="M650" s="12"/>
      <c r="N650" s="12"/>
    </row>
    <row r="651" spans="1:14" x14ac:dyDescent="0.35">
      <c r="A651" s="12"/>
      <c r="B651" s="12"/>
      <c r="C651" s="17"/>
      <c r="D651" s="12"/>
      <c r="E651" s="12"/>
      <c r="M651" s="12"/>
      <c r="N651" s="12"/>
    </row>
    <row r="652" spans="1:14" x14ac:dyDescent="0.35">
      <c r="A652" s="12"/>
      <c r="B652" s="12"/>
      <c r="C652" s="17"/>
      <c r="D652" s="12"/>
      <c r="E652" s="12"/>
      <c r="M652" s="12"/>
      <c r="N652" s="12"/>
    </row>
    <row r="653" spans="1:14" x14ac:dyDescent="0.35">
      <c r="A653" s="12"/>
      <c r="B653" s="12"/>
      <c r="C653" s="17"/>
      <c r="D653" s="12"/>
      <c r="E653" s="12"/>
      <c r="M653" s="12"/>
      <c r="N653" s="12"/>
    </row>
    <row r="654" spans="1:14" x14ac:dyDescent="0.35">
      <c r="A654" s="12"/>
      <c r="B654" s="12"/>
      <c r="C654" s="17"/>
      <c r="D654" s="12"/>
      <c r="E654" s="12"/>
      <c r="M654" s="12"/>
      <c r="N654" s="12"/>
    </row>
    <row r="655" spans="1:14" x14ac:dyDescent="0.35">
      <c r="A655" s="12"/>
      <c r="B655" s="12"/>
      <c r="C655" s="17"/>
      <c r="D655" s="12"/>
      <c r="E655" s="12"/>
      <c r="M655" s="12"/>
      <c r="N655" s="12"/>
    </row>
    <row r="656" spans="1:14" x14ac:dyDescent="0.35">
      <c r="A656" s="12"/>
      <c r="B656" s="12"/>
      <c r="C656" s="17"/>
      <c r="D656" s="12"/>
      <c r="E656" s="12"/>
      <c r="M656" s="12"/>
      <c r="N656" s="12"/>
    </row>
    <row r="657" spans="1:14" x14ac:dyDescent="0.35">
      <c r="A657" s="12"/>
      <c r="B657" s="12"/>
      <c r="C657" s="17"/>
      <c r="D657" s="12"/>
      <c r="E657" s="12"/>
      <c r="M657" s="12"/>
      <c r="N657" s="12"/>
    </row>
    <row r="658" spans="1:14" x14ac:dyDescent="0.35">
      <c r="A658" s="12"/>
      <c r="B658" s="12"/>
      <c r="C658" s="17"/>
      <c r="D658" s="12"/>
      <c r="E658" s="12"/>
      <c r="M658" s="12"/>
      <c r="N658" s="12"/>
    </row>
    <row r="659" spans="1:14" x14ac:dyDescent="0.35">
      <c r="A659" s="12"/>
      <c r="B659" s="12"/>
      <c r="C659" s="17"/>
      <c r="D659" s="12"/>
      <c r="E659" s="12"/>
      <c r="M659" s="12"/>
      <c r="N659" s="12"/>
    </row>
    <row r="660" spans="1:14" x14ac:dyDescent="0.35">
      <c r="A660" s="12"/>
      <c r="B660" s="12"/>
      <c r="C660" s="17"/>
      <c r="D660" s="12"/>
      <c r="E660" s="12"/>
      <c r="M660" s="12"/>
      <c r="N660" s="12"/>
    </row>
    <row r="661" spans="1:14" x14ac:dyDescent="0.35">
      <c r="A661" s="12"/>
      <c r="B661" s="12"/>
      <c r="C661" s="17"/>
      <c r="D661" s="12"/>
      <c r="E661" s="12"/>
      <c r="M661" s="12"/>
      <c r="N661" s="12"/>
    </row>
    <row r="662" spans="1:14" x14ac:dyDescent="0.35">
      <c r="A662" s="12"/>
      <c r="B662" s="12"/>
      <c r="C662" s="17"/>
      <c r="D662" s="12"/>
      <c r="E662" s="12"/>
      <c r="M662" s="12"/>
      <c r="N662" s="12"/>
    </row>
    <row r="663" spans="1:14" x14ac:dyDescent="0.35">
      <c r="A663" s="12"/>
      <c r="B663" s="12"/>
      <c r="C663" s="17"/>
      <c r="D663" s="12"/>
      <c r="E663" s="12"/>
      <c r="M663" s="12"/>
      <c r="N663" s="12"/>
    </row>
    <row r="664" spans="1:14" x14ac:dyDescent="0.35">
      <c r="A664" s="12"/>
      <c r="B664" s="12"/>
      <c r="C664" s="17"/>
      <c r="D664" s="12"/>
      <c r="E664" s="12"/>
      <c r="M664" s="12"/>
      <c r="N664" s="12"/>
    </row>
    <row r="665" spans="1:14" x14ac:dyDescent="0.35">
      <c r="A665" s="12"/>
      <c r="B665" s="12"/>
      <c r="C665" s="17"/>
      <c r="D665" s="12"/>
      <c r="E665" s="12"/>
      <c r="M665" s="12"/>
      <c r="N665" s="12"/>
    </row>
    <row r="666" spans="1:14" x14ac:dyDescent="0.35">
      <c r="A666" s="12"/>
      <c r="B666" s="12"/>
      <c r="C666" s="17"/>
      <c r="D666" s="12"/>
      <c r="E666" s="12"/>
      <c r="M666" s="12"/>
      <c r="N666" s="12"/>
    </row>
    <row r="667" spans="1:14" x14ac:dyDescent="0.35">
      <c r="A667" s="12"/>
      <c r="B667" s="12"/>
      <c r="C667" s="17"/>
      <c r="D667" s="12"/>
      <c r="E667" s="12"/>
      <c r="M667" s="12"/>
      <c r="N667" s="12"/>
    </row>
    <row r="668" spans="1:14" x14ac:dyDescent="0.35">
      <c r="A668" s="12"/>
      <c r="B668" s="12"/>
      <c r="C668" s="17"/>
      <c r="D668" s="12"/>
      <c r="E668" s="12"/>
      <c r="M668" s="12"/>
      <c r="N668" s="12"/>
    </row>
    <row r="669" spans="1:14" x14ac:dyDescent="0.35">
      <c r="A669" s="12"/>
      <c r="B669" s="12"/>
      <c r="C669" s="17"/>
      <c r="D669" s="12"/>
      <c r="E669" s="12"/>
      <c r="M669" s="12"/>
      <c r="N669" s="12"/>
    </row>
    <row r="670" spans="1:14" x14ac:dyDescent="0.35">
      <c r="A670" s="12"/>
      <c r="B670" s="12"/>
      <c r="C670" s="17"/>
      <c r="D670" s="12"/>
      <c r="E670" s="12"/>
      <c r="M670" s="12"/>
      <c r="N670" s="12"/>
    </row>
    <row r="671" spans="1:14" x14ac:dyDescent="0.35">
      <c r="A671" s="12"/>
      <c r="B671" s="12"/>
      <c r="C671" s="17"/>
      <c r="D671" s="12"/>
      <c r="E671" s="12"/>
      <c r="M671" s="12"/>
      <c r="N671" s="12"/>
    </row>
    <row r="672" spans="1:14" x14ac:dyDescent="0.35">
      <c r="A672" s="12"/>
      <c r="B672" s="12"/>
      <c r="C672" s="17"/>
      <c r="D672" s="12"/>
      <c r="E672" s="12"/>
      <c r="M672" s="12"/>
      <c r="N672" s="12"/>
    </row>
    <row r="673" spans="1:14" x14ac:dyDescent="0.35">
      <c r="A673" s="12"/>
      <c r="B673" s="12"/>
      <c r="C673" s="17"/>
      <c r="D673" s="12"/>
      <c r="E673" s="12"/>
      <c r="M673" s="12"/>
      <c r="N673" s="12"/>
    </row>
    <row r="674" spans="1:14" x14ac:dyDescent="0.35">
      <c r="A674" s="12"/>
      <c r="B674" s="12"/>
      <c r="C674" s="17"/>
      <c r="D674" s="12"/>
      <c r="E674" s="12"/>
      <c r="M674" s="12"/>
      <c r="N674" s="12"/>
    </row>
    <row r="675" spans="1:14" x14ac:dyDescent="0.35">
      <c r="A675" s="12"/>
      <c r="B675" s="12"/>
      <c r="C675" s="17"/>
      <c r="D675" s="12"/>
      <c r="E675" s="12"/>
      <c r="M675" s="12"/>
      <c r="N675" s="12"/>
    </row>
    <row r="676" spans="1:14" x14ac:dyDescent="0.35">
      <c r="A676" s="12"/>
      <c r="B676" s="12"/>
      <c r="C676" s="17"/>
      <c r="D676" s="12"/>
      <c r="E676" s="12"/>
      <c r="M676" s="12"/>
      <c r="N676" s="12"/>
    </row>
    <row r="677" spans="1:14" x14ac:dyDescent="0.35">
      <c r="A677" s="12"/>
      <c r="B677" s="12"/>
      <c r="C677" s="17"/>
      <c r="D677" s="12"/>
      <c r="E677" s="12"/>
      <c r="M677" s="12"/>
      <c r="N677" s="12"/>
    </row>
    <row r="678" spans="1:14" x14ac:dyDescent="0.35">
      <c r="A678" s="12"/>
      <c r="B678" s="12"/>
      <c r="C678" s="17"/>
      <c r="D678" s="12"/>
      <c r="E678" s="12"/>
      <c r="M678" s="12"/>
      <c r="N678" s="12"/>
    </row>
    <row r="679" spans="1:14" x14ac:dyDescent="0.35">
      <c r="A679" s="12"/>
      <c r="B679" s="12"/>
      <c r="C679" s="17"/>
      <c r="D679" s="12"/>
      <c r="E679" s="12"/>
      <c r="M679" s="12"/>
      <c r="N679" s="12"/>
    </row>
    <row r="680" spans="1:14" x14ac:dyDescent="0.35">
      <c r="A680" s="12"/>
      <c r="B680" s="12"/>
      <c r="C680" s="17"/>
      <c r="D680" s="12"/>
      <c r="E680" s="12"/>
      <c r="M680" s="12"/>
      <c r="N680" s="12"/>
    </row>
    <row r="681" spans="1:14" x14ac:dyDescent="0.35">
      <c r="A681" s="12"/>
      <c r="B681" s="12"/>
      <c r="C681" s="17"/>
      <c r="D681" s="12"/>
      <c r="E681" s="12"/>
      <c r="M681" s="12"/>
      <c r="N681" s="12"/>
    </row>
    <row r="682" spans="1:14" x14ac:dyDescent="0.35">
      <c r="A682" s="12"/>
      <c r="B682" s="12"/>
      <c r="C682" s="17"/>
      <c r="D682" s="12"/>
      <c r="E682" s="12"/>
      <c r="M682" s="12"/>
      <c r="N682" s="12"/>
    </row>
    <row r="683" spans="1:14" x14ac:dyDescent="0.35">
      <c r="A683" s="12"/>
      <c r="B683" s="12"/>
      <c r="C683" s="17"/>
      <c r="D683" s="12"/>
      <c r="E683" s="12"/>
      <c r="M683" s="12"/>
      <c r="N683" s="12"/>
    </row>
    <row r="684" spans="1:14" x14ac:dyDescent="0.35">
      <c r="A684" s="12"/>
      <c r="B684" s="12"/>
      <c r="C684" s="17"/>
      <c r="D684" s="12"/>
      <c r="E684" s="12"/>
      <c r="M684" s="12"/>
      <c r="N684" s="12"/>
    </row>
    <row r="685" spans="1:14" x14ac:dyDescent="0.35">
      <c r="A685" s="12"/>
      <c r="B685" s="12"/>
      <c r="C685" s="17"/>
      <c r="D685" s="12"/>
      <c r="E685" s="12"/>
      <c r="M685" s="12"/>
      <c r="N685" s="12"/>
    </row>
    <row r="686" spans="1:14" x14ac:dyDescent="0.35">
      <c r="A686" s="12"/>
      <c r="B686" s="12"/>
      <c r="C686" s="17"/>
      <c r="D686" s="12"/>
      <c r="E686" s="12"/>
      <c r="M686" s="12"/>
      <c r="N686" s="12"/>
    </row>
    <row r="687" spans="1:14" x14ac:dyDescent="0.35">
      <c r="A687" s="12"/>
      <c r="B687" s="12"/>
      <c r="C687" s="17"/>
      <c r="D687" s="12"/>
      <c r="E687" s="12"/>
      <c r="M687" s="12"/>
      <c r="N687" s="12"/>
    </row>
    <row r="688" spans="1:14" x14ac:dyDescent="0.35">
      <c r="A688" s="12"/>
      <c r="B688" s="12"/>
      <c r="C688" s="17"/>
      <c r="D688" s="12"/>
      <c r="E688" s="12"/>
      <c r="M688" s="12"/>
      <c r="N688" s="12"/>
    </row>
    <row r="689" spans="1:14" x14ac:dyDescent="0.35">
      <c r="A689" s="12"/>
      <c r="B689" s="12"/>
      <c r="C689" s="17"/>
      <c r="D689" s="12"/>
      <c r="E689" s="12"/>
      <c r="M689" s="12"/>
      <c r="N689" s="12"/>
    </row>
    <row r="690" spans="1:14" x14ac:dyDescent="0.35">
      <c r="A690" s="12"/>
      <c r="B690" s="12"/>
      <c r="C690" s="17"/>
      <c r="D690" s="12"/>
      <c r="E690" s="12"/>
      <c r="M690" s="12"/>
      <c r="N690" s="12"/>
    </row>
    <row r="691" spans="1:14" x14ac:dyDescent="0.35">
      <c r="A691" s="12"/>
      <c r="B691" s="12"/>
      <c r="C691" s="17"/>
      <c r="D691" s="12"/>
      <c r="E691" s="12"/>
      <c r="M691" s="12"/>
      <c r="N691" s="12"/>
    </row>
    <row r="692" spans="1:14" x14ac:dyDescent="0.35">
      <c r="A692" s="12"/>
      <c r="B692" s="12"/>
      <c r="C692" s="17"/>
      <c r="D692" s="12"/>
      <c r="E692" s="12"/>
      <c r="M692" s="12"/>
      <c r="N692" s="12"/>
    </row>
    <row r="693" spans="1:14" x14ac:dyDescent="0.35">
      <c r="A693" s="12"/>
      <c r="B693" s="12"/>
      <c r="C693" s="17"/>
      <c r="D693" s="12"/>
      <c r="E693" s="12"/>
      <c r="M693" s="12"/>
      <c r="N693" s="12"/>
    </row>
    <row r="694" spans="1:14" x14ac:dyDescent="0.35">
      <c r="A694" s="12"/>
      <c r="B694" s="12"/>
      <c r="C694" s="17"/>
      <c r="D694" s="12"/>
      <c r="E694" s="12"/>
      <c r="M694" s="12"/>
      <c r="N694" s="12"/>
    </row>
    <row r="695" spans="1:14" x14ac:dyDescent="0.35">
      <c r="A695" s="12"/>
      <c r="B695" s="12"/>
      <c r="C695" s="17"/>
      <c r="D695" s="12"/>
      <c r="E695" s="12"/>
      <c r="M695" s="12"/>
      <c r="N695" s="12"/>
    </row>
    <row r="696" spans="1:14" x14ac:dyDescent="0.35">
      <c r="A696" s="12"/>
      <c r="B696" s="12"/>
      <c r="C696" s="17"/>
      <c r="D696" s="12"/>
      <c r="E696" s="12"/>
      <c r="M696" s="12"/>
      <c r="N696" s="12"/>
    </row>
    <row r="697" spans="1:14" x14ac:dyDescent="0.35">
      <c r="A697" s="12"/>
      <c r="B697" s="12"/>
      <c r="C697" s="17"/>
      <c r="D697" s="12"/>
      <c r="E697" s="12"/>
      <c r="M697" s="12"/>
      <c r="N697" s="12"/>
    </row>
    <row r="698" spans="1:14" x14ac:dyDescent="0.35">
      <c r="A698" s="12"/>
      <c r="B698" s="12"/>
      <c r="C698" s="17"/>
      <c r="D698" s="12"/>
      <c r="E698" s="12"/>
      <c r="M698" s="12"/>
      <c r="N698" s="12"/>
    </row>
    <row r="699" spans="1:14" x14ac:dyDescent="0.35">
      <c r="A699" s="12"/>
      <c r="B699" s="12"/>
      <c r="C699" s="17"/>
      <c r="D699" s="12"/>
      <c r="E699" s="12"/>
      <c r="M699" s="12"/>
      <c r="N699" s="12"/>
    </row>
    <row r="700" spans="1:14" x14ac:dyDescent="0.35">
      <c r="A700" s="12"/>
      <c r="B700" s="12"/>
      <c r="C700" s="17"/>
      <c r="D700" s="12"/>
      <c r="E700" s="12"/>
      <c r="M700" s="12"/>
      <c r="N700" s="12"/>
    </row>
    <row r="701" spans="1:14" x14ac:dyDescent="0.35">
      <c r="A701" s="12"/>
      <c r="B701" s="12"/>
      <c r="C701" s="17"/>
      <c r="D701" s="12"/>
      <c r="E701" s="12"/>
      <c r="M701" s="12"/>
      <c r="N701" s="12"/>
    </row>
    <row r="702" spans="1:14" x14ac:dyDescent="0.35">
      <c r="A702" s="12"/>
      <c r="B702" s="12"/>
      <c r="C702" s="17"/>
      <c r="D702" s="12"/>
      <c r="E702" s="12"/>
      <c r="M702" s="12"/>
      <c r="N702" s="12"/>
    </row>
    <row r="703" spans="1:14" x14ac:dyDescent="0.35">
      <c r="A703" s="12"/>
      <c r="B703" s="12"/>
      <c r="C703" s="17"/>
      <c r="D703" s="12"/>
      <c r="E703" s="12"/>
      <c r="M703" s="12"/>
      <c r="N703" s="12"/>
    </row>
    <row r="704" spans="1:14" x14ac:dyDescent="0.35">
      <c r="A704" s="12"/>
      <c r="B704" s="12"/>
      <c r="C704" s="17"/>
      <c r="D704" s="12"/>
      <c r="E704" s="12"/>
      <c r="M704" s="12"/>
      <c r="N704" s="12"/>
    </row>
    <row r="705" spans="1:14" x14ac:dyDescent="0.35">
      <c r="A705" s="12"/>
      <c r="B705" s="12"/>
      <c r="C705" s="17"/>
      <c r="D705" s="12"/>
      <c r="E705" s="12"/>
      <c r="M705" s="12"/>
      <c r="N705" s="12"/>
    </row>
    <row r="706" spans="1:14" x14ac:dyDescent="0.35">
      <c r="A706" s="12"/>
      <c r="B706" s="12"/>
      <c r="C706" s="17"/>
      <c r="D706" s="12"/>
      <c r="E706" s="12"/>
      <c r="M706" s="12"/>
      <c r="N706" s="12"/>
    </row>
    <row r="707" spans="1:14" x14ac:dyDescent="0.35">
      <c r="A707" s="12"/>
      <c r="B707" s="12"/>
      <c r="C707" s="17"/>
      <c r="D707" s="12"/>
      <c r="E707" s="12"/>
      <c r="M707" s="12"/>
      <c r="N707" s="12"/>
    </row>
    <row r="708" spans="1:14" x14ac:dyDescent="0.35">
      <c r="A708" s="12"/>
      <c r="B708" s="12"/>
      <c r="C708" s="17"/>
      <c r="D708" s="12"/>
      <c r="E708" s="12"/>
      <c r="M708" s="12"/>
      <c r="N708" s="12"/>
    </row>
    <row r="709" spans="1:14" x14ac:dyDescent="0.35">
      <c r="A709" s="12"/>
      <c r="B709" s="12"/>
      <c r="C709" s="17"/>
      <c r="D709" s="12"/>
      <c r="E709" s="12"/>
      <c r="M709" s="12"/>
      <c r="N709" s="12"/>
    </row>
    <row r="710" spans="1:14" x14ac:dyDescent="0.35">
      <c r="A710" s="12"/>
      <c r="B710" s="12"/>
      <c r="C710" s="17"/>
      <c r="D710" s="12"/>
      <c r="E710" s="12"/>
      <c r="M710" s="12"/>
      <c r="N710" s="12"/>
    </row>
    <row r="711" spans="1:14" x14ac:dyDescent="0.35">
      <c r="A711" s="12"/>
      <c r="B711" s="12"/>
      <c r="C711" s="17"/>
      <c r="D711" s="12"/>
      <c r="E711" s="12"/>
      <c r="M711" s="12"/>
      <c r="N711" s="12"/>
    </row>
    <row r="712" spans="1:14" x14ac:dyDescent="0.35">
      <c r="A712" s="12"/>
      <c r="B712" s="12"/>
      <c r="C712" s="17"/>
      <c r="D712" s="12"/>
      <c r="E712" s="12"/>
      <c r="M712" s="12"/>
      <c r="N712" s="12"/>
    </row>
    <row r="713" spans="1:14" x14ac:dyDescent="0.35">
      <c r="A713" s="12"/>
      <c r="B713" s="12"/>
      <c r="C713" s="17"/>
      <c r="D713" s="12"/>
      <c r="E713" s="12"/>
      <c r="M713" s="12"/>
      <c r="N713" s="12"/>
    </row>
    <row r="714" spans="1:14" x14ac:dyDescent="0.35">
      <c r="A714" s="12"/>
      <c r="B714" s="12"/>
      <c r="C714" s="17"/>
      <c r="D714" s="12"/>
      <c r="E714" s="12"/>
      <c r="M714" s="12"/>
      <c r="N714" s="12"/>
    </row>
    <row r="715" spans="1:14" x14ac:dyDescent="0.35">
      <c r="A715" s="12"/>
      <c r="B715" s="12"/>
      <c r="C715" s="17"/>
      <c r="D715" s="12"/>
      <c r="E715" s="12"/>
      <c r="M715" s="12"/>
      <c r="N715" s="12"/>
    </row>
    <row r="716" spans="1:14" x14ac:dyDescent="0.35">
      <c r="A716" s="12"/>
      <c r="B716" s="12"/>
      <c r="C716" s="17"/>
      <c r="D716" s="12"/>
      <c r="E716" s="12"/>
      <c r="M716" s="12"/>
      <c r="N716" s="12"/>
    </row>
    <row r="717" spans="1:14" x14ac:dyDescent="0.35">
      <c r="A717" s="12"/>
      <c r="B717" s="12"/>
      <c r="C717" s="17"/>
      <c r="D717" s="12"/>
      <c r="E717" s="12"/>
      <c r="M717" s="12"/>
      <c r="N717" s="12"/>
    </row>
    <row r="718" spans="1:14" x14ac:dyDescent="0.35">
      <c r="A718" s="12"/>
      <c r="B718" s="12"/>
      <c r="C718" s="17"/>
      <c r="D718" s="12"/>
      <c r="E718" s="12"/>
      <c r="M718" s="12"/>
      <c r="N718" s="12"/>
    </row>
    <row r="719" spans="1:14" x14ac:dyDescent="0.35">
      <c r="A719" s="12"/>
      <c r="B719" s="12"/>
      <c r="C719" s="17"/>
      <c r="D719" s="12"/>
      <c r="E719" s="12"/>
      <c r="M719" s="12"/>
      <c r="N719" s="12"/>
    </row>
    <row r="720" spans="1:14" x14ac:dyDescent="0.35">
      <c r="A720" s="12"/>
      <c r="B720" s="12"/>
      <c r="C720" s="17"/>
      <c r="D720" s="12"/>
      <c r="E720" s="12"/>
      <c r="M720" s="12"/>
      <c r="N720" s="12"/>
    </row>
    <row r="721" spans="1:14" x14ac:dyDescent="0.35">
      <c r="A721" s="12"/>
      <c r="B721" s="12"/>
      <c r="C721" s="17"/>
      <c r="D721" s="12"/>
      <c r="E721" s="12"/>
      <c r="M721" s="12"/>
      <c r="N721" s="12"/>
    </row>
    <row r="722" spans="1:14" x14ac:dyDescent="0.35">
      <c r="A722" s="12"/>
      <c r="B722" s="12"/>
      <c r="C722" s="17"/>
      <c r="D722" s="12"/>
      <c r="E722" s="12"/>
      <c r="M722" s="12"/>
      <c r="N722" s="12"/>
    </row>
    <row r="723" spans="1:14" x14ac:dyDescent="0.35">
      <c r="A723" s="12"/>
      <c r="B723" s="12"/>
      <c r="C723" s="17"/>
      <c r="D723" s="12"/>
      <c r="E723" s="12"/>
      <c r="M723" s="12"/>
      <c r="N723" s="12"/>
    </row>
    <row r="724" spans="1:14" x14ac:dyDescent="0.35">
      <c r="A724" s="12"/>
      <c r="B724" s="12"/>
      <c r="C724" s="17"/>
      <c r="D724" s="12"/>
      <c r="E724" s="12"/>
      <c r="M724" s="12"/>
      <c r="N724" s="12"/>
    </row>
    <row r="725" spans="1:14" x14ac:dyDescent="0.35">
      <c r="A725" s="12"/>
      <c r="B725" s="12"/>
      <c r="C725" s="17"/>
      <c r="D725" s="12"/>
      <c r="E725" s="12"/>
      <c r="M725" s="12"/>
      <c r="N725" s="12"/>
    </row>
    <row r="726" spans="1:14" x14ac:dyDescent="0.35">
      <c r="A726" s="12"/>
      <c r="B726" s="12"/>
      <c r="C726" s="17"/>
      <c r="D726" s="12"/>
      <c r="E726" s="12"/>
      <c r="M726" s="12"/>
      <c r="N726" s="12"/>
    </row>
    <row r="727" spans="1:14" x14ac:dyDescent="0.35">
      <c r="A727" s="12"/>
      <c r="B727" s="12"/>
      <c r="C727" s="17"/>
      <c r="D727" s="12"/>
      <c r="E727" s="12"/>
      <c r="M727" s="12"/>
      <c r="N727" s="12"/>
    </row>
    <row r="728" spans="1:14" x14ac:dyDescent="0.35">
      <c r="A728" s="12"/>
      <c r="B728" s="12"/>
      <c r="C728" s="17"/>
      <c r="D728" s="12"/>
      <c r="E728" s="12"/>
      <c r="M728" s="12"/>
      <c r="N728" s="12"/>
    </row>
    <row r="729" spans="1:14" x14ac:dyDescent="0.35">
      <c r="A729" s="12"/>
      <c r="B729" s="12"/>
      <c r="C729" s="17"/>
      <c r="D729" s="12"/>
      <c r="E729" s="12"/>
      <c r="M729" s="12"/>
      <c r="N729" s="12"/>
    </row>
    <row r="730" spans="1:14" x14ac:dyDescent="0.35">
      <c r="A730" s="12"/>
      <c r="B730" s="12"/>
      <c r="C730" s="17"/>
      <c r="D730" s="12"/>
      <c r="E730" s="12"/>
      <c r="M730" s="12"/>
      <c r="N730" s="12"/>
    </row>
    <row r="731" spans="1:14" x14ac:dyDescent="0.35">
      <c r="A731" s="12"/>
      <c r="B731" s="12"/>
      <c r="C731" s="17"/>
      <c r="D731" s="12"/>
      <c r="E731" s="12"/>
      <c r="M731" s="12"/>
      <c r="N731" s="12"/>
    </row>
    <row r="732" spans="1:14" x14ac:dyDescent="0.35">
      <c r="A732" s="12"/>
      <c r="B732" s="12"/>
      <c r="C732" s="17"/>
      <c r="D732" s="12"/>
      <c r="E732" s="12"/>
      <c r="M732" s="12"/>
      <c r="N732" s="12"/>
    </row>
    <row r="733" spans="1:14" x14ac:dyDescent="0.35">
      <c r="A733" s="12"/>
      <c r="B733" s="12"/>
      <c r="C733" s="17"/>
      <c r="D733" s="12"/>
      <c r="E733" s="12"/>
      <c r="M733" s="12"/>
      <c r="N733" s="12"/>
    </row>
    <row r="734" spans="1:14" x14ac:dyDescent="0.35">
      <c r="A734" s="12"/>
      <c r="B734" s="12"/>
      <c r="C734" s="17"/>
      <c r="D734" s="12"/>
      <c r="E734" s="12"/>
      <c r="M734" s="12"/>
      <c r="N734" s="12"/>
    </row>
    <row r="735" spans="1:14" x14ac:dyDescent="0.35">
      <c r="A735" s="12"/>
      <c r="B735" s="12"/>
      <c r="C735" s="17"/>
      <c r="D735" s="12"/>
      <c r="E735" s="12"/>
      <c r="M735" s="12"/>
      <c r="N735" s="12"/>
    </row>
    <row r="736" spans="1:14" x14ac:dyDescent="0.35">
      <c r="A736" s="12"/>
      <c r="B736" s="12"/>
      <c r="C736" s="17"/>
      <c r="D736" s="12"/>
      <c r="E736" s="12"/>
      <c r="M736" s="12"/>
      <c r="N736" s="12"/>
    </row>
    <row r="737" spans="1:14" x14ac:dyDescent="0.35">
      <c r="A737" s="12"/>
      <c r="B737" s="12"/>
      <c r="C737" s="17"/>
      <c r="D737" s="12"/>
      <c r="E737" s="12"/>
      <c r="M737" s="12"/>
      <c r="N737" s="12"/>
    </row>
    <row r="738" spans="1:14" x14ac:dyDescent="0.35">
      <c r="A738" s="12"/>
      <c r="B738" s="12"/>
      <c r="C738" s="17"/>
      <c r="D738" s="12"/>
      <c r="E738" s="12"/>
      <c r="M738" s="12"/>
      <c r="N738" s="12"/>
    </row>
    <row r="739" spans="1:14" x14ac:dyDescent="0.35">
      <c r="A739" s="12"/>
      <c r="B739" s="12"/>
      <c r="C739" s="17"/>
      <c r="D739" s="12"/>
      <c r="E739" s="12"/>
      <c r="M739" s="12"/>
      <c r="N739" s="12"/>
    </row>
    <row r="740" spans="1:14" x14ac:dyDescent="0.35">
      <c r="A740" s="12"/>
      <c r="B740" s="12"/>
      <c r="C740" s="17"/>
      <c r="D740" s="12"/>
      <c r="E740" s="12"/>
      <c r="M740" s="12"/>
      <c r="N740" s="12"/>
    </row>
    <row r="741" spans="1:14" x14ac:dyDescent="0.35">
      <c r="A741" s="12"/>
      <c r="B741" s="12"/>
      <c r="C741" s="17"/>
      <c r="D741" s="12"/>
      <c r="E741" s="12"/>
      <c r="M741" s="12"/>
      <c r="N741" s="12"/>
    </row>
    <row r="742" spans="1:14" x14ac:dyDescent="0.35">
      <c r="A742" s="12"/>
      <c r="B742" s="12"/>
      <c r="C742" s="17"/>
      <c r="D742" s="12"/>
      <c r="E742" s="12"/>
      <c r="M742" s="12"/>
      <c r="N742" s="12"/>
    </row>
    <row r="743" spans="1:14" x14ac:dyDescent="0.35">
      <c r="A743" s="12"/>
      <c r="B743" s="12"/>
      <c r="C743" s="17"/>
      <c r="D743" s="12"/>
      <c r="E743" s="12"/>
      <c r="M743" s="12"/>
      <c r="N743" s="12"/>
    </row>
    <row r="744" spans="1:14" x14ac:dyDescent="0.35">
      <c r="A744" s="12"/>
      <c r="B744" s="12"/>
      <c r="C744" s="17"/>
      <c r="D744" s="12"/>
      <c r="E744" s="12"/>
      <c r="M744" s="12"/>
      <c r="N744" s="12"/>
    </row>
    <row r="745" spans="1:14" x14ac:dyDescent="0.35">
      <c r="A745" s="12"/>
      <c r="B745" s="12"/>
      <c r="C745" s="17"/>
      <c r="D745" s="12"/>
      <c r="E745" s="12"/>
      <c r="M745" s="12"/>
      <c r="N745" s="12"/>
    </row>
    <row r="746" spans="1:14" x14ac:dyDescent="0.35">
      <c r="A746" s="12"/>
      <c r="B746" s="12"/>
      <c r="C746" s="17"/>
      <c r="D746" s="12"/>
      <c r="E746" s="12"/>
      <c r="M746" s="12"/>
      <c r="N746" s="12"/>
    </row>
    <row r="747" spans="1:14" x14ac:dyDescent="0.35">
      <c r="A747" s="12"/>
      <c r="B747" s="12"/>
      <c r="C747" s="17"/>
      <c r="D747" s="12"/>
      <c r="E747" s="12"/>
      <c r="M747" s="12"/>
      <c r="N747" s="12"/>
    </row>
    <row r="748" spans="1:14" x14ac:dyDescent="0.35">
      <c r="A748" s="12"/>
      <c r="B748" s="12"/>
      <c r="C748" s="17"/>
      <c r="D748" s="12"/>
      <c r="E748" s="12"/>
      <c r="M748" s="12"/>
      <c r="N748" s="12"/>
    </row>
    <row r="749" spans="1:14" x14ac:dyDescent="0.35">
      <c r="A749" s="12"/>
      <c r="B749" s="12"/>
      <c r="C749" s="17"/>
      <c r="D749" s="12"/>
      <c r="E749" s="12"/>
      <c r="M749" s="12"/>
      <c r="N749" s="12"/>
    </row>
    <row r="750" spans="1:14" x14ac:dyDescent="0.35">
      <c r="A750" s="12"/>
      <c r="B750" s="12"/>
      <c r="C750" s="17"/>
      <c r="D750" s="12"/>
      <c r="E750" s="12"/>
      <c r="M750" s="12"/>
      <c r="N750" s="12"/>
    </row>
    <row r="751" spans="1:14" x14ac:dyDescent="0.35">
      <c r="A751" s="12"/>
      <c r="B751" s="12"/>
      <c r="C751" s="17"/>
      <c r="D751" s="12"/>
      <c r="E751" s="12"/>
      <c r="M751" s="12"/>
      <c r="N751" s="12"/>
    </row>
    <row r="752" spans="1:14" x14ac:dyDescent="0.35">
      <c r="A752" s="12"/>
      <c r="B752" s="12"/>
      <c r="C752" s="17"/>
      <c r="D752" s="12"/>
      <c r="E752" s="12"/>
      <c r="M752" s="12"/>
      <c r="N752" s="12"/>
    </row>
    <row r="753" spans="1:14" x14ac:dyDescent="0.35">
      <c r="A753" s="12"/>
      <c r="B753" s="12"/>
      <c r="C753" s="17"/>
      <c r="D753" s="12"/>
      <c r="E753" s="12"/>
      <c r="M753" s="12"/>
      <c r="N753" s="12"/>
    </row>
    <row r="754" spans="1:14" x14ac:dyDescent="0.35">
      <c r="A754" s="12"/>
      <c r="B754" s="12"/>
      <c r="C754" s="17"/>
      <c r="D754" s="12"/>
      <c r="E754" s="12"/>
      <c r="M754" s="12"/>
      <c r="N754" s="12"/>
    </row>
    <row r="755" spans="1:14" x14ac:dyDescent="0.35">
      <c r="A755" s="12"/>
      <c r="B755" s="12"/>
      <c r="C755" s="17"/>
      <c r="D755" s="12"/>
      <c r="E755" s="12"/>
      <c r="M755" s="12"/>
      <c r="N755" s="12"/>
    </row>
    <row r="756" spans="1:14" x14ac:dyDescent="0.35">
      <c r="A756" s="12"/>
      <c r="B756" s="12"/>
      <c r="C756" s="17"/>
      <c r="D756" s="12"/>
      <c r="E756" s="12"/>
      <c r="M756" s="12"/>
      <c r="N756" s="12"/>
    </row>
    <row r="757" spans="1:14" x14ac:dyDescent="0.35">
      <c r="A757" s="12"/>
      <c r="B757" s="12"/>
      <c r="C757" s="17"/>
      <c r="D757" s="12"/>
      <c r="E757" s="12"/>
      <c r="M757" s="12"/>
      <c r="N757" s="12"/>
    </row>
    <row r="758" spans="1:14" x14ac:dyDescent="0.35">
      <c r="A758" s="12"/>
      <c r="B758" s="12"/>
      <c r="C758" s="17"/>
      <c r="D758" s="12"/>
      <c r="E758" s="12"/>
      <c r="M758" s="12"/>
      <c r="N758" s="12"/>
    </row>
    <row r="759" spans="1:14" x14ac:dyDescent="0.35">
      <c r="A759" s="12"/>
      <c r="B759" s="12"/>
      <c r="C759" s="17"/>
      <c r="D759" s="12"/>
      <c r="E759" s="12"/>
      <c r="M759" s="12"/>
      <c r="N759" s="12"/>
    </row>
    <row r="760" spans="1:14" x14ac:dyDescent="0.35">
      <c r="A760" s="12"/>
      <c r="B760" s="12"/>
      <c r="C760" s="17"/>
      <c r="D760" s="12"/>
      <c r="E760" s="12"/>
      <c r="M760" s="12"/>
      <c r="N760" s="12"/>
    </row>
    <row r="761" spans="1:14" x14ac:dyDescent="0.35">
      <c r="A761" s="12"/>
      <c r="B761" s="12"/>
      <c r="C761" s="17"/>
      <c r="D761" s="12"/>
      <c r="E761" s="12"/>
      <c r="M761" s="12"/>
      <c r="N761" s="12"/>
    </row>
    <row r="762" spans="1:14" x14ac:dyDescent="0.35">
      <c r="A762" s="12"/>
      <c r="B762" s="12"/>
      <c r="C762" s="17"/>
      <c r="D762" s="12"/>
      <c r="E762" s="12"/>
      <c r="M762" s="12"/>
      <c r="N762" s="12"/>
    </row>
    <row r="763" spans="1:14" x14ac:dyDescent="0.35">
      <c r="A763" s="12"/>
      <c r="B763" s="12"/>
      <c r="C763" s="17"/>
      <c r="D763" s="12"/>
      <c r="E763" s="12"/>
      <c r="M763" s="12"/>
      <c r="N763" s="12"/>
    </row>
    <row r="764" spans="1:14" x14ac:dyDescent="0.35">
      <c r="A764" s="12"/>
      <c r="B764" s="12"/>
      <c r="C764" s="17"/>
      <c r="D764" s="12"/>
      <c r="E764" s="12"/>
      <c r="M764" s="12"/>
      <c r="N764" s="12"/>
    </row>
    <row r="765" spans="1:14" x14ac:dyDescent="0.35">
      <c r="A765" s="12"/>
      <c r="B765" s="12"/>
      <c r="C765" s="17"/>
      <c r="D765" s="12"/>
      <c r="E765" s="12"/>
      <c r="M765" s="12"/>
      <c r="N765" s="12"/>
    </row>
    <row r="766" spans="1:14" x14ac:dyDescent="0.35">
      <c r="A766" s="12"/>
      <c r="B766" s="12"/>
      <c r="C766" s="17"/>
      <c r="D766" s="12"/>
      <c r="E766" s="12"/>
      <c r="M766" s="12"/>
      <c r="N766" s="12"/>
    </row>
    <row r="767" spans="1:14" x14ac:dyDescent="0.35">
      <c r="A767" s="12"/>
      <c r="B767" s="12"/>
      <c r="C767" s="17"/>
      <c r="D767" s="12"/>
      <c r="E767" s="12"/>
      <c r="M767" s="12"/>
      <c r="N767" s="12"/>
    </row>
    <row r="768" spans="1:14" x14ac:dyDescent="0.35">
      <c r="A768" s="12"/>
      <c r="B768" s="12"/>
      <c r="C768" s="17"/>
      <c r="D768" s="12"/>
      <c r="E768" s="12"/>
      <c r="M768" s="12"/>
      <c r="N768" s="12"/>
    </row>
    <row r="769" spans="1:14" x14ac:dyDescent="0.35">
      <c r="A769" s="12"/>
      <c r="B769" s="12"/>
      <c r="C769" s="17"/>
      <c r="D769" s="12"/>
      <c r="E769" s="12"/>
      <c r="M769" s="12"/>
      <c r="N769" s="12"/>
    </row>
    <row r="770" spans="1:14" x14ac:dyDescent="0.35">
      <c r="A770" s="12"/>
      <c r="B770" s="12"/>
      <c r="C770" s="17"/>
      <c r="D770" s="12"/>
      <c r="E770" s="12"/>
      <c r="M770" s="12"/>
      <c r="N770" s="12"/>
    </row>
    <row r="771" spans="1:14" x14ac:dyDescent="0.35">
      <c r="A771" s="12"/>
      <c r="B771" s="12"/>
      <c r="C771" s="17"/>
      <c r="D771" s="12"/>
      <c r="E771" s="12"/>
      <c r="M771" s="12"/>
      <c r="N771" s="12"/>
    </row>
    <row r="772" spans="1:14" x14ac:dyDescent="0.35">
      <c r="A772" s="12"/>
      <c r="B772" s="12"/>
      <c r="C772" s="17"/>
      <c r="D772" s="12"/>
      <c r="E772" s="12"/>
      <c r="M772" s="12"/>
      <c r="N772" s="12"/>
    </row>
    <row r="773" spans="1:14" x14ac:dyDescent="0.35">
      <c r="A773" s="12"/>
      <c r="B773" s="12"/>
      <c r="C773" s="17"/>
      <c r="D773" s="12"/>
      <c r="E773" s="12"/>
      <c r="M773" s="12"/>
      <c r="N773" s="12"/>
    </row>
    <row r="774" spans="1:14" x14ac:dyDescent="0.35">
      <c r="A774" s="12"/>
      <c r="B774" s="12"/>
      <c r="C774" s="17"/>
      <c r="D774" s="12"/>
      <c r="E774" s="12"/>
      <c r="M774" s="12"/>
      <c r="N774" s="12"/>
    </row>
    <row r="775" spans="1:14" x14ac:dyDescent="0.35">
      <c r="A775" s="12"/>
      <c r="B775" s="12"/>
      <c r="C775" s="17"/>
      <c r="D775" s="12"/>
      <c r="E775" s="12"/>
      <c r="M775" s="12"/>
      <c r="N775" s="12"/>
    </row>
    <row r="776" spans="1:14" x14ac:dyDescent="0.35">
      <c r="A776" s="12"/>
      <c r="B776" s="12"/>
      <c r="C776" s="17"/>
      <c r="D776" s="12"/>
      <c r="E776" s="12"/>
      <c r="M776" s="12"/>
      <c r="N776" s="12"/>
    </row>
    <row r="777" spans="1:14" x14ac:dyDescent="0.35">
      <c r="A777" s="12"/>
      <c r="B777" s="12"/>
      <c r="C777" s="17"/>
      <c r="D777" s="12"/>
      <c r="E777" s="12"/>
      <c r="M777" s="12"/>
      <c r="N777" s="12"/>
    </row>
    <row r="778" spans="1:14" x14ac:dyDescent="0.35">
      <c r="A778" s="12"/>
      <c r="B778" s="12"/>
      <c r="C778" s="17"/>
      <c r="D778" s="12"/>
      <c r="E778" s="12"/>
      <c r="M778" s="12"/>
      <c r="N778" s="12"/>
    </row>
    <row r="779" spans="1:14" x14ac:dyDescent="0.35">
      <c r="A779" s="12"/>
      <c r="B779" s="12"/>
      <c r="C779" s="17"/>
      <c r="D779" s="12"/>
      <c r="E779" s="12"/>
      <c r="M779" s="12"/>
      <c r="N779" s="12"/>
    </row>
    <row r="780" spans="1:14" x14ac:dyDescent="0.35">
      <c r="A780" s="12"/>
      <c r="B780" s="12"/>
      <c r="C780" s="17"/>
      <c r="D780" s="12"/>
      <c r="E780" s="12"/>
      <c r="M780" s="12"/>
      <c r="N780" s="12"/>
    </row>
    <row r="781" spans="1:14" x14ac:dyDescent="0.35">
      <c r="A781" s="12"/>
      <c r="B781" s="12"/>
      <c r="C781" s="17"/>
      <c r="D781" s="12"/>
      <c r="E781" s="12"/>
      <c r="M781" s="12"/>
      <c r="N781" s="12"/>
    </row>
    <row r="782" spans="1:14" x14ac:dyDescent="0.35">
      <c r="A782" s="12"/>
      <c r="B782" s="12"/>
      <c r="C782" s="17"/>
      <c r="D782" s="12"/>
      <c r="E782" s="12"/>
      <c r="M782" s="12"/>
      <c r="N782" s="12"/>
    </row>
    <row r="783" spans="1:14" x14ac:dyDescent="0.35">
      <c r="A783" s="12"/>
      <c r="B783" s="12"/>
      <c r="C783" s="17"/>
      <c r="D783" s="12"/>
      <c r="E783" s="12"/>
      <c r="M783" s="12"/>
      <c r="N783" s="12"/>
    </row>
    <row r="784" spans="1:14" x14ac:dyDescent="0.35">
      <c r="A784" s="12"/>
      <c r="B784" s="12"/>
      <c r="C784" s="17"/>
      <c r="D784" s="12"/>
      <c r="E784" s="12"/>
      <c r="M784" s="12"/>
      <c r="N784" s="12"/>
    </row>
    <row r="785" spans="1:14" x14ac:dyDescent="0.35">
      <c r="A785" s="12"/>
      <c r="B785" s="12"/>
      <c r="C785" s="17"/>
      <c r="D785" s="12"/>
      <c r="E785" s="12"/>
      <c r="M785" s="12"/>
      <c r="N785" s="12"/>
    </row>
    <row r="786" spans="1:14" x14ac:dyDescent="0.35">
      <c r="A786" s="12"/>
      <c r="B786" s="12"/>
      <c r="C786" s="17"/>
      <c r="D786" s="12"/>
      <c r="E786" s="12"/>
      <c r="M786" s="12"/>
      <c r="N786" s="12"/>
    </row>
    <row r="787" spans="1:14" x14ac:dyDescent="0.35">
      <c r="A787" s="12"/>
      <c r="B787" s="12"/>
      <c r="C787" s="17"/>
      <c r="D787" s="12"/>
      <c r="E787" s="12"/>
      <c r="M787" s="12"/>
      <c r="N787" s="12"/>
    </row>
    <row r="788" spans="1:14" x14ac:dyDescent="0.35">
      <c r="A788" s="12"/>
      <c r="B788" s="12"/>
      <c r="C788" s="17"/>
      <c r="D788" s="12"/>
      <c r="E788" s="12"/>
      <c r="M788" s="12"/>
      <c r="N788" s="12"/>
    </row>
    <row r="789" spans="1:14" x14ac:dyDescent="0.35">
      <c r="A789" s="12"/>
      <c r="B789" s="12"/>
      <c r="C789" s="17"/>
      <c r="D789" s="12"/>
      <c r="E789" s="12"/>
      <c r="M789" s="12"/>
      <c r="N789" s="12"/>
    </row>
    <row r="790" spans="1:14" x14ac:dyDescent="0.35">
      <c r="A790" s="12"/>
      <c r="B790" s="12"/>
      <c r="C790" s="17"/>
      <c r="D790" s="12"/>
      <c r="E790" s="12"/>
      <c r="M790" s="12"/>
      <c r="N790" s="12"/>
    </row>
    <row r="791" spans="1:14" x14ac:dyDescent="0.35">
      <c r="A791" s="12"/>
      <c r="B791" s="12"/>
      <c r="C791" s="17"/>
      <c r="D791" s="12"/>
      <c r="E791" s="12"/>
      <c r="M791" s="12"/>
      <c r="N791" s="12"/>
    </row>
    <row r="792" spans="1:14" x14ac:dyDescent="0.35">
      <c r="A792" s="12"/>
      <c r="B792" s="12"/>
      <c r="C792" s="17"/>
      <c r="D792" s="12"/>
      <c r="E792" s="12"/>
      <c r="M792" s="12"/>
      <c r="N792" s="12"/>
    </row>
    <row r="793" spans="1:14" x14ac:dyDescent="0.35">
      <c r="A793" s="12"/>
      <c r="B793" s="12"/>
      <c r="C793" s="17"/>
      <c r="D793" s="12"/>
      <c r="E793" s="12"/>
      <c r="M793" s="12"/>
      <c r="N793" s="12"/>
    </row>
    <row r="794" spans="1:14" x14ac:dyDescent="0.35">
      <c r="A794" s="12"/>
      <c r="B794" s="12"/>
      <c r="C794" s="17"/>
      <c r="D794" s="12"/>
      <c r="E794" s="12"/>
      <c r="M794" s="12"/>
      <c r="N794" s="12"/>
    </row>
    <row r="795" spans="1:14" x14ac:dyDescent="0.35">
      <c r="A795" s="12"/>
      <c r="B795" s="12"/>
      <c r="C795" s="17"/>
      <c r="D795" s="12"/>
      <c r="E795" s="12"/>
      <c r="M795" s="12"/>
      <c r="N795" s="12"/>
    </row>
    <row r="796" spans="1:14" x14ac:dyDescent="0.35">
      <c r="A796" s="12"/>
      <c r="B796" s="12"/>
      <c r="C796" s="17"/>
      <c r="D796" s="12"/>
      <c r="E796" s="12"/>
      <c r="M796" s="12"/>
      <c r="N796" s="12"/>
    </row>
    <row r="797" spans="1:14" x14ac:dyDescent="0.35">
      <c r="A797" s="12"/>
      <c r="B797" s="12"/>
      <c r="C797" s="17"/>
      <c r="D797" s="12"/>
      <c r="E797" s="12"/>
      <c r="M797" s="12"/>
      <c r="N797" s="12"/>
    </row>
    <row r="798" spans="1:14" x14ac:dyDescent="0.35">
      <c r="A798" s="12"/>
      <c r="B798" s="12"/>
      <c r="C798" s="17"/>
      <c r="D798" s="12"/>
      <c r="E798" s="12"/>
      <c r="M798" s="12"/>
      <c r="N798" s="12"/>
    </row>
    <row r="799" spans="1:14" x14ac:dyDescent="0.35">
      <c r="A799" s="12"/>
      <c r="B799" s="12"/>
      <c r="C799" s="17"/>
      <c r="D799" s="12"/>
      <c r="E799" s="12"/>
      <c r="M799" s="12"/>
      <c r="N799" s="12"/>
    </row>
    <row r="800" spans="1:14" x14ac:dyDescent="0.35">
      <c r="A800" s="12"/>
      <c r="B800" s="12"/>
      <c r="C800" s="17"/>
      <c r="D800" s="12"/>
      <c r="E800" s="12"/>
      <c r="M800" s="12"/>
      <c r="N800" s="12"/>
    </row>
    <row r="801" spans="1:14" x14ac:dyDescent="0.35">
      <c r="A801" s="12"/>
      <c r="B801" s="12"/>
      <c r="C801" s="17"/>
      <c r="D801" s="12"/>
      <c r="E801" s="12"/>
      <c r="M801" s="12"/>
      <c r="N801" s="12"/>
    </row>
    <row r="802" spans="1:14" x14ac:dyDescent="0.35">
      <c r="A802" s="12"/>
      <c r="B802" s="12"/>
      <c r="C802" s="17"/>
      <c r="D802" s="12"/>
      <c r="E802" s="12"/>
      <c r="M802" s="12"/>
      <c r="N802" s="12"/>
    </row>
    <row r="803" spans="1:14" x14ac:dyDescent="0.35">
      <c r="A803" s="12"/>
      <c r="B803" s="12"/>
      <c r="C803" s="17"/>
      <c r="D803" s="12"/>
      <c r="E803" s="12"/>
      <c r="M803" s="12"/>
      <c r="N803" s="12"/>
    </row>
    <row r="804" spans="1:14" x14ac:dyDescent="0.35">
      <c r="A804" s="12"/>
      <c r="B804" s="12"/>
      <c r="C804" s="17"/>
      <c r="D804" s="12"/>
      <c r="E804" s="12"/>
      <c r="M804" s="12"/>
      <c r="N804" s="12"/>
    </row>
    <row r="805" spans="1:14" x14ac:dyDescent="0.35">
      <c r="A805" s="12"/>
      <c r="B805" s="12"/>
      <c r="C805" s="17"/>
      <c r="D805" s="12"/>
      <c r="E805" s="12"/>
      <c r="M805" s="12"/>
      <c r="N805" s="12"/>
    </row>
    <row r="806" spans="1:14" x14ac:dyDescent="0.35">
      <c r="A806" s="12"/>
      <c r="B806" s="12"/>
      <c r="C806" s="17"/>
      <c r="D806" s="12"/>
      <c r="E806" s="12"/>
      <c r="M806" s="12"/>
      <c r="N806" s="12"/>
    </row>
    <row r="807" spans="1:14" x14ac:dyDescent="0.35">
      <c r="A807" s="12"/>
      <c r="B807" s="12"/>
      <c r="C807" s="17"/>
      <c r="D807" s="12"/>
      <c r="E807" s="12"/>
      <c r="M807" s="12"/>
      <c r="N807" s="12"/>
    </row>
    <row r="808" spans="1:14" x14ac:dyDescent="0.35">
      <c r="A808" s="12"/>
      <c r="B808" s="12"/>
      <c r="C808" s="17"/>
      <c r="D808" s="12"/>
      <c r="E808" s="12"/>
      <c r="M808" s="12"/>
      <c r="N808" s="12"/>
    </row>
    <row r="809" spans="1:14" x14ac:dyDescent="0.35">
      <c r="A809" s="12"/>
      <c r="B809" s="12"/>
      <c r="C809" s="17"/>
      <c r="D809" s="12"/>
      <c r="E809" s="12"/>
      <c r="M809" s="12"/>
      <c r="N809" s="12"/>
    </row>
    <row r="810" spans="1:14" x14ac:dyDescent="0.35">
      <c r="A810" s="12"/>
      <c r="B810" s="12"/>
      <c r="C810" s="17"/>
      <c r="D810" s="12"/>
      <c r="E810" s="12"/>
      <c r="M810" s="12"/>
      <c r="N810" s="12"/>
    </row>
    <row r="811" spans="1:14" x14ac:dyDescent="0.35">
      <c r="A811" s="12"/>
      <c r="B811" s="12"/>
      <c r="C811" s="17"/>
      <c r="D811" s="12"/>
      <c r="E811" s="12"/>
      <c r="M811" s="12"/>
      <c r="N811" s="12"/>
    </row>
    <row r="812" spans="1:14" x14ac:dyDescent="0.35">
      <c r="A812" s="12"/>
      <c r="B812" s="12"/>
      <c r="C812" s="17"/>
      <c r="D812" s="12"/>
      <c r="E812" s="12"/>
      <c r="M812" s="12"/>
      <c r="N812" s="12"/>
    </row>
    <row r="813" spans="1:14" x14ac:dyDescent="0.35">
      <c r="A813" s="12"/>
      <c r="B813" s="12"/>
      <c r="C813" s="17"/>
      <c r="D813" s="12"/>
      <c r="E813" s="12"/>
      <c r="M813" s="12"/>
      <c r="N813" s="12"/>
    </row>
    <row r="814" spans="1:14" x14ac:dyDescent="0.35">
      <c r="A814" s="12"/>
      <c r="B814" s="12"/>
      <c r="C814" s="17"/>
      <c r="D814" s="12"/>
      <c r="E814" s="12"/>
      <c r="M814" s="12"/>
      <c r="N814" s="12"/>
    </row>
    <row r="815" spans="1:14" x14ac:dyDescent="0.35">
      <c r="A815" s="12"/>
      <c r="B815" s="12"/>
      <c r="C815" s="17"/>
      <c r="D815" s="12"/>
      <c r="E815" s="12"/>
      <c r="M815" s="12"/>
      <c r="N815" s="12"/>
    </row>
    <row r="816" spans="1:14" x14ac:dyDescent="0.35">
      <c r="A816" s="12"/>
      <c r="B816" s="12"/>
      <c r="C816" s="17"/>
      <c r="D816" s="12"/>
      <c r="E816" s="12"/>
      <c r="M816" s="12"/>
      <c r="N816" s="12"/>
    </row>
    <row r="817" spans="1:14" x14ac:dyDescent="0.35">
      <c r="A817" s="12"/>
      <c r="B817" s="12"/>
      <c r="C817" s="17"/>
      <c r="D817" s="12"/>
      <c r="E817" s="12"/>
      <c r="M817" s="12"/>
      <c r="N817" s="12"/>
    </row>
    <row r="818" spans="1:14" x14ac:dyDescent="0.35">
      <c r="A818" s="12"/>
      <c r="B818" s="12"/>
      <c r="C818" s="17"/>
      <c r="D818" s="12"/>
      <c r="E818" s="12"/>
      <c r="M818" s="12"/>
      <c r="N818" s="12"/>
    </row>
    <row r="819" spans="1:14" x14ac:dyDescent="0.35">
      <c r="A819" s="12"/>
      <c r="B819" s="12"/>
      <c r="C819" s="17"/>
      <c r="D819" s="12"/>
      <c r="E819" s="12"/>
      <c r="M819" s="12"/>
      <c r="N819" s="12"/>
    </row>
    <row r="820" spans="1:14" x14ac:dyDescent="0.35">
      <c r="A820" s="12"/>
      <c r="B820" s="12"/>
      <c r="C820" s="17"/>
      <c r="D820" s="12"/>
      <c r="E820" s="12"/>
      <c r="M820" s="12"/>
      <c r="N820" s="12"/>
    </row>
    <row r="821" spans="1:14" x14ac:dyDescent="0.35">
      <c r="A821" s="12"/>
      <c r="B821" s="12"/>
      <c r="C821" s="17"/>
      <c r="D821" s="12"/>
      <c r="E821" s="12"/>
      <c r="M821" s="12"/>
      <c r="N821" s="12"/>
    </row>
    <row r="822" spans="1:14" x14ac:dyDescent="0.35">
      <c r="A822" s="12"/>
      <c r="B822" s="12"/>
      <c r="C822" s="17"/>
      <c r="D822" s="12"/>
      <c r="E822" s="12"/>
      <c r="M822" s="12"/>
      <c r="N822" s="12"/>
    </row>
    <row r="823" spans="1:14" x14ac:dyDescent="0.35">
      <c r="A823" s="12"/>
      <c r="B823" s="12"/>
      <c r="C823" s="17"/>
      <c r="D823" s="12"/>
      <c r="E823" s="12"/>
      <c r="M823" s="12"/>
      <c r="N823" s="12"/>
    </row>
    <row r="824" spans="1:14" x14ac:dyDescent="0.35">
      <c r="A824" s="12"/>
      <c r="B824" s="12"/>
      <c r="C824" s="17"/>
      <c r="D824" s="12"/>
      <c r="E824" s="12"/>
      <c r="M824" s="12"/>
      <c r="N824" s="12"/>
    </row>
    <row r="825" spans="1:14" x14ac:dyDescent="0.35">
      <c r="A825" s="12"/>
      <c r="B825" s="12"/>
      <c r="C825" s="17"/>
      <c r="D825" s="12"/>
      <c r="E825" s="12"/>
      <c r="M825" s="12"/>
      <c r="N825" s="12"/>
    </row>
    <row r="826" spans="1:14" x14ac:dyDescent="0.35">
      <c r="A826" s="12"/>
      <c r="B826" s="12"/>
      <c r="C826" s="17"/>
      <c r="D826" s="12"/>
      <c r="E826" s="12"/>
      <c r="M826" s="12"/>
      <c r="N826" s="12"/>
    </row>
    <row r="827" spans="1:14" x14ac:dyDescent="0.35">
      <c r="A827" s="12"/>
      <c r="B827" s="12"/>
      <c r="C827" s="17"/>
      <c r="D827" s="12"/>
      <c r="E827" s="12"/>
      <c r="M827" s="12"/>
      <c r="N827" s="12"/>
    </row>
    <row r="828" spans="1:14" x14ac:dyDescent="0.35">
      <c r="A828" s="12"/>
      <c r="B828" s="12"/>
      <c r="C828" s="17"/>
      <c r="D828" s="12"/>
      <c r="E828" s="12"/>
      <c r="M828" s="12"/>
      <c r="N828" s="12"/>
    </row>
    <row r="829" spans="1:14" x14ac:dyDescent="0.35">
      <c r="A829" s="12"/>
      <c r="B829" s="12"/>
      <c r="C829" s="17"/>
      <c r="D829" s="12"/>
      <c r="E829" s="12"/>
      <c r="M829" s="12"/>
      <c r="N829" s="12"/>
    </row>
    <row r="830" spans="1:14" x14ac:dyDescent="0.35">
      <c r="A830" s="12"/>
      <c r="B830" s="12"/>
      <c r="C830" s="17"/>
      <c r="D830" s="12"/>
      <c r="E830" s="12"/>
      <c r="M830" s="12"/>
      <c r="N830" s="12"/>
    </row>
    <row r="831" spans="1:14" x14ac:dyDescent="0.35">
      <c r="A831" s="12"/>
      <c r="B831" s="12"/>
      <c r="C831" s="17"/>
      <c r="D831" s="12"/>
      <c r="E831" s="12"/>
      <c r="M831" s="12"/>
      <c r="N831" s="12"/>
    </row>
    <row r="832" spans="1:14" x14ac:dyDescent="0.35">
      <c r="A832" s="12"/>
      <c r="B832" s="12"/>
      <c r="C832" s="17"/>
      <c r="D832" s="12"/>
      <c r="E832" s="12"/>
      <c r="M832" s="12"/>
      <c r="N832" s="12"/>
    </row>
    <row r="833" spans="1:14" x14ac:dyDescent="0.35">
      <c r="A833" s="12"/>
      <c r="B833" s="12"/>
      <c r="C833" s="17"/>
      <c r="D833" s="12"/>
      <c r="E833" s="12"/>
      <c r="M833" s="12"/>
      <c r="N833" s="12"/>
    </row>
    <row r="834" spans="1:14" x14ac:dyDescent="0.35">
      <c r="A834" s="12"/>
      <c r="B834" s="12"/>
      <c r="C834" s="17"/>
      <c r="D834" s="12"/>
      <c r="E834" s="12"/>
      <c r="M834" s="12"/>
      <c r="N834" s="12"/>
    </row>
    <row r="835" spans="1:14" x14ac:dyDescent="0.35">
      <c r="A835" s="12"/>
      <c r="B835" s="12"/>
      <c r="C835" s="17"/>
      <c r="D835" s="12"/>
      <c r="E835" s="12"/>
      <c r="M835" s="12"/>
      <c r="N835" s="12"/>
    </row>
    <row r="836" spans="1:14" x14ac:dyDescent="0.35">
      <c r="A836" s="12"/>
      <c r="B836" s="12"/>
      <c r="C836" s="17"/>
      <c r="D836" s="12"/>
      <c r="E836" s="12"/>
      <c r="M836" s="12"/>
      <c r="N836" s="12"/>
    </row>
    <row r="837" spans="1:14" x14ac:dyDescent="0.35">
      <c r="A837" s="12"/>
      <c r="B837" s="12"/>
      <c r="C837" s="17"/>
      <c r="D837" s="12"/>
      <c r="E837" s="12"/>
      <c r="M837" s="12"/>
      <c r="N837" s="12"/>
    </row>
    <row r="838" spans="1:14" x14ac:dyDescent="0.35">
      <c r="A838" s="12"/>
      <c r="B838" s="12"/>
      <c r="C838" s="17"/>
      <c r="D838" s="12"/>
      <c r="E838" s="12"/>
      <c r="M838" s="12"/>
      <c r="N838" s="12"/>
    </row>
    <row r="839" spans="1:14" x14ac:dyDescent="0.35">
      <c r="A839" s="12"/>
      <c r="B839" s="12"/>
      <c r="C839" s="17"/>
      <c r="D839" s="12"/>
      <c r="E839" s="12"/>
      <c r="M839" s="12"/>
      <c r="N839" s="12"/>
    </row>
    <row r="840" spans="1:14" x14ac:dyDescent="0.35">
      <c r="A840" s="12"/>
      <c r="B840" s="12"/>
      <c r="C840" s="17"/>
      <c r="D840" s="12"/>
      <c r="E840" s="12"/>
      <c r="M840" s="12"/>
      <c r="N840" s="12"/>
    </row>
    <row r="841" spans="1:14" x14ac:dyDescent="0.35">
      <c r="A841" s="12"/>
      <c r="B841" s="12"/>
      <c r="C841" s="17"/>
      <c r="D841" s="12"/>
      <c r="E841" s="12"/>
      <c r="M841" s="12"/>
      <c r="N841" s="12"/>
    </row>
    <row r="842" spans="1:14" x14ac:dyDescent="0.35">
      <c r="A842" s="12"/>
      <c r="B842" s="12"/>
      <c r="C842" s="17"/>
      <c r="D842" s="12"/>
      <c r="E842" s="12"/>
      <c r="M842" s="12"/>
      <c r="N842" s="12"/>
    </row>
    <row r="843" spans="1:14" x14ac:dyDescent="0.35">
      <c r="A843" s="12"/>
      <c r="B843" s="12"/>
      <c r="C843" s="17"/>
      <c r="D843" s="12"/>
      <c r="E843" s="12"/>
      <c r="M843" s="12"/>
      <c r="N843" s="12"/>
    </row>
    <row r="844" spans="1:14" x14ac:dyDescent="0.35">
      <c r="A844" s="12"/>
      <c r="B844" s="12"/>
      <c r="C844" s="17"/>
      <c r="D844" s="12"/>
      <c r="E844" s="12"/>
      <c r="M844" s="12"/>
      <c r="N844" s="12"/>
    </row>
    <row r="845" spans="1:14" x14ac:dyDescent="0.35">
      <c r="A845" s="12"/>
      <c r="B845" s="12"/>
      <c r="C845" s="17"/>
      <c r="D845" s="12"/>
      <c r="E845" s="12"/>
      <c r="M845" s="12"/>
      <c r="N845" s="12"/>
    </row>
    <row r="846" spans="1:14" x14ac:dyDescent="0.35">
      <c r="A846" s="12"/>
      <c r="B846" s="12"/>
      <c r="C846" s="17"/>
      <c r="D846" s="12"/>
      <c r="E846" s="12"/>
      <c r="M846" s="12"/>
      <c r="N846" s="12"/>
    </row>
    <row r="847" spans="1:14" x14ac:dyDescent="0.35">
      <c r="A847" s="12"/>
      <c r="B847" s="12"/>
      <c r="C847" s="17"/>
      <c r="D847" s="12"/>
      <c r="E847" s="12"/>
      <c r="M847" s="12"/>
      <c r="N847" s="12"/>
    </row>
    <row r="848" spans="1:14" x14ac:dyDescent="0.35">
      <c r="A848" s="12"/>
      <c r="B848" s="12"/>
      <c r="C848" s="17"/>
      <c r="D848" s="12"/>
      <c r="E848" s="12"/>
      <c r="M848" s="12"/>
      <c r="N848" s="12"/>
    </row>
    <row r="849" spans="1:14" x14ac:dyDescent="0.35">
      <c r="A849" s="12"/>
      <c r="B849" s="12"/>
      <c r="C849" s="17"/>
      <c r="D849" s="12"/>
      <c r="E849" s="12"/>
      <c r="M849" s="12"/>
      <c r="N849" s="12"/>
    </row>
    <row r="850" spans="1:14" x14ac:dyDescent="0.35">
      <c r="A850" s="12"/>
      <c r="B850" s="12"/>
      <c r="C850" s="17"/>
      <c r="D850" s="12"/>
      <c r="E850" s="12"/>
      <c r="M850" s="12"/>
      <c r="N850" s="12"/>
    </row>
    <row r="851" spans="1:14" x14ac:dyDescent="0.35">
      <c r="A851" s="12"/>
      <c r="B851" s="12"/>
      <c r="C851" s="17"/>
      <c r="D851" s="12"/>
      <c r="E851" s="12"/>
      <c r="M851" s="12"/>
      <c r="N851" s="12"/>
    </row>
    <row r="852" spans="1:14" x14ac:dyDescent="0.35">
      <c r="A852" s="12"/>
      <c r="B852" s="12"/>
      <c r="C852" s="17"/>
      <c r="D852" s="12"/>
      <c r="E852" s="12"/>
      <c r="M852" s="12"/>
      <c r="N852" s="12"/>
    </row>
    <row r="853" spans="1:14" x14ac:dyDescent="0.35">
      <c r="A853" s="12"/>
      <c r="B853" s="12"/>
      <c r="C853" s="17"/>
      <c r="D853" s="12"/>
      <c r="E853" s="12"/>
      <c r="M853" s="12"/>
      <c r="N853" s="12"/>
    </row>
    <row r="854" spans="1:14" x14ac:dyDescent="0.35">
      <c r="A854" s="12"/>
      <c r="B854" s="12"/>
      <c r="C854" s="17"/>
      <c r="D854" s="12"/>
      <c r="E854" s="12"/>
      <c r="M854" s="12"/>
      <c r="N854" s="12"/>
    </row>
    <row r="855" spans="1:14" x14ac:dyDescent="0.35">
      <c r="A855" s="12"/>
      <c r="B855" s="12"/>
      <c r="C855" s="17"/>
      <c r="D855" s="12"/>
      <c r="E855" s="12"/>
      <c r="M855" s="12"/>
      <c r="N855" s="12"/>
    </row>
    <row r="856" spans="1:14" x14ac:dyDescent="0.35">
      <c r="A856" s="12"/>
      <c r="B856" s="12"/>
      <c r="C856" s="17"/>
      <c r="D856" s="12"/>
      <c r="E856" s="12"/>
      <c r="M856" s="12"/>
      <c r="N856" s="12"/>
    </row>
    <row r="857" spans="1:14" x14ac:dyDescent="0.35">
      <c r="A857" s="12"/>
      <c r="B857" s="12"/>
      <c r="C857" s="17"/>
      <c r="D857" s="12"/>
      <c r="E857" s="12"/>
      <c r="M857" s="12"/>
      <c r="N857" s="12"/>
    </row>
    <row r="858" spans="1:14" x14ac:dyDescent="0.35">
      <c r="A858" s="12"/>
      <c r="B858" s="12"/>
      <c r="C858" s="17"/>
      <c r="D858" s="12"/>
      <c r="E858" s="12"/>
      <c r="M858" s="12"/>
      <c r="N858" s="12"/>
    </row>
    <row r="859" spans="1:14" x14ac:dyDescent="0.35">
      <c r="A859" s="12"/>
      <c r="B859" s="12"/>
      <c r="C859" s="17"/>
      <c r="D859" s="12"/>
      <c r="E859" s="12"/>
      <c r="M859" s="12"/>
      <c r="N859" s="12"/>
    </row>
    <row r="860" spans="1:14" x14ac:dyDescent="0.35">
      <c r="A860" s="12"/>
      <c r="B860" s="12"/>
      <c r="C860" s="17"/>
      <c r="D860" s="12"/>
      <c r="E860" s="12"/>
      <c r="M860" s="12"/>
      <c r="N860" s="12"/>
    </row>
    <row r="861" spans="1:14" x14ac:dyDescent="0.35">
      <c r="A861" s="12"/>
      <c r="B861" s="12"/>
      <c r="C861" s="17"/>
      <c r="D861" s="12"/>
      <c r="E861" s="12"/>
      <c r="M861" s="12"/>
      <c r="N861" s="12"/>
    </row>
    <row r="862" spans="1:14" x14ac:dyDescent="0.35">
      <c r="A862" s="12"/>
      <c r="B862" s="12"/>
      <c r="C862" s="17"/>
      <c r="D862" s="12"/>
      <c r="E862" s="12"/>
      <c r="M862" s="12"/>
      <c r="N862" s="12"/>
    </row>
    <row r="863" spans="1:14" x14ac:dyDescent="0.35">
      <c r="A863" s="12"/>
      <c r="B863" s="12"/>
      <c r="C863" s="17"/>
      <c r="D863" s="12"/>
      <c r="E863" s="12"/>
      <c r="M863" s="12"/>
      <c r="N863" s="12"/>
    </row>
    <row r="864" spans="1:14" x14ac:dyDescent="0.35">
      <c r="A864" s="12"/>
      <c r="B864" s="12"/>
      <c r="C864" s="17"/>
      <c r="D864" s="12"/>
      <c r="E864" s="12"/>
      <c r="M864" s="12"/>
      <c r="N864" s="12"/>
    </row>
    <row r="865" spans="1:14" x14ac:dyDescent="0.35">
      <c r="A865" s="12"/>
      <c r="B865" s="12"/>
      <c r="C865" s="17"/>
      <c r="D865" s="12"/>
      <c r="E865" s="12"/>
      <c r="M865" s="12"/>
      <c r="N865" s="12"/>
    </row>
    <row r="866" spans="1:14" x14ac:dyDescent="0.35">
      <c r="A866" s="12"/>
      <c r="B866" s="12"/>
      <c r="C866" s="17"/>
      <c r="D866" s="12"/>
      <c r="E866" s="12"/>
      <c r="M866" s="12"/>
      <c r="N866" s="12"/>
    </row>
    <row r="867" spans="1:14" x14ac:dyDescent="0.35">
      <c r="A867" s="12"/>
      <c r="B867" s="12"/>
      <c r="C867" s="17"/>
      <c r="D867" s="12"/>
      <c r="E867" s="12"/>
      <c r="M867" s="12"/>
      <c r="N867" s="12"/>
    </row>
    <row r="868" spans="1:14" x14ac:dyDescent="0.35">
      <c r="A868" s="12"/>
      <c r="B868" s="12"/>
      <c r="C868" s="17"/>
      <c r="D868" s="12"/>
      <c r="E868" s="12"/>
      <c r="M868" s="12"/>
      <c r="N868" s="12"/>
    </row>
    <row r="869" spans="1:14" x14ac:dyDescent="0.35">
      <c r="A869" s="12"/>
      <c r="B869" s="12"/>
      <c r="C869" s="17"/>
      <c r="D869" s="12"/>
      <c r="E869" s="12"/>
      <c r="M869" s="12"/>
      <c r="N869" s="12"/>
    </row>
    <row r="870" spans="1:14" x14ac:dyDescent="0.35">
      <c r="A870" s="12"/>
      <c r="B870" s="12"/>
      <c r="C870" s="17"/>
      <c r="D870" s="12"/>
      <c r="E870" s="12"/>
      <c r="M870" s="12"/>
      <c r="N870" s="12"/>
    </row>
    <row r="871" spans="1:14" x14ac:dyDescent="0.35">
      <c r="A871" s="12"/>
      <c r="B871" s="12"/>
      <c r="C871" s="17"/>
      <c r="D871" s="12"/>
      <c r="E871" s="12"/>
      <c r="M871" s="12"/>
      <c r="N871" s="12"/>
    </row>
    <row r="872" spans="1:14" x14ac:dyDescent="0.35">
      <c r="A872" s="12"/>
      <c r="B872" s="12"/>
      <c r="C872" s="17"/>
      <c r="D872" s="12"/>
      <c r="E872" s="12"/>
      <c r="M872" s="12"/>
      <c r="N872" s="12"/>
    </row>
    <row r="873" spans="1:14" x14ac:dyDescent="0.35">
      <c r="A873" s="12"/>
      <c r="B873" s="12"/>
      <c r="C873" s="17"/>
      <c r="D873" s="12"/>
      <c r="E873" s="12"/>
      <c r="M873" s="12"/>
      <c r="N873" s="12"/>
    </row>
    <row r="874" spans="1:14" x14ac:dyDescent="0.35">
      <c r="A874" s="12"/>
      <c r="B874" s="12"/>
      <c r="C874" s="17"/>
      <c r="D874" s="12"/>
      <c r="E874" s="12"/>
      <c r="M874" s="12"/>
      <c r="N874" s="12"/>
    </row>
    <row r="875" spans="1:14" x14ac:dyDescent="0.35">
      <c r="A875" s="12"/>
      <c r="B875" s="12"/>
      <c r="C875" s="17"/>
      <c r="D875" s="12"/>
      <c r="E875" s="12"/>
      <c r="M875" s="12"/>
      <c r="N875" s="12"/>
    </row>
    <row r="876" spans="1:14" x14ac:dyDescent="0.35">
      <c r="A876" s="12"/>
      <c r="B876" s="12"/>
      <c r="C876" s="17"/>
      <c r="D876" s="12"/>
      <c r="E876" s="12"/>
      <c r="M876" s="12"/>
      <c r="N876" s="12"/>
    </row>
    <row r="877" spans="1:14" x14ac:dyDescent="0.35">
      <c r="A877" s="12"/>
      <c r="B877" s="12"/>
      <c r="C877" s="17"/>
      <c r="D877" s="12"/>
      <c r="E877" s="12"/>
      <c r="M877" s="12"/>
      <c r="N877" s="12"/>
    </row>
    <row r="878" spans="1:14" x14ac:dyDescent="0.35">
      <c r="A878" s="12"/>
      <c r="B878" s="12"/>
      <c r="C878" s="17"/>
      <c r="D878" s="12"/>
      <c r="E878" s="12"/>
      <c r="M878" s="12"/>
      <c r="N878" s="12"/>
    </row>
    <row r="879" spans="1:14" x14ac:dyDescent="0.35">
      <c r="A879" s="12"/>
      <c r="B879" s="12"/>
      <c r="C879" s="17"/>
      <c r="D879" s="12"/>
      <c r="E879" s="12"/>
      <c r="M879" s="12"/>
      <c r="N879" s="12"/>
    </row>
    <row r="880" spans="1:14" x14ac:dyDescent="0.35">
      <c r="A880" s="12"/>
      <c r="B880" s="12"/>
      <c r="C880" s="17"/>
      <c r="D880" s="12"/>
      <c r="E880" s="12"/>
      <c r="M880" s="12"/>
      <c r="N880" s="12"/>
    </row>
    <row r="881" spans="1:14" x14ac:dyDescent="0.35">
      <c r="A881" s="12"/>
      <c r="B881" s="12"/>
      <c r="C881" s="17"/>
      <c r="D881" s="12"/>
      <c r="E881" s="12"/>
      <c r="M881" s="12"/>
      <c r="N881" s="12"/>
    </row>
    <row r="882" spans="1:14" x14ac:dyDescent="0.35">
      <c r="A882" s="12"/>
      <c r="B882" s="12"/>
      <c r="C882" s="17"/>
      <c r="D882" s="12"/>
      <c r="E882" s="12"/>
      <c r="M882" s="12"/>
      <c r="N882" s="12"/>
    </row>
    <row r="883" spans="1:14" x14ac:dyDescent="0.35">
      <c r="A883" s="12"/>
      <c r="B883" s="12"/>
      <c r="C883" s="17"/>
      <c r="D883" s="12"/>
      <c r="E883" s="12"/>
      <c r="M883" s="12"/>
      <c r="N883" s="12"/>
    </row>
    <row r="884" spans="1:14" x14ac:dyDescent="0.35">
      <c r="A884" s="12"/>
      <c r="B884" s="12"/>
      <c r="C884" s="17"/>
      <c r="D884" s="12"/>
      <c r="E884" s="12"/>
      <c r="M884" s="12"/>
      <c r="N884" s="12"/>
    </row>
    <row r="885" spans="1:14" x14ac:dyDescent="0.35">
      <c r="A885" s="12"/>
      <c r="B885" s="12"/>
      <c r="C885" s="17"/>
      <c r="D885" s="12"/>
      <c r="E885" s="12"/>
      <c r="M885" s="12"/>
      <c r="N885" s="12"/>
    </row>
    <row r="886" spans="1:14" x14ac:dyDescent="0.35">
      <c r="A886" s="12"/>
      <c r="B886" s="12"/>
      <c r="C886" s="17"/>
      <c r="D886" s="12"/>
      <c r="E886" s="12"/>
      <c r="M886" s="12"/>
      <c r="N886" s="12"/>
    </row>
    <row r="887" spans="1:14" x14ac:dyDescent="0.35">
      <c r="A887" s="12"/>
      <c r="B887" s="12"/>
      <c r="C887" s="17"/>
      <c r="D887" s="12"/>
      <c r="E887" s="12"/>
      <c r="M887" s="12"/>
      <c r="N887" s="12"/>
    </row>
    <row r="888" spans="1:14" x14ac:dyDescent="0.35">
      <c r="A888" s="12"/>
      <c r="B888" s="12"/>
      <c r="C888" s="17"/>
      <c r="D888" s="12"/>
      <c r="E888" s="12"/>
      <c r="M888" s="12"/>
      <c r="N888" s="12"/>
    </row>
    <row r="889" spans="1:14" x14ac:dyDescent="0.35">
      <c r="A889" s="12"/>
      <c r="B889" s="12"/>
      <c r="C889" s="17"/>
      <c r="D889" s="12"/>
      <c r="E889" s="12"/>
      <c r="M889" s="12"/>
      <c r="N889" s="12"/>
    </row>
    <row r="890" spans="1:14" x14ac:dyDescent="0.35">
      <c r="A890" s="12"/>
      <c r="B890" s="12"/>
      <c r="C890" s="17"/>
      <c r="D890" s="12"/>
      <c r="E890" s="12"/>
      <c r="M890" s="12"/>
      <c r="N890" s="12"/>
    </row>
    <row r="891" spans="1:14" x14ac:dyDescent="0.35">
      <c r="A891" s="12"/>
      <c r="B891" s="12"/>
      <c r="C891" s="17"/>
      <c r="D891" s="12"/>
      <c r="E891" s="12"/>
      <c r="M891" s="12"/>
      <c r="N891" s="12"/>
    </row>
    <row r="892" spans="1:14" x14ac:dyDescent="0.35">
      <c r="A892" s="12"/>
      <c r="B892" s="12"/>
      <c r="C892" s="17"/>
      <c r="D892" s="12"/>
      <c r="E892" s="12"/>
      <c r="M892" s="12"/>
      <c r="N892" s="12"/>
    </row>
    <row r="893" spans="1:14" x14ac:dyDescent="0.35">
      <c r="A893" s="12"/>
      <c r="B893" s="12"/>
      <c r="C893" s="17"/>
      <c r="D893" s="12"/>
      <c r="E893" s="12"/>
      <c r="M893" s="12"/>
      <c r="N893" s="12"/>
    </row>
    <row r="894" spans="1:14" x14ac:dyDescent="0.35">
      <c r="A894" s="12"/>
      <c r="B894" s="12"/>
      <c r="C894" s="17"/>
      <c r="D894" s="12"/>
      <c r="E894" s="12"/>
      <c r="M894" s="12"/>
      <c r="N894" s="12"/>
    </row>
    <row r="895" spans="1:14" x14ac:dyDescent="0.35">
      <c r="A895" s="12"/>
      <c r="B895" s="12"/>
      <c r="C895" s="17"/>
      <c r="D895" s="12"/>
      <c r="E895" s="12"/>
      <c r="M895" s="12"/>
      <c r="N895" s="12"/>
    </row>
    <row r="896" spans="1:14" x14ac:dyDescent="0.35">
      <c r="A896" s="12"/>
      <c r="B896" s="12"/>
      <c r="C896" s="17"/>
      <c r="D896" s="12"/>
      <c r="E896" s="12"/>
      <c r="M896" s="12"/>
      <c r="N896" s="12"/>
    </row>
    <row r="897" spans="1:14" x14ac:dyDescent="0.35">
      <c r="A897" s="12"/>
      <c r="B897" s="12"/>
      <c r="C897" s="17"/>
      <c r="D897" s="12"/>
      <c r="E897" s="12"/>
      <c r="M897" s="12"/>
      <c r="N897" s="12"/>
    </row>
    <row r="898" spans="1:14" x14ac:dyDescent="0.35">
      <c r="A898" s="12"/>
      <c r="B898" s="12"/>
      <c r="C898" s="17"/>
      <c r="D898" s="12"/>
      <c r="E898" s="12"/>
      <c r="M898" s="12"/>
      <c r="N898" s="12"/>
    </row>
    <row r="899" spans="1:14" x14ac:dyDescent="0.35">
      <c r="A899" s="12"/>
      <c r="B899" s="12"/>
      <c r="C899" s="17"/>
      <c r="D899" s="12"/>
      <c r="E899" s="12"/>
      <c r="M899" s="12"/>
      <c r="N899" s="12"/>
    </row>
    <row r="900" spans="1:14" x14ac:dyDescent="0.35">
      <c r="A900" s="12"/>
      <c r="B900" s="12"/>
      <c r="C900" s="17"/>
      <c r="D900" s="12"/>
      <c r="E900" s="12"/>
      <c r="M900" s="12"/>
      <c r="N900" s="12"/>
    </row>
    <row r="901" spans="1:14" x14ac:dyDescent="0.35">
      <c r="A901" s="12"/>
      <c r="B901" s="12"/>
      <c r="C901" s="17"/>
      <c r="D901" s="12"/>
      <c r="E901" s="12"/>
      <c r="M901" s="12"/>
      <c r="N901" s="12"/>
    </row>
    <row r="902" spans="1:14" x14ac:dyDescent="0.35">
      <c r="A902" s="12"/>
      <c r="B902" s="12"/>
      <c r="C902" s="17"/>
      <c r="D902" s="12"/>
      <c r="E902" s="12"/>
      <c r="M902" s="12"/>
      <c r="N902" s="12"/>
    </row>
    <row r="903" spans="1:14" x14ac:dyDescent="0.35">
      <c r="A903" s="12"/>
      <c r="B903" s="12"/>
      <c r="C903" s="17"/>
      <c r="D903" s="12"/>
      <c r="E903" s="12"/>
      <c r="M903" s="12"/>
      <c r="N903" s="12"/>
    </row>
    <row r="904" spans="1:14" x14ac:dyDescent="0.35">
      <c r="A904" s="12"/>
      <c r="B904" s="12"/>
      <c r="C904" s="17"/>
      <c r="D904" s="12"/>
      <c r="E904" s="12"/>
      <c r="M904" s="12"/>
      <c r="N904" s="12"/>
    </row>
    <row r="905" spans="1:14" x14ac:dyDescent="0.35">
      <c r="A905" s="12"/>
      <c r="B905" s="12"/>
      <c r="C905" s="17"/>
      <c r="D905" s="12"/>
      <c r="E905" s="12"/>
      <c r="M905" s="12"/>
      <c r="N905" s="12"/>
    </row>
    <row r="906" spans="1:14" x14ac:dyDescent="0.35">
      <c r="A906" s="12"/>
      <c r="B906" s="12"/>
      <c r="C906" s="17"/>
      <c r="D906" s="12"/>
      <c r="E906" s="12"/>
      <c r="M906" s="12"/>
      <c r="N906" s="12"/>
    </row>
    <row r="907" spans="1:14" x14ac:dyDescent="0.35">
      <c r="A907" s="12"/>
      <c r="B907" s="12"/>
      <c r="C907" s="17"/>
      <c r="D907" s="12"/>
      <c r="E907" s="12"/>
      <c r="M907" s="12"/>
      <c r="N907" s="12"/>
    </row>
    <row r="908" spans="1:14" x14ac:dyDescent="0.35">
      <c r="A908" s="12"/>
      <c r="B908" s="12"/>
      <c r="C908" s="17"/>
      <c r="D908" s="12"/>
      <c r="E908" s="12"/>
      <c r="M908" s="12"/>
      <c r="N908" s="12"/>
    </row>
    <row r="909" spans="1:14" x14ac:dyDescent="0.35">
      <c r="A909" s="12"/>
      <c r="B909" s="12"/>
      <c r="C909" s="17"/>
      <c r="D909" s="12"/>
      <c r="E909" s="12"/>
      <c r="M909" s="12"/>
      <c r="N909" s="12"/>
    </row>
    <row r="910" spans="1:14" x14ac:dyDescent="0.35">
      <c r="A910" s="12"/>
      <c r="B910" s="12"/>
      <c r="C910" s="17"/>
      <c r="D910" s="12"/>
      <c r="E910" s="12"/>
      <c r="M910" s="12"/>
      <c r="N910" s="12"/>
    </row>
    <row r="911" spans="1:14" x14ac:dyDescent="0.35">
      <c r="A911" s="12"/>
      <c r="B911" s="12"/>
      <c r="C911" s="17"/>
      <c r="D911" s="12"/>
      <c r="E911" s="12"/>
      <c r="M911" s="12"/>
      <c r="N911" s="12"/>
    </row>
    <row r="912" spans="1:14" x14ac:dyDescent="0.35">
      <c r="A912" s="12"/>
      <c r="B912" s="12"/>
      <c r="C912" s="17"/>
      <c r="D912" s="12"/>
      <c r="E912" s="12"/>
      <c r="M912" s="12"/>
      <c r="N912" s="12"/>
    </row>
    <row r="913" spans="1:14" x14ac:dyDescent="0.35">
      <c r="A913" s="12"/>
      <c r="B913" s="12"/>
      <c r="C913" s="17"/>
      <c r="D913" s="12"/>
      <c r="E913" s="12"/>
      <c r="M913" s="12"/>
      <c r="N913" s="12"/>
    </row>
    <row r="914" spans="1:14" x14ac:dyDescent="0.35">
      <c r="A914" s="12"/>
      <c r="B914" s="12"/>
      <c r="C914" s="17"/>
      <c r="D914" s="12"/>
      <c r="E914" s="12"/>
      <c r="M914" s="12"/>
      <c r="N914" s="12"/>
    </row>
    <row r="915" spans="1:14" x14ac:dyDescent="0.35">
      <c r="A915" s="12"/>
      <c r="B915" s="12"/>
      <c r="C915" s="17"/>
      <c r="D915" s="12"/>
      <c r="E915" s="12"/>
      <c r="M915" s="12"/>
      <c r="N915" s="12"/>
    </row>
    <row r="916" spans="1:14" x14ac:dyDescent="0.35">
      <c r="A916" s="12"/>
      <c r="B916" s="12"/>
      <c r="C916" s="17"/>
      <c r="D916" s="12"/>
      <c r="E916" s="12"/>
      <c r="M916" s="12"/>
      <c r="N916" s="12"/>
    </row>
    <row r="917" spans="1:14" x14ac:dyDescent="0.35">
      <c r="A917" s="12"/>
      <c r="B917" s="12"/>
      <c r="C917" s="17"/>
      <c r="D917" s="12"/>
      <c r="E917" s="12"/>
      <c r="M917" s="12"/>
      <c r="N917" s="12"/>
    </row>
    <row r="918" spans="1:14" x14ac:dyDescent="0.35">
      <c r="A918" s="12"/>
      <c r="B918" s="12"/>
      <c r="C918" s="17"/>
      <c r="D918" s="12"/>
      <c r="E918" s="12"/>
      <c r="M918" s="12"/>
      <c r="N918" s="12"/>
    </row>
    <row r="919" spans="1:14" x14ac:dyDescent="0.35">
      <c r="A919" s="12"/>
      <c r="B919" s="12"/>
      <c r="C919" s="17"/>
      <c r="D919" s="12"/>
      <c r="E919" s="12"/>
      <c r="M919" s="12"/>
      <c r="N919" s="12"/>
    </row>
    <row r="920" spans="1:14" x14ac:dyDescent="0.35">
      <c r="A920" s="12"/>
      <c r="B920" s="12"/>
      <c r="C920" s="17"/>
      <c r="D920" s="12"/>
      <c r="E920" s="12"/>
      <c r="M920" s="12"/>
      <c r="N920" s="12"/>
    </row>
    <row r="921" spans="1:14" x14ac:dyDescent="0.35">
      <c r="A921" s="12"/>
      <c r="B921" s="12"/>
      <c r="C921" s="17"/>
      <c r="D921" s="12"/>
      <c r="E921" s="12"/>
      <c r="M921" s="12"/>
      <c r="N921" s="12"/>
    </row>
    <row r="922" spans="1:14" x14ac:dyDescent="0.35">
      <c r="A922" s="12"/>
      <c r="B922" s="12"/>
      <c r="C922" s="17"/>
      <c r="D922" s="12"/>
      <c r="E922" s="12"/>
      <c r="M922" s="12"/>
      <c r="N922" s="12"/>
    </row>
    <row r="923" spans="1:14" x14ac:dyDescent="0.35">
      <c r="A923" s="12"/>
      <c r="B923" s="12"/>
      <c r="C923" s="17"/>
      <c r="D923" s="12"/>
      <c r="E923" s="12"/>
      <c r="M923" s="12"/>
      <c r="N923" s="12"/>
    </row>
    <row r="924" spans="1:14" x14ac:dyDescent="0.35">
      <c r="A924" s="12"/>
      <c r="B924" s="12"/>
      <c r="C924" s="17"/>
      <c r="D924" s="12"/>
      <c r="E924" s="12"/>
      <c r="M924" s="12"/>
      <c r="N924" s="12"/>
    </row>
    <row r="925" spans="1:14" x14ac:dyDescent="0.35">
      <c r="A925" s="12"/>
      <c r="B925" s="12"/>
      <c r="C925" s="17"/>
      <c r="D925" s="12"/>
      <c r="E925" s="12"/>
      <c r="M925" s="12"/>
      <c r="N925" s="12"/>
    </row>
    <row r="926" spans="1:14" x14ac:dyDescent="0.35">
      <c r="A926" s="12"/>
      <c r="B926" s="12"/>
      <c r="C926" s="17"/>
      <c r="D926" s="12"/>
      <c r="E926" s="12"/>
      <c r="M926" s="12"/>
      <c r="N926" s="12"/>
    </row>
    <row r="927" spans="1:14" x14ac:dyDescent="0.35">
      <c r="A927" s="12"/>
      <c r="B927" s="12"/>
      <c r="C927" s="17"/>
      <c r="D927" s="12"/>
      <c r="E927" s="12"/>
      <c r="M927" s="12"/>
      <c r="N927" s="12"/>
    </row>
    <row r="928" spans="1:14" x14ac:dyDescent="0.35">
      <c r="A928" s="12"/>
      <c r="B928" s="12"/>
      <c r="C928" s="17"/>
      <c r="D928" s="12"/>
      <c r="E928" s="12"/>
      <c r="M928" s="12"/>
      <c r="N928" s="12"/>
    </row>
    <row r="929" spans="1:14" x14ac:dyDescent="0.35">
      <c r="A929" s="12"/>
      <c r="B929" s="12"/>
      <c r="C929" s="17"/>
      <c r="D929" s="12"/>
      <c r="E929" s="12"/>
      <c r="M929" s="12"/>
      <c r="N929" s="12"/>
    </row>
    <row r="930" spans="1:14" x14ac:dyDescent="0.35">
      <c r="A930" s="12"/>
      <c r="B930" s="12"/>
      <c r="C930" s="17"/>
      <c r="D930" s="12"/>
      <c r="E930" s="12"/>
      <c r="M930" s="12"/>
      <c r="N930" s="12"/>
    </row>
    <row r="931" spans="1:14" x14ac:dyDescent="0.35">
      <c r="A931" s="12"/>
      <c r="B931" s="12"/>
      <c r="C931" s="17"/>
      <c r="D931" s="12"/>
      <c r="E931" s="12"/>
      <c r="M931" s="12"/>
      <c r="N931" s="12"/>
    </row>
    <row r="932" spans="1:14" x14ac:dyDescent="0.35">
      <c r="A932" s="12"/>
      <c r="B932" s="12"/>
      <c r="C932" s="17"/>
      <c r="D932" s="12"/>
      <c r="E932" s="12"/>
      <c r="M932" s="12"/>
      <c r="N932" s="12"/>
    </row>
    <row r="933" spans="1:14" x14ac:dyDescent="0.35">
      <c r="A933" s="12"/>
      <c r="B933" s="12"/>
      <c r="C933" s="17"/>
      <c r="D933" s="12"/>
      <c r="E933" s="12"/>
      <c r="M933" s="12"/>
      <c r="N933" s="12"/>
    </row>
    <row r="934" spans="1:14" x14ac:dyDescent="0.35">
      <c r="A934" s="12"/>
      <c r="B934" s="12"/>
      <c r="C934" s="17"/>
      <c r="D934" s="12"/>
      <c r="E934" s="12"/>
      <c r="M934" s="12"/>
      <c r="N934" s="12"/>
    </row>
    <row r="935" spans="1:14" x14ac:dyDescent="0.35">
      <c r="A935" s="12"/>
      <c r="B935" s="12"/>
      <c r="C935" s="17"/>
      <c r="D935" s="12"/>
      <c r="E935" s="12"/>
      <c r="M935" s="12"/>
      <c r="N935" s="12"/>
    </row>
    <row r="936" spans="1:14" x14ac:dyDescent="0.35">
      <c r="A936" s="12"/>
      <c r="B936" s="12"/>
      <c r="C936" s="17"/>
      <c r="D936" s="12"/>
      <c r="E936" s="12"/>
      <c r="M936" s="12"/>
      <c r="N936" s="12"/>
    </row>
    <row r="937" spans="1:14" x14ac:dyDescent="0.35">
      <c r="A937" s="12"/>
      <c r="B937" s="12"/>
      <c r="C937" s="17"/>
      <c r="D937" s="12"/>
      <c r="E937" s="12"/>
      <c r="M937" s="12"/>
      <c r="N937" s="12"/>
    </row>
    <row r="938" spans="1:14" x14ac:dyDescent="0.35">
      <c r="A938" s="12"/>
      <c r="B938" s="12"/>
      <c r="C938" s="17"/>
      <c r="D938" s="12"/>
      <c r="E938" s="12"/>
      <c r="M938" s="12"/>
      <c r="N938" s="12"/>
    </row>
    <row r="939" spans="1:14" x14ac:dyDescent="0.35">
      <c r="A939" s="12"/>
      <c r="B939" s="12"/>
      <c r="C939" s="17"/>
      <c r="D939" s="12"/>
      <c r="E939" s="12"/>
      <c r="M939" s="12"/>
      <c r="N939" s="12"/>
    </row>
    <row r="940" spans="1:14" x14ac:dyDescent="0.35">
      <c r="A940" s="12"/>
      <c r="B940" s="12"/>
      <c r="C940" s="17"/>
      <c r="D940" s="12"/>
      <c r="E940" s="12"/>
      <c r="M940" s="12"/>
      <c r="N940" s="12"/>
    </row>
    <row r="941" spans="1:14" x14ac:dyDescent="0.35">
      <c r="A941" s="12"/>
      <c r="B941" s="12"/>
      <c r="C941" s="17"/>
      <c r="D941" s="12"/>
      <c r="E941" s="12"/>
      <c r="M941" s="12"/>
      <c r="N941" s="12"/>
    </row>
    <row r="942" spans="1:14" x14ac:dyDescent="0.35">
      <c r="A942" s="12"/>
      <c r="B942" s="12"/>
      <c r="C942" s="17"/>
      <c r="D942" s="12"/>
      <c r="E942" s="12"/>
      <c r="M942" s="12"/>
      <c r="N942" s="12"/>
    </row>
    <row r="943" spans="1:14" x14ac:dyDescent="0.35">
      <c r="A943" s="12"/>
      <c r="B943" s="12"/>
      <c r="C943" s="17"/>
      <c r="D943" s="12"/>
      <c r="E943" s="12"/>
      <c r="M943" s="12"/>
      <c r="N943" s="12"/>
    </row>
    <row r="944" spans="1:14" x14ac:dyDescent="0.35">
      <c r="A944" s="12"/>
      <c r="B944" s="12"/>
      <c r="C944" s="17"/>
      <c r="D944" s="12"/>
      <c r="E944" s="12"/>
      <c r="M944" s="12"/>
      <c r="N944" s="12"/>
    </row>
    <row r="945" spans="1:14" x14ac:dyDescent="0.35">
      <c r="A945" s="12"/>
      <c r="B945" s="12"/>
      <c r="C945" s="17"/>
      <c r="D945" s="12"/>
      <c r="E945" s="12"/>
      <c r="M945" s="12"/>
      <c r="N945" s="12"/>
    </row>
    <row r="946" spans="1:14" x14ac:dyDescent="0.35">
      <c r="A946" s="12"/>
      <c r="B946" s="12"/>
      <c r="C946" s="17"/>
      <c r="D946" s="12"/>
      <c r="E946" s="12"/>
      <c r="M946" s="12"/>
      <c r="N946" s="12"/>
    </row>
    <row r="947" spans="1:14" x14ac:dyDescent="0.35">
      <c r="A947" s="12"/>
      <c r="B947" s="12"/>
      <c r="C947" s="17"/>
      <c r="D947" s="12"/>
      <c r="E947" s="12"/>
      <c r="M947" s="12"/>
      <c r="N947" s="12"/>
    </row>
    <row r="948" spans="1:14" x14ac:dyDescent="0.35">
      <c r="A948" s="12"/>
      <c r="B948" s="12"/>
      <c r="C948" s="17"/>
      <c r="D948" s="12"/>
      <c r="E948" s="12"/>
      <c r="M948" s="12"/>
      <c r="N948" s="12"/>
    </row>
    <row r="949" spans="1:14" x14ac:dyDescent="0.35">
      <c r="A949" s="12"/>
      <c r="B949" s="12"/>
      <c r="C949" s="17"/>
      <c r="D949" s="12"/>
      <c r="E949" s="12"/>
      <c r="M949" s="12"/>
      <c r="N949" s="12"/>
    </row>
    <row r="950" spans="1:14" x14ac:dyDescent="0.35">
      <c r="A950" s="12"/>
      <c r="B950" s="12"/>
      <c r="C950" s="17"/>
      <c r="D950" s="12"/>
      <c r="E950" s="12"/>
      <c r="M950" s="12"/>
      <c r="N950" s="12"/>
    </row>
    <row r="951" spans="1:14" x14ac:dyDescent="0.35">
      <c r="A951" s="12"/>
      <c r="B951" s="12"/>
      <c r="C951" s="17"/>
      <c r="D951" s="12"/>
      <c r="E951" s="12"/>
      <c r="M951" s="12"/>
      <c r="N951" s="12"/>
    </row>
    <row r="952" spans="1:14" x14ac:dyDescent="0.35">
      <c r="A952" s="12"/>
      <c r="B952" s="12"/>
      <c r="C952" s="17"/>
      <c r="D952" s="12"/>
      <c r="E952" s="12"/>
      <c r="M952" s="12"/>
      <c r="N952" s="12"/>
    </row>
    <row r="953" spans="1:14" x14ac:dyDescent="0.35">
      <c r="A953" s="12"/>
      <c r="B953" s="12"/>
      <c r="C953" s="17"/>
      <c r="D953" s="12"/>
      <c r="E953" s="12"/>
      <c r="M953" s="12"/>
      <c r="N953" s="12"/>
    </row>
    <row r="954" spans="1:14" x14ac:dyDescent="0.35">
      <c r="A954" s="12"/>
      <c r="B954" s="12"/>
      <c r="C954" s="17"/>
      <c r="D954" s="12"/>
      <c r="E954" s="12"/>
      <c r="M954" s="12"/>
      <c r="N954" s="12"/>
    </row>
    <row r="955" spans="1:14" x14ac:dyDescent="0.35">
      <c r="A955" s="12"/>
      <c r="B955" s="12"/>
      <c r="C955" s="17"/>
      <c r="D955" s="12"/>
      <c r="E955" s="12"/>
      <c r="M955" s="12"/>
      <c r="N955" s="12"/>
    </row>
    <row r="956" spans="1:14" x14ac:dyDescent="0.35">
      <c r="A956" s="12"/>
      <c r="B956" s="12"/>
      <c r="C956" s="17"/>
      <c r="D956" s="12"/>
      <c r="E956" s="12"/>
      <c r="M956" s="12"/>
      <c r="N956" s="12"/>
    </row>
    <row r="957" spans="1:14" x14ac:dyDescent="0.35">
      <c r="A957" s="12"/>
      <c r="B957" s="12"/>
      <c r="C957" s="17"/>
      <c r="D957" s="12"/>
      <c r="E957" s="12"/>
      <c r="M957" s="12"/>
      <c r="N957" s="12"/>
    </row>
    <row r="958" spans="1:14" x14ac:dyDescent="0.35">
      <c r="A958" s="12"/>
      <c r="B958" s="12"/>
      <c r="C958" s="17"/>
      <c r="D958" s="12"/>
      <c r="E958" s="12"/>
      <c r="M958" s="12"/>
      <c r="N958" s="12"/>
    </row>
    <row r="959" spans="1:14" x14ac:dyDescent="0.35">
      <c r="A959" s="12"/>
      <c r="B959" s="12"/>
      <c r="C959" s="17"/>
      <c r="D959" s="12"/>
      <c r="E959" s="12"/>
      <c r="M959" s="12"/>
      <c r="N959" s="12"/>
    </row>
    <row r="960" spans="1:14" x14ac:dyDescent="0.35">
      <c r="A960" s="12"/>
      <c r="B960" s="12"/>
      <c r="C960" s="17"/>
      <c r="D960" s="12"/>
      <c r="E960" s="12"/>
      <c r="M960" s="12"/>
      <c r="N960" s="12"/>
    </row>
    <row r="961" spans="1:14" x14ac:dyDescent="0.35">
      <c r="A961" s="12"/>
      <c r="B961" s="12"/>
      <c r="C961" s="17"/>
      <c r="D961" s="12"/>
      <c r="E961" s="12"/>
      <c r="M961" s="12"/>
      <c r="N961" s="12"/>
    </row>
    <row r="962" spans="1:14" x14ac:dyDescent="0.35">
      <c r="A962" s="12"/>
      <c r="B962" s="12"/>
      <c r="C962" s="17"/>
      <c r="D962" s="12"/>
      <c r="E962" s="12"/>
      <c r="M962" s="12"/>
      <c r="N962" s="12"/>
    </row>
    <row r="963" spans="1:14" x14ac:dyDescent="0.35">
      <c r="A963" s="12"/>
      <c r="B963" s="12"/>
      <c r="C963" s="17"/>
      <c r="D963" s="12"/>
      <c r="E963" s="12"/>
      <c r="M963" s="12"/>
      <c r="N963" s="12"/>
    </row>
    <row r="964" spans="1:14" x14ac:dyDescent="0.35">
      <c r="A964" s="12"/>
      <c r="B964" s="12"/>
      <c r="C964" s="17"/>
      <c r="D964" s="12"/>
      <c r="E964" s="12"/>
      <c r="M964" s="12"/>
      <c r="N964" s="12"/>
    </row>
    <row r="965" spans="1:14" x14ac:dyDescent="0.35">
      <c r="A965" s="12"/>
      <c r="B965" s="12"/>
      <c r="C965" s="17"/>
      <c r="D965" s="12"/>
      <c r="E965" s="12"/>
      <c r="M965" s="12"/>
      <c r="N965" s="12"/>
    </row>
    <row r="966" spans="1:14" x14ac:dyDescent="0.35">
      <c r="A966" s="12"/>
      <c r="B966" s="12"/>
      <c r="C966" s="17"/>
      <c r="D966" s="12"/>
      <c r="E966" s="12"/>
      <c r="M966" s="12"/>
      <c r="N966" s="12"/>
    </row>
    <row r="967" spans="1:14" x14ac:dyDescent="0.35">
      <c r="A967" s="12"/>
      <c r="B967" s="12"/>
      <c r="C967" s="17"/>
      <c r="D967" s="12"/>
      <c r="E967" s="12"/>
      <c r="M967" s="12"/>
      <c r="N967" s="12"/>
    </row>
    <row r="968" spans="1:14" x14ac:dyDescent="0.35">
      <c r="A968" s="12"/>
      <c r="B968" s="12"/>
      <c r="C968" s="17"/>
      <c r="D968" s="12"/>
      <c r="E968" s="12"/>
      <c r="M968" s="12"/>
      <c r="N968" s="12"/>
    </row>
    <row r="969" spans="1:14" x14ac:dyDescent="0.35">
      <c r="A969" s="12"/>
      <c r="B969" s="12"/>
      <c r="C969" s="17"/>
      <c r="D969" s="12"/>
      <c r="E969" s="12"/>
      <c r="M969" s="12"/>
      <c r="N969" s="12"/>
    </row>
    <row r="970" spans="1:14" x14ac:dyDescent="0.35">
      <c r="A970" s="12"/>
      <c r="B970" s="12"/>
      <c r="C970" s="17"/>
      <c r="D970" s="12"/>
      <c r="E970" s="12"/>
      <c r="M970" s="12"/>
      <c r="N970" s="12"/>
    </row>
    <row r="971" spans="1:14" x14ac:dyDescent="0.35">
      <c r="A971" s="12"/>
      <c r="B971" s="12"/>
      <c r="C971" s="17"/>
      <c r="D971" s="12"/>
      <c r="E971" s="12"/>
      <c r="M971" s="12"/>
      <c r="N971" s="12"/>
    </row>
    <row r="972" spans="1:14" x14ac:dyDescent="0.35">
      <c r="A972" s="12"/>
      <c r="B972" s="12"/>
      <c r="C972" s="17"/>
      <c r="D972" s="12"/>
      <c r="E972" s="12"/>
      <c r="M972" s="12"/>
      <c r="N972" s="12"/>
    </row>
    <row r="973" spans="1:14" x14ac:dyDescent="0.35">
      <c r="A973" s="12"/>
      <c r="B973" s="12"/>
      <c r="C973" s="17"/>
      <c r="D973" s="12"/>
      <c r="E973" s="12"/>
      <c r="M973" s="12"/>
      <c r="N973" s="12"/>
    </row>
    <row r="974" spans="1:14" x14ac:dyDescent="0.35">
      <c r="A974" s="12"/>
      <c r="B974" s="12"/>
      <c r="C974" s="17"/>
      <c r="D974" s="12"/>
      <c r="E974" s="12"/>
      <c r="M974" s="12"/>
      <c r="N974" s="12"/>
    </row>
    <row r="975" spans="1:14" x14ac:dyDescent="0.35">
      <c r="A975" s="12"/>
      <c r="B975" s="12"/>
      <c r="C975" s="17"/>
      <c r="D975" s="12"/>
      <c r="E975" s="12"/>
      <c r="M975" s="12"/>
      <c r="N975" s="12"/>
    </row>
    <row r="976" spans="1:14" x14ac:dyDescent="0.35">
      <c r="A976" s="12"/>
      <c r="B976" s="12"/>
      <c r="C976" s="17"/>
      <c r="D976" s="12"/>
      <c r="E976" s="12"/>
      <c r="M976" s="12"/>
      <c r="N976" s="12"/>
    </row>
    <row r="977" spans="1:14" x14ac:dyDescent="0.35">
      <c r="A977" s="12"/>
      <c r="B977" s="12"/>
      <c r="C977" s="17"/>
      <c r="D977" s="12"/>
      <c r="E977" s="12"/>
      <c r="M977" s="12"/>
      <c r="N977" s="12"/>
    </row>
    <row r="978" spans="1:14" x14ac:dyDescent="0.35">
      <c r="A978" s="12"/>
      <c r="B978" s="12"/>
      <c r="C978" s="17"/>
      <c r="D978" s="12"/>
      <c r="E978" s="12"/>
      <c r="M978" s="12"/>
      <c r="N978" s="12"/>
    </row>
    <row r="979" spans="1:14" x14ac:dyDescent="0.35">
      <c r="A979" s="12"/>
      <c r="B979" s="12"/>
      <c r="C979" s="17"/>
      <c r="D979" s="12"/>
      <c r="E979" s="12"/>
      <c r="M979" s="12"/>
      <c r="N979" s="12"/>
    </row>
    <row r="980" spans="1:14" x14ac:dyDescent="0.35">
      <c r="A980" s="12"/>
      <c r="B980" s="12"/>
      <c r="C980" s="17"/>
      <c r="D980" s="12"/>
      <c r="E980" s="12"/>
      <c r="M980" s="12"/>
      <c r="N980" s="12"/>
    </row>
    <row r="981" spans="1:14" x14ac:dyDescent="0.35">
      <c r="A981" s="12"/>
      <c r="B981" s="12"/>
      <c r="C981" s="17"/>
      <c r="D981" s="12"/>
      <c r="E981" s="12"/>
      <c r="M981" s="12"/>
      <c r="N981" s="12"/>
    </row>
    <row r="982" spans="1:14" x14ac:dyDescent="0.35">
      <c r="A982" s="12"/>
      <c r="B982" s="12"/>
      <c r="C982" s="17"/>
      <c r="D982" s="12"/>
      <c r="E982" s="12"/>
      <c r="M982" s="12"/>
      <c r="N982" s="12"/>
    </row>
    <row r="983" spans="1:14" x14ac:dyDescent="0.35">
      <c r="A983" s="12"/>
      <c r="B983" s="12"/>
      <c r="C983" s="17"/>
      <c r="D983" s="12"/>
      <c r="E983" s="12"/>
      <c r="M983" s="12"/>
      <c r="N983" s="12"/>
    </row>
    <row r="984" spans="1:14" x14ac:dyDescent="0.35">
      <c r="A984" s="12"/>
      <c r="B984" s="12"/>
      <c r="C984" s="17"/>
      <c r="D984" s="12"/>
      <c r="E984" s="12"/>
      <c r="M984" s="12"/>
      <c r="N984" s="12"/>
    </row>
    <row r="985" spans="1:14" x14ac:dyDescent="0.35">
      <c r="A985" s="12"/>
      <c r="B985" s="12"/>
      <c r="C985" s="17"/>
      <c r="D985" s="12"/>
      <c r="E985" s="12"/>
      <c r="M985" s="12"/>
      <c r="N985" s="12"/>
    </row>
    <row r="986" spans="1:14" x14ac:dyDescent="0.35">
      <c r="A986" s="12"/>
      <c r="B986" s="12"/>
      <c r="C986" s="17"/>
      <c r="D986" s="12"/>
      <c r="E986" s="12"/>
      <c r="M986" s="12"/>
      <c r="N986" s="12"/>
    </row>
    <row r="987" spans="1:14" x14ac:dyDescent="0.35">
      <c r="A987" s="12"/>
      <c r="B987" s="12"/>
      <c r="C987" s="17"/>
      <c r="D987" s="12"/>
      <c r="E987" s="12"/>
      <c r="M987" s="12"/>
      <c r="N987" s="12"/>
    </row>
    <row r="988" spans="1:14" x14ac:dyDescent="0.35">
      <c r="A988" s="12"/>
      <c r="B988" s="12"/>
      <c r="C988" s="17"/>
      <c r="D988" s="12"/>
      <c r="E988" s="12"/>
      <c r="M988" s="12"/>
      <c r="N988" s="12"/>
    </row>
    <row r="989" spans="1:14" x14ac:dyDescent="0.35">
      <c r="A989" s="12"/>
      <c r="B989" s="12"/>
      <c r="C989" s="17"/>
      <c r="D989" s="12"/>
      <c r="E989" s="12"/>
      <c r="M989" s="12"/>
      <c r="N989" s="12"/>
    </row>
    <row r="990" spans="1:14" x14ac:dyDescent="0.35">
      <c r="A990" s="12"/>
      <c r="B990" s="12"/>
      <c r="C990" s="17"/>
      <c r="D990" s="12"/>
      <c r="E990" s="12"/>
      <c r="M990" s="12"/>
      <c r="N990" s="12"/>
    </row>
    <row r="991" spans="1:14" x14ac:dyDescent="0.35">
      <c r="A991" s="12"/>
      <c r="B991" s="12"/>
      <c r="C991" s="17"/>
      <c r="D991" s="12"/>
      <c r="E991" s="12"/>
      <c r="M991" s="12"/>
      <c r="N991" s="12"/>
    </row>
    <row r="992" spans="1:14" x14ac:dyDescent="0.35">
      <c r="A992" s="12"/>
      <c r="B992" s="12"/>
      <c r="C992" s="17"/>
      <c r="D992" s="12"/>
      <c r="E992" s="12"/>
      <c r="M992" s="12"/>
      <c r="N992" s="12"/>
    </row>
    <row r="993" spans="1:14" x14ac:dyDescent="0.35">
      <c r="A993" s="12"/>
      <c r="B993" s="12"/>
      <c r="C993" s="17"/>
      <c r="D993" s="12"/>
      <c r="E993" s="12"/>
      <c r="M993" s="12"/>
      <c r="N993" s="12"/>
    </row>
    <row r="994" spans="1:14" x14ac:dyDescent="0.35">
      <c r="A994" s="12"/>
      <c r="B994" s="12"/>
      <c r="C994" s="17"/>
      <c r="D994" s="12"/>
      <c r="E994" s="12"/>
      <c r="M994" s="12"/>
      <c r="N994" s="12"/>
    </row>
    <row r="995" spans="1:14" x14ac:dyDescent="0.35">
      <c r="A995" s="12"/>
      <c r="B995" s="12"/>
      <c r="C995" s="17"/>
      <c r="D995" s="12"/>
      <c r="E995" s="12"/>
      <c r="M995" s="12"/>
      <c r="N995" s="12"/>
    </row>
    <row r="996" spans="1:14" x14ac:dyDescent="0.35">
      <c r="A996" s="12"/>
      <c r="B996" s="12"/>
      <c r="C996" s="17"/>
      <c r="D996" s="12"/>
      <c r="E996" s="12"/>
      <c r="M996" s="12"/>
      <c r="N996" s="12"/>
    </row>
    <row r="997" spans="1:14" x14ac:dyDescent="0.35">
      <c r="A997" s="12"/>
      <c r="B997" s="12"/>
      <c r="C997" s="17"/>
      <c r="D997" s="12"/>
      <c r="E997" s="12"/>
      <c r="M997" s="12"/>
      <c r="N997" s="12"/>
    </row>
    <row r="998" spans="1:14" x14ac:dyDescent="0.35">
      <c r="A998" s="12"/>
      <c r="B998" s="12"/>
      <c r="C998" s="17"/>
      <c r="D998" s="12"/>
      <c r="E998" s="12"/>
      <c r="M998" s="12"/>
      <c r="N998" s="12"/>
    </row>
    <row r="999" spans="1:14" x14ac:dyDescent="0.35">
      <c r="A999" s="12"/>
      <c r="B999" s="12"/>
      <c r="C999" s="17"/>
      <c r="D999" s="12"/>
      <c r="E999" s="12"/>
      <c r="M999" s="12"/>
      <c r="N999" s="12"/>
    </row>
    <row r="1000" spans="1:14" x14ac:dyDescent="0.35">
      <c r="A1000" s="12"/>
      <c r="B1000" s="12"/>
      <c r="C1000" s="17"/>
      <c r="D1000" s="12"/>
      <c r="E1000" s="12"/>
      <c r="M1000" s="12"/>
      <c r="N1000" s="12"/>
    </row>
    <row r="1001" spans="1:14" x14ac:dyDescent="0.35">
      <c r="A1001" s="12"/>
      <c r="B1001" s="12"/>
      <c r="C1001" s="17"/>
      <c r="D1001" s="12"/>
      <c r="E1001" s="12"/>
      <c r="M1001" s="12"/>
      <c r="N1001" s="12"/>
    </row>
    <row r="1002" spans="1:14" x14ac:dyDescent="0.35">
      <c r="A1002" s="12"/>
      <c r="B1002" s="12"/>
      <c r="C1002" s="17"/>
      <c r="D1002" s="12"/>
      <c r="E1002" s="12"/>
      <c r="M1002" s="12"/>
      <c r="N1002" s="12"/>
    </row>
    <row r="1003" spans="1:14" x14ac:dyDescent="0.35">
      <c r="A1003" s="12"/>
      <c r="B1003" s="12"/>
      <c r="C1003" s="17"/>
      <c r="D1003" s="12"/>
      <c r="E1003" s="12"/>
      <c r="M1003" s="12"/>
      <c r="N1003" s="12"/>
    </row>
    <row r="1004" spans="1:14" x14ac:dyDescent="0.35">
      <c r="A1004" s="12"/>
      <c r="B1004" s="12"/>
      <c r="C1004" s="17"/>
      <c r="D1004" s="12"/>
      <c r="E1004" s="12"/>
      <c r="M1004" s="12"/>
      <c r="N1004" s="12"/>
    </row>
    <row r="1005" spans="1:14" x14ac:dyDescent="0.35">
      <c r="A1005" s="12"/>
      <c r="B1005" s="12"/>
      <c r="C1005" s="17"/>
      <c r="D1005" s="12"/>
      <c r="E1005" s="12"/>
      <c r="M1005" s="12"/>
      <c r="N1005" s="12"/>
    </row>
    <row r="1006" spans="1:14" x14ac:dyDescent="0.35">
      <c r="A1006" s="12"/>
      <c r="B1006" s="12"/>
      <c r="C1006" s="17"/>
      <c r="D1006" s="12"/>
      <c r="E1006" s="12"/>
      <c r="M1006" s="12"/>
      <c r="N1006" s="12"/>
    </row>
    <row r="1007" spans="1:14" x14ac:dyDescent="0.35">
      <c r="A1007" s="12"/>
      <c r="B1007" s="12"/>
      <c r="C1007" s="17"/>
      <c r="D1007" s="12"/>
      <c r="E1007" s="12"/>
      <c r="M1007" s="12"/>
      <c r="N1007" s="12"/>
    </row>
    <row r="1008" spans="1:14" x14ac:dyDescent="0.35">
      <c r="A1008" s="12"/>
      <c r="B1008" s="12"/>
      <c r="C1008" s="17"/>
      <c r="D1008" s="12"/>
      <c r="E1008" s="12"/>
      <c r="M1008" s="12"/>
      <c r="N1008" s="12"/>
    </row>
    <row r="1009" spans="1:14" x14ac:dyDescent="0.35">
      <c r="A1009" s="12"/>
      <c r="B1009" s="12"/>
      <c r="C1009" s="17"/>
      <c r="D1009" s="12"/>
      <c r="E1009" s="12"/>
      <c r="M1009" s="12"/>
      <c r="N1009" s="12"/>
    </row>
    <row r="1010" spans="1:14" x14ac:dyDescent="0.35">
      <c r="A1010" s="12"/>
      <c r="B1010" s="12"/>
      <c r="C1010" s="17"/>
      <c r="D1010" s="12"/>
      <c r="E1010" s="12"/>
      <c r="M1010" s="12"/>
      <c r="N1010" s="12"/>
    </row>
    <row r="1011" spans="1:14" x14ac:dyDescent="0.35">
      <c r="A1011" s="12"/>
      <c r="B1011" s="12"/>
      <c r="C1011" s="17"/>
      <c r="D1011" s="12"/>
      <c r="E1011" s="12"/>
      <c r="M1011" s="12"/>
      <c r="N1011" s="12"/>
    </row>
    <row r="1012" spans="1:14" x14ac:dyDescent="0.35">
      <c r="A1012" s="12"/>
      <c r="B1012" s="12"/>
      <c r="C1012" s="17"/>
      <c r="D1012" s="12"/>
      <c r="E1012" s="12"/>
      <c r="M1012" s="12"/>
      <c r="N1012" s="12"/>
    </row>
    <row r="1013" spans="1:14" x14ac:dyDescent="0.35">
      <c r="A1013" s="12"/>
      <c r="B1013" s="12"/>
      <c r="C1013" s="17"/>
      <c r="D1013" s="12"/>
      <c r="E1013" s="12"/>
      <c r="M1013" s="12"/>
      <c r="N1013" s="12"/>
    </row>
    <row r="1014" spans="1:14" x14ac:dyDescent="0.35">
      <c r="A1014" s="12"/>
      <c r="B1014" s="12"/>
      <c r="C1014" s="17"/>
      <c r="D1014" s="12"/>
      <c r="E1014" s="12"/>
      <c r="M1014" s="12"/>
      <c r="N1014" s="12"/>
    </row>
    <row r="1015" spans="1:14" x14ac:dyDescent="0.35">
      <c r="A1015" s="12"/>
      <c r="B1015" s="12"/>
      <c r="C1015" s="17"/>
      <c r="D1015" s="12"/>
      <c r="E1015" s="12"/>
      <c r="M1015" s="12"/>
      <c r="N1015" s="12"/>
    </row>
    <row r="1016" spans="1:14" x14ac:dyDescent="0.35">
      <c r="A1016" s="12"/>
      <c r="B1016" s="12"/>
      <c r="C1016" s="17"/>
      <c r="D1016" s="12"/>
      <c r="E1016" s="12"/>
      <c r="M1016" s="12"/>
      <c r="N1016" s="12"/>
    </row>
    <row r="1017" spans="1:14" x14ac:dyDescent="0.35">
      <c r="A1017" s="12"/>
      <c r="B1017" s="12"/>
      <c r="C1017" s="17"/>
      <c r="D1017" s="12"/>
      <c r="E1017" s="12"/>
      <c r="M1017" s="12"/>
      <c r="N1017" s="12"/>
    </row>
    <row r="1018" spans="1:14" x14ac:dyDescent="0.35">
      <c r="A1018" s="12"/>
      <c r="B1018" s="12"/>
      <c r="C1018" s="17"/>
      <c r="D1018" s="12"/>
      <c r="E1018" s="12"/>
      <c r="M1018" s="12"/>
      <c r="N1018" s="12"/>
    </row>
    <row r="1019" spans="1:14" x14ac:dyDescent="0.35">
      <c r="A1019" s="12"/>
      <c r="B1019" s="12"/>
      <c r="C1019" s="17"/>
      <c r="D1019" s="12"/>
      <c r="E1019" s="12"/>
      <c r="M1019" s="12"/>
      <c r="N1019" s="12"/>
    </row>
    <row r="1020" spans="1:14" x14ac:dyDescent="0.35">
      <c r="A1020" s="12"/>
      <c r="B1020" s="12"/>
      <c r="C1020" s="17"/>
      <c r="D1020" s="12"/>
      <c r="E1020" s="12"/>
      <c r="M1020" s="12"/>
      <c r="N1020" s="12"/>
    </row>
    <row r="1021" spans="1:14" x14ac:dyDescent="0.35">
      <c r="A1021" s="12"/>
      <c r="B1021" s="12"/>
      <c r="C1021" s="17"/>
      <c r="D1021" s="12"/>
      <c r="E1021" s="12"/>
      <c r="M1021" s="12"/>
      <c r="N1021" s="12"/>
    </row>
    <row r="1022" spans="1:14" x14ac:dyDescent="0.35">
      <c r="A1022" s="12"/>
      <c r="B1022" s="12"/>
      <c r="C1022" s="17"/>
      <c r="D1022" s="12"/>
      <c r="E1022" s="12"/>
      <c r="M1022" s="12"/>
      <c r="N1022" s="12"/>
    </row>
    <row r="1023" spans="1:14" x14ac:dyDescent="0.35">
      <c r="A1023" s="12"/>
      <c r="B1023" s="12"/>
      <c r="C1023" s="17"/>
      <c r="D1023" s="12"/>
      <c r="E1023" s="12"/>
      <c r="M1023" s="12"/>
      <c r="N1023" s="12"/>
    </row>
    <row r="1024" spans="1:14" x14ac:dyDescent="0.35">
      <c r="A1024" s="12"/>
      <c r="B1024" s="12"/>
      <c r="C1024" s="17"/>
      <c r="D1024" s="12"/>
      <c r="E1024" s="12"/>
      <c r="M1024" s="12"/>
      <c r="N1024" s="12"/>
    </row>
    <row r="1025" spans="1:14" x14ac:dyDescent="0.35">
      <c r="A1025" s="12"/>
      <c r="B1025" s="12"/>
      <c r="C1025" s="17"/>
      <c r="D1025" s="12"/>
      <c r="E1025" s="12"/>
      <c r="M1025" s="12"/>
      <c r="N1025" s="12"/>
    </row>
    <row r="1026" spans="1:14" x14ac:dyDescent="0.35">
      <c r="A1026" s="12"/>
      <c r="B1026" s="12"/>
      <c r="C1026" s="17"/>
      <c r="D1026" s="12"/>
      <c r="E1026" s="12"/>
      <c r="M1026" s="12"/>
      <c r="N1026" s="12"/>
    </row>
    <row r="1027" spans="1:14" x14ac:dyDescent="0.35">
      <c r="A1027" s="12"/>
      <c r="B1027" s="12"/>
      <c r="C1027" s="17"/>
      <c r="D1027" s="12"/>
      <c r="E1027" s="12"/>
      <c r="M1027" s="12"/>
      <c r="N1027" s="12"/>
    </row>
    <row r="1028" spans="1:14" x14ac:dyDescent="0.35">
      <c r="A1028" s="12"/>
      <c r="B1028" s="12"/>
      <c r="C1028" s="17"/>
      <c r="D1028" s="12"/>
      <c r="E1028" s="12"/>
      <c r="M1028" s="12"/>
      <c r="N1028" s="12"/>
    </row>
    <row r="1029" spans="1:14" x14ac:dyDescent="0.35">
      <c r="A1029" s="12"/>
      <c r="B1029" s="12"/>
      <c r="C1029" s="17"/>
      <c r="D1029" s="12"/>
      <c r="E1029" s="12"/>
      <c r="M1029" s="12"/>
      <c r="N1029" s="12"/>
    </row>
    <row r="1030" spans="1:14" x14ac:dyDescent="0.35">
      <c r="A1030" s="12"/>
      <c r="B1030" s="12"/>
      <c r="C1030" s="17"/>
      <c r="D1030" s="12"/>
      <c r="E1030" s="12"/>
      <c r="M1030" s="12"/>
      <c r="N1030" s="12"/>
    </row>
    <row r="1031" spans="1:14" x14ac:dyDescent="0.35">
      <c r="A1031" s="12"/>
      <c r="B1031" s="12"/>
      <c r="C1031" s="17"/>
      <c r="D1031" s="12"/>
      <c r="E1031" s="12"/>
      <c r="M1031" s="12"/>
      <c r="N1031" s="12"/>
    </row>
    <row r="1032" spans="1:14" x14ac:dyDescent="0.35">
      <c r="A1032" s="12"/>
      <c r="B1032" s="12"/>
      <c r="C1032" s="17"/>
      <c r="D1032" s="12"/>
      <c r="E1032" s="12"/>
      <c r="M1032" s="12"/>
      <c r="N1032" s="12"/>
    </row>
    <row r="1033" spans="1:14" x14ac:dyDescent="0.35">
      <c r="A1033" s="12"/>
      <c r="B1033" s="12"/>
      <c r="C1033" s="17"/>
      <c r="D1033" s="12"/>
      <c r="E1033" s="12"/>
      <c r="M1033" s="12"/>
      <c r="N1033" s="12"/>
    </row>
    <row r="1034" spans="1:14" x14ac:dyDescent="0.35">
      <c r="A1034" s="12"/>
      <c r="B1034" s="12"/>
      <c r="C1034" s="17"/>
      <c r="D1034" s="12"/>
      <c r="E1034" s="12"/>
      <c r="M1034" s="12"/>
      <c r="N1034" s="12"/>
    </row>
    <row r="1035" spans="1:14" x14ac:dyDescent="0.35">
      <c r="A1035" s="12"/>
      <c r="B1035" s="12"/>
      <c r="C1035" s="17"/>
      <c r="D1035" s="12"/>
      <c r="E1035" s="12"/>
      <c r="M1035" s="12"/>
      <c r="N1035" s="12"/>
    </row>
    <row r="1036" spans="1:14" x14ac:dyDescent="0.35">
      <c r="A1036" s="12"/>
      <c r="B1036" s="12"/>
      <c r="C1036" s="17"/>
      <c r="D1036" s="12"/>
      <c r="E1036" s="12"/>
      <c r="M1036" s="12"/>
      <c r="N1036" s="12"/>
    </row>
    <row r="1037" spans="1:14" x14ac:dyDescent="0.35">
      <c r="A1037" s="12"/>
      <c r="B1037" s="12"/>
      <c r="C1037" s="17"/>
      <c r="D1037" s="12"/>
      <c r="E1037" s="12"/>
      <c r="M1037" s="12"/>
      <c r="N1037" s="12"/>
    </row>
    <row r="1038" spans="1:14" x14ac:dyDescent="0.35">
      <c r="A1038" s="12"/>
      <c r="B1038" s="12"/>
      <c r="C1038" s="17"/>
      <c r="D1038" s="12"/>
      <c r="E1038" s="12"/>
      <c r="M1038" s="12"/>
      <c r="N1038" s="12"/>
    </row>
    <row r="1039" spans="1:14" x14ac:dyDescent="0.35">
      <c r="A1039" s="12"/>
      <c r="B1039" s="12"/>
      <c r="C1039" s="17"/>
      <c r="D1039" s="12"/>
      <c r="E1039" s="12"/>
      <c r="M1039" s="12"/>
      <c r="N1039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BBF9-7276-418A-BC34-E89F88C386E6}">
  <dimension ref="A1:P1000"/>
  <sheetViews>
    <sheetView workbookViewId="0">
      <selection activeCell="C11" sqref="C11"/>
    </sheetView>
  </sheetViews>
  <sheetFormatPr defaultColWidth="14.453125" defaultRowHeight="14.5" x14ac:dyDescent="0.35"/>
  <cols>
    <col min="1" max="1" width="8.81640625" style="28" customWidth="1"/>
    <col min="2" max="2" width="12" style="28" customWidth="1"/>
    <col min="3" max="3" width="17.453125" style="29" customWidth="1"/>
    <col min="4" max="4" width="14.1796875" style="29" customWidth="1"/>
    <col min="5" max="5" width="20.453125" style="28" customWidth="1"/>
    <col min="6" max="7" width="8.6328125" style="31" customWidth="1"/>
    <col min="8" max="8" width="12" style="31" customWidth="1"/>
    <col min="9" max="9" width="12.90625" style="31" customWidth="1"/>
    <col min="10" max="10" width="8.6328125" style="31" customWidth="1"/>
    <col min="11" max="11" width="7.54296875" style="31" customWidth="1"/>
    <col min="12" max="12" width="12.81640625" style="31" bestFit="1" customWidth="1"/>
    <col min="13" max="13" width="16" style="34" customWidth="1"/>
    <col min="14" max="14" width="16.81640625" style="28" bestFit="1" customWidth="1"/>
    <col min="15" max="15" width="20.1796875" style="28" bestFit="1" customWidth="1"/>
    <col min="16" max="16" width="18.453125" style="28" bestFit="1" customWidth="1"/>
    <col min="17" max="27" width="8.6328125" style="28" customWidth="1"/>
    <col min="28" max="16384" width="14.453125" style="28"/>
  </cols>
  <sheetData>
    <row r="1" spans="1:16" ht="14.25" customHeight="1" x14ac:dyDescent="0.45">
      <c r="A1" s="22" t="s">
        <v>0</v>
      </c>
      <c r="B1" s="23" t="s">
        <v>1</v>
      </c>
      <c r="C1" s="22" t="s">
        <v>2</v>
      </c>
      <c r="D1" s="23" t="s">
        <v>3</v>
      </c>
      <c r="E1" s="23" t="s">
        <v>4</v>
      </c>
      <c r="F1" s="24" t="s">
        <v>5</v>
      </c>
      <c r="G1" s="24" t="s">
        <v>6</v>
      </c>
      <c r="H1" s="25" t="s">
        <v>7</v>
      </c>
      <c r="I1" s="25" t="s">
        <v>8</v>
      </c>
      <c r="J1" s="24" t="s">
        <v>9</v>
      </c>
      <c r="K1" s="24" t="s">
        <v>10</v>
      </c>
      <c r="L1" s="26" t="s">
        <v>453</v>
      </c>
      <c r="M1" s="27" t="s">
        <v>12</v>
      </c>
      <c r="N1" s="22" t="s">
        <v>454</v>
      </c>
      <c r="O1" s="22" t="s">
        <v>455</v>
      </c>
      <c r="P1" s="22" t="s">
        <v>456</v>
      </c>
    </row>
    <row r="2" spans="1:16" ht="14.25" customHeight="1" x14ac:dyDescent="0.35">
      <c r="A2" s="28" t="s">
        <v>13</v>
      </c>
      <c r="B2" s="29" t="s">
        <v>14</v>
      </c>
      <c r="C2" s="30">
        <v>45649</v>
      </c>
      <c r="D2" s="29" t="s">
        <v>16</v>
      </c>
      <c r="E2" s="28" t="s">
        <v>17</v>
      </c>
      <c r="F2" s="31">
        <v>1461</v>
      </c>
      <c r="G2" s="31">
        <v>184</v>
      </c>
      <c r="H2" s="31">
        <v>344</v>
      </c>
      <c r="I2" s="31">
        <v>21915</v>
      </c>
      <c r="J2" s="31">
        <v>21675</v>
      </c>
      <c r="K2" s="31">
        <v>15</v>
      </c>
      <c r="L2" s="31">
        <f>[1]!Posts_Table[[#This Row],[Likes]]+[1]!Posts_Table[[#This Row],[Shares]]+[1]!Posts_Table[[#This Row],[Comments]]</f>
        <v>1989</v>
      </c>
      <c r="M2" s="32" t="s">
        <v>18</v>
      </c>
      <c r="N2" s="33" t="s">
        <v>53</v>
      </c>
      <c r="O2" s="33" t="s">
        <v>431</v>
      </c>
      <c r="P2" s="33"/>
    </row>
    <row r="3" spans="1:16" ht="14.25" customHeight="1" x14ac:dyDescent="0.35">
      <c r="A3" s="28" t="s">
        <v>19</v>
      </c>
      <c r="B3" s="29" t="s">
        <v>14</v>
      </c>
      <c r="C3" s="30">
        <v>45750</v>
      </c>
      <c r="D3" s="29" t="s">
        <v>20</v>
      </c>
      <c r="E3" s="28" t="s">
        <v>21</v>
      </c>
      <c r="F3" s="31">
        <v>4054</v>
      </c>
      <c r="G3" s="31">
        <v>389</v>
      </c>
      <c r="H3" s="31">
        <v>493</v>
      </c>
      <c r="I3" s="31">
        <v>64864</v>
      </c>
      <c r="J3" s="31">
        <v>64383</v>
      </c>
      <c r="K3" s="31">
        <v>117</v>
      </c>
      <c r="L3" s="31">
        <f>[1]!Posts_Table[[#This Row],[Likes]]+[1]!Posts_Table[[#This Row],[Shares]]+[1]!Posts_Table[[#This Row],[Comments]]</f>
        <v>4936</v>
      </c>
      <c r="M3" s="32" t="s">
        <v>22</v>
      </c>
      <c r="N3" s="33" t="s">
        <v>27</v>
      </c>
      <c r="O3" s="33" t="s">
        <v>432</v>
      </c>
      <c r="P3" s="33"/>
    </row>
    <row r="4" spans="1:16" ht="14.25" customHeight="1" x14ac:dyDescent="0.35">
      <c r="A4" s="28" t="s">
        <v>23</v>
      </c>
      <c r="B4" s="29" t="s">
        <v>24</v>
      </c>
      <c r="C4" s="30">
        <v>45789</v>
      </c>
      <c r="D4" s="29" t="s">
        <v>16</v>
      </c>
      <c r="E4" s="28" t="s">
        <v>26</v>
      </c>
      <c r="F4" s="31">
        <v>2795</v>
      </c>
      <c r="G4" s="31">
        <v>105</v>
      </c>
      <c r="H4" s="31">
        <v>49</v>
      </c>
      <c r="I4" s="31">
        <v>53105</v>
      </c>
      <c r="J4" s="31">
        <v>52307</v>
      </c>
      <c r="K4" s="31">
        <v>204</v>
      </c>
      <c r="L4" s="31">
        <f>[1]!Posts_Table[[#This Row],[Likes]]+[1]!Posts_Table[[#This Row],[Shares]]+[1]!Posts_Table[[#This Row],[Comments]]</f>
        <v>2949</v>
      </c>
      <c r="M4" s="32" t="s">
        <v>28</v>
      </c>
      <c r="N4" s="33" t="s">
        <v>27</v>
      </c>
      <c r="O4" s="33"/>
      <c r="P4" s="33"/>
    </row>
    <row r="5" spans="1:16" ht="14.25" customHeight="1" x14ac:dyDescent="0.35">
      <c r="A5" s="28" t="s">
        <v>29</v>
      </c>
      <c r="B5" s="29" t="s">
        <v>30</v>
      </c>
      <c r="C5" s="30">
        <v>45516</v>
      </c>
      <c r="D5" s="29" t="s">
        <v>32</v>
      </c>
      <c r="E5" s="28" t="s">
        <v>33</v>
      </c>
      <c r="F5" s="31">
        <v>2404</v>
      </c>
      <c r="G5" s="31">
        <v>363</v>
      </c>
      <c r="H5" s="31">
        <v>138</v>
      </c>
      <c r="I5" s="31">
        <v>19232</v>
      </c>
      <c r="J5" s="31">
        <v>18636</v>
      </c>
      <c r="K5" s="31">
        <v>128</v>
      </c>
      <c r="L5" s="31">
        <f>[1]!Posts_Table[[#This Row],[Likes]]+[1]!Posts_Table[[#This Row],[Shares]]+[1]!Posts_Table[[#This Row],[Comments]]</f>
        <v>2905</v>
      </c>
      <c r="M5" s="32" t="s">
        <v>35</v>
      </c>
      <c r="N5" s="33" t="s">
        <v>34</v>
      </c>
      <c r="O5" s="33"/>
      <c r="P5" s="33"/>
    </row>
    <row r="6" spans="1:16" ht="14.25" customHeight="1" x14ac:dyDescent="0.35">
      <c r="A6" s="28" t="s">
        <v>36</v>
      </c>
      <c r="B6" s="29" t="s">
        <v>24</v>
      </c>
      <c r="C6" s="30">
        <v>45469</v>
      </c>
      <c r="D6" s="29" t="s">
        <v>16</v>
      </c>
      <c r="E6" s="28" t="s">
        <v>26</v>
      </c>
      <c r="F6" s="31">
        <v>3557</v>
      </c>
      <c r="G6" s="31">
        <v>687</v>
      </c>
      <c r="H6" s="31">
        <v>424</v>
      </c>
      <c r="I6" s="31">
        <v>71140</v>
      </c>
      <c r="J6" s="31">
        <v>70701</v>
      </c>
      <c r="K6" s="31">
        <v>224</v>
      </c>
      <c r="L6" s="31">
        <f>[1]!Posts_Table[[#This Row],[Likes]]+[1]!Posts_Table[[#This Row],[Shares]]+[1]!Posts_Table[[#This Row],[Comments]]</f>
        <v>4668</v>
      </c>
      <c r="M6" s="32" t="s">
        <v>18</v>
      </c>
      <c r="N6" s="33" t="s">
        <v>34</v>
      </c>
      <c r="O6" s="33" t="s">
        <v>27</v>
      </c>
      <c r="P6" s="33"/>
    </row>
    <row r="7" spans="1:16" ht="14.25" customHeight="1" x14ac:dyDescent="0.35">
      <c r="A7" s="28" t="s">
        <v>37</v>
      </c>
      <c r="B7" s="29" t="s">
        <v>38</v>
      </c>
      <c r="C7" s="30">
        <v>45596</v>
      </c>
      <c r="D7" s="29" t="s">
        <v>40</v>
      </c>
      <c r="E7" s="28" t="s">
        <v>41</v>
      </c>
      <c r="F7" s="31">
        <v>2945</v>
      </c>
      <c r="G7" s="31">
        <v>930</v>
      </c>
      <c r="H7" s="31">
        <v>355</v>
      </c>
      <c r="I7" s="31">
        <v>23560</v>
      </c>
      <c r="J7" s="31">
        <v>23275</v>
      </c>
      <c r="K7" s="31">
        <v>256</v>
      </c>
      <c r="L7" s="31">
        <f>[1]!Posts_Table[[#This Row],[Likes]]+[1]!Posts_Table[[#This Row],[Shares]]+[1]!Posts_Table[[#This Row],[Comments]]</f>
        <v>4230</v>
      </c>
      <c r="M7" s="32" t="s">
        <v>22</v>
      </c>
      <c r="N7" s="33" t="s">
        <v>27</v>
      </c>
      <c r="O7" s="33"/>
      <c r="P7" s="33"/>
    </row>
    <row r="8" spans="1:16" ht="14.25" customHeight="1" x14ac:dyDescent="0.35">
      <c r="A8" s="28" t="s">
        <v>42</v>
      </c>
      <c r="B8" s="29" t="s">
        <v>14</v>
      </c>
      <c r="C8" s="30">
        <v>45467</v>
      </c>
      <c r="D8" s="29" t="s">
        <v>40</v>
      </c>
      <c r="E8" s="28" t="s">
        <v>44</v>
      </c>
      <c r="F8" s="31">
        <v>3860</v>
      </c>
      <c r="G8" s="31">
        <v>201</v>
      </c>
      <c r="H8" s="31">
        <v>279</v>
      </c>
      <c r="I8" s="31">
        <v>61760</v>
      </c>
      <c r="J8" s="31">
        <v>61660</v>
      </c>
      <c r="K8" s="31">
        <v>235</v>
      </c>
      <c r="L8" s="31">
        <f>[1]!Posts_Table[[#This Row],[Likes]]+[1]!Posts_Table[[#This Row],[Shares]]+[1]!Posts_Table[[#This Row],[Comments]]</f>
        <v>4340</v>
      </c>
      <c r="M8" s="32" t="s">
        <v>22</v>
      </c>
      <c r="N8" s="33" t="s">
        <v>27</v>
      </c>
      <c r="O8" s="33"/>
      <c r="P8" s="33"/>
    </row>
    <row r="9" spans="1:16" ht="14.25" customHeight="1" x14ac:dyDescent="0.35">
      <c r="A9" s="28" t="s">
        <v>45</v>
      </c>
      <c r="B9" s="29" t="s">
        <v>24</v>
      </c>
      <c r="C9" s="30">
        <v>45486</v>
      </c>
      <c r="D9" s="29" t="s">
        <v>46</v>
      </c>
      <c r="E9" s="28" t="s">
        <v>47</v>
      </c>
      <c r="F9" s="31">
        <v>3929</v>
      </c>
      <c r="G9" s="31">
        <v>262</v>
      </c>
      <c r="H9" s="31">
        <v>278</v>
      </c>
      <c r="I9" s="31">
        <v>43219</v>
      </c>
      <c r="J9" s="31">
        <v>42841</v>
      </c>
      <c r="K9" s="31">
        <v>39</v>
      </c>
      <c r="L9" s="31">
        <f>[1]!Posts_Table[[#This Row],[Likes]]+[1]!Posts_Table[[#This Row],[Shares]]+[1]!Posts_Table[[#This Row],[Comments]]</f>
        <v>4469</v>
      </c>
      <c r="M9" s="32" t="s">
        <v>35</v>
      </c>
      <c r="N9" s="33" t="s">
        <v>34</v>
      </c>
      <c r="O9" s="33"/>
      <c r="P9" s="33"/>
    </row>
    <row r="10" spans="1:16" ht="14.25" customHeight="1" x14ac:dyDescent="0.35">
      <c r="A10" s="28" t="s">
        <v>48</v>
      </c>
      <c r="B10" s="29" t="s">
        <v>38</v>
      </c>
      <c r="C10" s="30">
        <v>45534</v>
      </c>
      <c r="D10" s="29" t="s">
        <v>20</v>
      </c>
      <c r="E10" s="28" t="s">
        <v>49</v>
      </c>
      <c r="F10" s="31">
        <v>3784</v>
      </c>
      <c r="G10" s="31">
        <v>808</v>
      </c>
      <c r="H10" s="31">
        <v>404</v>
      </c>
      <c r="I10" s="31">
        <v>56760</v>
      </c>
      <c r="J10" s="31">
        <v>56343</v>
      </c>
      <c r="K10" s="31">
        <v>131</v>
      </c>
      <c r="L10" s="31">
        <f>[1]!Posts_Table[[#This Row],[Likes]]+[1]!Posts_Table[[#This Row],[Shares]]+[1]!Posts_Table[[#This Row],[Comments]]</f>
        <v>4996</v>
      </c>
      <c r="M10" s="32" t="s">
        <v>22</v>
      </c>
      <c r="N10" s="33" t="s">
        <v>27</v>
      </c>
      <c r="O10" s="33"/>
      <c r="P10" s="33"/>
    </row>
    <row r="11" spans="1:16" ht="14.25" customHeight="1" x14ac:dyDescent="0.35">
      <c r="A11" s="28" t="s">
        <v>50</v>
      </c>
      <c r="B11" s="29" t="s">
        <v>38</v>
      </c>
      <c r="C11" s="30">
        <v>45727</v>
      </c>
      <c r="D11" s="29" t="s">
        <v>46</v>
      </c>
      <c r="E11" s="28" t="s">
        <v>51</v>
      </c>
      <c r="F11" s="31">
        <v>4241</v>
      </c>
      <c r="G11" s="31">
        <v>902</v>
      </c>
      <c r="H11" s="31">
        <v>47</v>
      </c>
      <c r="I11" s="31">
        <v>72097</v>
      </c>
      <c r="J11" s="31">
        <v>71598</v>
      </c>
      <c r="K11" s="31">
        <v>167</v>
      </c>
      <c r="L11" s="31">
        <f>[1]!Posts_Table[[#This Row],[Likes]]+[1]!Posts_Table[[#This Row],[Shares]]+[1]!Posts_Table[[#This Row],[Comments]]</f>
        <v>5190</v>
      </c>
      <c r="M11" s="32" t="s">
        <v>22</v>
      </c>
      <c r="N11" s="33" t="s">
        <v>27</v>
      </c>
      <c r="O11" s="33"/>
      <c r="P11" s="33"/>
    </row>
    <row r="12" spans="1:16" ht="14.25" customHeight="1" x14ac:dyDescent="0.35">
      <c r="A12" s="28" t="s">
        <v>52</v>
      </c>
      <c r="B12" s="29" t="s">
        <v>30</v>
      </c>
      <c r="C12" s="30">
        <v>45690</v>
      </c>
      <c r="D12" s="29" t="s">
        <v>32</v>
      </c>
      <c r="E12" s="28" t="s">
        <v>33</v>
      </c>
      <c r="F12" s="31">
        <v>1792</v>
      </c>
      <c r="G12" s="31">
        <v>614</v>
      </c>
      <c r="H12" s="31">
        <v>497</v>
      </c>
      <c r="I12" s="31">
        <v>25088</v>
      </c>
      <c r="J12" s="31">
        <v>24675</v>
      </c>
      <c r="K12" s="31">
        <v>65</v>
      </c>
      <c r="L12" s="31">
        <f>[1]!Posts_Table[[#This Row],[Likes]]+[1]!Posts_Table[[#This Row],[Shares]]+[1]!Posts_Table[[#This Row],[Comments]]</f>
        <v>2903</v>
      </c>
      <c r="M12" s="32" t="s">
        <v>35</v>
      </c>
      <c r="N12" s="33" t="s">
        <v>53</v>
      </c>
      <c r="O12" s="33"/>
      <c r="P12" s="33"/>
    </row>
    <row r="13" spans="1:16" ht="14.25" customHeight="1" x14ac:dyDescent="0.35">
      <c r="A13" s="28" t="s">
        <v>54</v>
      </c>
      <c r="B13" s="29" t="s">
        <v>38</v>
      </c>
      <c r="C13" s="30">
        <v>45494</v>
      </c>
      <c r="D13" s="29" t="s">
        <v>16</v>
      </c>
      <c r="E13" s="28" t="s">
        <v>55</v>
      </c>
      <c r="F13" s="31">
        <v>1946</v>
      </c>
      <c r="G13" s="31">
        <v>686</v>
      </c>
      <c r="H13" s="31">
        <v>377</v>
      </c>
      <c r="I13" s="31">
        <v>23352</v>
      </c>
      <c r="J13" s="31">
        <v>22982</v>
      </c>
      <c r="K13" s="31">
        <v>213</v>
      </c>
      <c r="L13" s="31">
        <f>[1]!Posts_Table[[#This Row],[Likes]]+[1]!Posts_Table[[#This Row],[Shares]]+[1]!Posts_Table[[#This Row],[Comments]]</f>
        <v>3009</v>
      </c>
      <c r="M13" s="32" t="s">
        <v>28</v>
      </c>
      <c r="N13" s="33" t="s">
        <v>53</v>
      </c>
      <c r="O13" s="33"/>
      <c r="P13" s="33"/>
    </row>
    <row r="14" spans="1:16" ht="14.25" customHeight="1" x14ac:dyDescent="0.35">
      <c r="A14" s="28" t="s">
        <v>56</v>
      </c>
      <c r="B14" s="29" t="s">
        <v>24</v>
      </c>
      <c r="C14" s="30">
        <v>45614</v>
      </c>
      <c r="D14" s="29" t="s">
        <v>40</v>
      </c>
      <c r="E14" s="28" t="s">
        <v>58</v>
      </c>
      <c r="F14" s="31">
        <v>1171</v>
      </c>
      <c r="G14" s="31">
        <v>286</v>
      </c>
      <c r="H14" s="31">
        <v>231</v>
      </c>
      <c r="I14" s="31">
        <v>22249</v>
      </c>
      <c r="J14" s="31">
        <v>21282</v>
      </c>
      <c r="K14" s="31">
        <v>114</v>
      </c>
      <c r="L14" s="31">
        <f>[1]!Posts_Table[[#This Row],[Likes]]+[1]!Posts_Table[[#This Row],[Shares]]+[1]!Posts_Table[[#This Row],[Comments]]</f>
        <v>1688</v>
      </c>
      <c r="M14" s="32" t="s">
        <v>18</v>
      </c>
      <c r="N14" s="33" t="s">
        <v>34</v>
      </c>
      <c r="O14" s="33"/>
      <c r="P14" s="33"/>
    </row>
    <row r="15" spans="1:16" ht="14.25" customHeight="1" x14ac:dyDescent="0.35">
      <c r="A15" s="28" t="s">
        <v>59</v>
      </c>
      <c r="B15" s="29" t="s">
        <v>38</v>
      </c>
      <c r="C15" s="30">
        <v>45704</v>
      </c>
      <c r="D15" s="29" t="s">
        <v>32</v>
      </c>
      <c r="E15" s="28" t="s">
        <v>60</v>
      </c>
      <c r="F15" s="31">
        <v>4242</v>
      </c>
      <c r="G15" s="31">
        <v>555</v>
      </c>
      <c r="H15" s="31">
        <v>131</v>
      </c>
      <c r="I15" s="31">
        <v>33936</v>
      </c>
      <c r="J15" s="31">
        <v>33802</v>
      </c>
      <c r="K15" s="31">
        <v>265</v>
      </c>
      <c r="L15" s="31">
        <f>[1]!Posts_Table[[#This Row],[Likes]]+[1]!Posts_Table[[#This Row],[Shares]]+[1]!Posts_Table[[#This Row],[Comments]]</f>
        <v>4928</v>
      </c>
      <c r="M15" s="32"/>
      <c r="N15" s="33" t="s">
        <v>53</v>
      </c>
      <c r="O15" s="33"/>
      <c r="P15" s="33"/>
    </row>
    <row r="16" spans="1:16" ht="14.25" customHeight="1" x14ac:dyDescent="0.35">
      <c r="A16" s="28" t="s">
        <v>61</v>
      </c>
      <c r="B16" s="29" t="s">
        <v>38</v>
      </c>
      <c r="C16" s="30">
        <v>45589</v>
      </c>
      <c r="D16" s="29" t="s">
        <v>62</v>
      </c>
      <c r="E16" s="28" t="s">
        <v>63</v>
      </c>
      <c r="F16" s="31">
        <v>3888</v>
      </c>
      <c r="G16" s="31">
        <v>604</v>
      </c>
      <c r="H16" s="31">
        <v>128</v>
      </c>
      <c r="I16" s="31">
        <v>77760</v>
      </c>
      <c r="J16" s="31">
        <v>77167</v>
      </c>
      <c r="K16" s="31">
        <v>20</v>
      </c>
      <c r="L16" s="31">
        <f>[1]!Posts_Table[[#This Row],[Likes]]+[1]!Posts_Table[[#This Row],[Shares]]+[1]!Posts_Table[[#This Row],[Comments]]</f>
        <v>4620</v>
      </c>
      <c r="M16" s="32" t="s">
        <v>18</v>
      </c>
      <c r="N16" s="33" t="s">
        <v>53</v>
      </c>
      <c r="O16" s="33"/>
      <c r="P16" s="33"/>
    </row>
    <row r="17" spans="1:16" ht="14.25" customHeight="1" x14ac:dyDescent="0.35">
      <c r="A17" s="28" t="s">
        <v>64</v>
      </c>
      <c r="B17" s="29" t="s">
        <v>38</v>
      </c>
      <c r="C17" s="30">
        <v>45530</v>
      </c>
      <c r="D17" s="29" t="s">
        <v>20</v>
      </c>
      <c r="E17" s="28" t="s">
        <v>49</v>
      </c>
      <c r="F17" s="31">
        <v>3452</v>
      </c>
      <c r="G17" s="31">
        <v>377</v>
      </c>
      <c r="H17" s="31">
        <v>360</v>
      </c>
      <c r="I17" s="31">
        <v>55232</v>
      </c>
      <c r="J17" s="31">
        <v>55075</v>
      </c>
      <c r="K17" s="31">
        <v>87</v>
      </c>
      <c r="L17" s="31">
        <f>[1]!Posts_Table[[#This Row],[Likes]]+[1]!Posts_Table[[#This Row],[Shares]]+[1]!Posts_Table[[#This Row],[Comments]]</f>
        <v>4189</v>
      </c>
      <c r="M17" s="32" t="s">
        <v>28</v>
      </c>
      <c r="N17" s="33" t="s">
        <v>53</v>
      </c>
      <c r="O17" s="33"/>
      <c r="P17" s="33"/>
    </row>
    <row r="18" spans="1:16" ht="14.25" customHeight="1" x14ac:dyDescent="0.35">
      <c r="A18" s="28" t="s">
        <v>66</v>
      </c>
      <c r="B18" s="29" t="s">
        <v>38</v>
      </c>
      <c r="C18" s="30">
        <v>45782</v>
      </c>
      <c r="D18" s="29" t="s">
        <v>20</v>
      </c>
      <c r="E18" s="28" t="s">
        <v>49</v>
      </c>
      <c r="F18" s="31">
        <v>4441</v>
      </c>
      <c r="G18" s="31">
        <v>511</v>
      </c>
      <c r="H18" s="31">
        <v>70</v>
      </c>
      <c r="I18" s="31">
        <v>53292</v>
      </c>
      <c r="J18" s="31">
        <v>53082</v>
      </c>
      <c r="K18" s="31">
        <v>159</v>
      </c>
      <c r="L18" s="31">
        <f>[1]!Posts_Table[[#This Row],[Likes]]+[1]!Posts_Table[[#This Row],[Shares]]+[1]!Posts_Table[[#This Row],[Comments]]</f>
        <v>5022</v>
      </c>
      <c r="M18" s="32" t="s">
        <v>35</v>
      </c>
      <c r="N18" s="33" t="s">
        <v>34</v>
      </c>
      <c r="O18" s="33"/>
      <c r="P18" s="33"/>
    </row>
    <row r="19" spans="1:16" ht="14.25" customHeight="1" x14ac:dyDescent="0.35">
      <c r="A19" s="28" t="s">
        <v>68</v>
      </c>
      <c r="B19" s="29" t="s">
        <v>30</v>
      </c>
      <c r="C19" s="30">
        <v>45523</v>
      </c>
      <c r="D19" s="29" t="s">
        <v>16</v>
      </c>
      <c r="E19" s="28" t="s">
        <v>70</v>
      </c>
      <c r="F19" s="31">
        <v>3000</v>
      </c>
      <c r="G19" s="31">
        <v>382</v>
      </c>
      <c r="H19" s="31">
        <v>325</v>
      </c>
      <c r="I19" s="31">
        <v>36000</v>
      </c>
      <c r="J19" s="31">
        <v>35819</v>
      </c>
      <c r="K19" s="31">
        <v>19</v>
      </c>
      <c r="L19" s="31">
        <f>[1]!Posts_Table[[#This Row],[Likes]]+[1]!Posts_Table[[#This Row],[Shares]]+[1]!Posts_Table[[#This Row],[Comments]]</f>
        <v>3707</v>
      </c>
      <c r="M19" s="32" t="s">
        <v>18</v>
      </c>
      <c r="N19" s="33" t="s">
        <v>53</v>
      </c>
      <c r="O19" s="33"/>
      <c r="P19" s="33"/>
    </row>
    <row r="20" spans="1:16" ht="14.25" customHeight="1" x14ac:dyDescent="0.35">
      <c r="A20" s="28" t="s">
        <v>71</v>
      </c>
      <c r="B20" s="29" t="s">
        <v>30</v>
      </c>
      <c r="C20" s="30">
        <v>45466</v>
      </c>
      <c r="D20" s="29" t="s">
        <v>62</v>
      </c>
      <c r="E20" s="28" t="s">
        <v>72</v>
      </c>
      <c r="F20" s="31">
        <v>1071</v>
      </c>
      <c r="G20" s="31">
        <v>519</v>
      </c>
      <c r="H20" s="31">
        <v>22</v>
      </c>
      <c r="I20" s="31">
        <v>16065</v>
      </c>
      <c r="J20" s="31">
        <v>15865</v>
      </c>
      <c r="K20" s="31">
        <v>103</v>
      </c>
      <c r="L20" s="31">
        <f>[1]!Posts_Table[[#This Row],[Likes]]+[1]!Posts_Table[[#This Row],[Shares]]+[1]!Posts_Table[[#This Row],[Comments]]</f>
        <v>1612</v>
      </c>
      <c r="M20" s="32" t="s">
        <v>35</v>
      </c>
      <c r="N20" s="33" t="s">
        <v>27</v>
      </c>
      <c r="O20" s="33"/>
      <c r="P20" s="33"/>
    </row>
    <row r="21" spans="1:16" ht="14.25" customHeight="1" x14ac:dyDescent="0.35">
      <c r="A21" s="28" t="s">
        <v>73</v>
      </c>
      <c r="B21" s="29" t="s">
        <v>30</v>
      </c>
      <c r="C21" s="30">
        <v>45544</v>
      </c>
      <c r="D21" s="29" t="s">
        <v>40</v>
      </c>
      <c r="E21" s="28" t="s">
        <v>75</v>
      </c>
      <c r="F21" s="31">
        <v>4054</v>
      </c>
      <c r="G21" s="31">
        <v>488</v>
      </c>
      <c r="H21" s="31">
        <v>373</v>
      </c>
      <c r="I21" s="31">
        <v>77026</v>
      </c>
      <c r="J21" s="31">
        <v>76881</v>
      </c>
      <c r="K21" s="31">
        <v>25</v>
      </c>
      <c r="L21" s="31">
        <f>[1]!Posts_Table[[#This Row],[Likes]]+[1]!Posts_Table[[#This Row],[Shares]]+[1]!Posts_Table[[#This Row],[Comments]]</f>
        <v>4915</v>
      </c>
      <c r="M21" s="32" t="s">
        <v>18</v>
      </c>
      <c r="N21" s="33" t="s">
        <v>27</v>
      </c>
      <c r="O21" s="33"/>
      <c r="P21" s="33"/>
    </row>
    <row r="22" spans="1:16" ht="14.25" customHeight="1" x14ac:dyDescent="0.35">
      <c r="A22" s="28" t="s">
        <v>76</v>
      </c>
      <c r="B22" s="29" t="s">
        <v>30</v>
      </c>
      <c r="C22" s="30">
        <v>45661</v>
      </c>
      <c r="D22" s="29" t="s">
        <v>16</v>
      </c>
      <c r="E22" s="28" t="s">
        <v>70</v>
      </c>
      <c r="F22" s="31">
        <v>4838</v>
      </c>
      <c r="G22" s="31">
        <v>640</v>
      </c>
      <c r="H22" s="31">
        <v>128</v>
      </c>
      <c r="I22" s="31">
        <v>72570</v>
      </c>
      <c r="J22" s="31">
        <v>72396</v>
      </c>
      <c r="K22" s="31">
        <v>83</v>
      </c>
      <c r="L22" s="31">
        <f>[1]!Posts_Table[[#This Row],[Likes]]+[1]!Posts_Table[[#This Row],[Shares]]+[1]!Posts_Table[[#This Row],[Comments]]</f>
        <v>5606</v>
      </c>
      <c r="M22" s="32" t="s">
        <v>35</v>
      </c>
      <c r="N22" s="33" t="s">
        <v>53</v>
      </c>
      <c r="O22" s="33"/>
      <c r="P22" s="33"/>
    </row>
    <row r="23" spans="1:16" ht="14.25" customHeight="1" x14ac:dyDescent="0.35">
      <c r="A23" s="28" t="s">
        <v>77</v>
      </c>
      <c r="B23" s="29" t="s">
        <v>38</v>
      </c>
      <c r="C23" s="30">
        <v>45715</v>
      </c>
      <c r="D23" s="29" t="s">
        <v>20</v>
      </c>
      <c r="E23" s="28" t="s">
        <v>49</v>
      </c>
      <c r="F23" s="31">
        <v>1570</v>
      </c>
      <c r="G23" s="31">
        <v>187</v>
      </c>
      <c r="H23" s="31">
        <v>260</v>
      </c>
      <c r="I23" s="31">
        <v>25120</v>
      </c>
      <c r="J23" s="31">
        <v>24613</v>
      </c>
      <c r="K23" s="31">
        <v>133</v>
      </c>
      <c r="L23" s="31">
        <f>[1]!Posts_Table[[#This Row],[Likes]]+[1]!Posts_Table[[#This Row],[Shares]]+[1]!Posts_Table[[#This Row],[Comments]]</f>
        <v>2017</v>
      </c>
      <c r="M23" s="32" t="s">
        <v>35</v>
      </c>
      <c r="N23" s="33" t="s">
        <v>27</v>
      </c>
      <c r="O23" s="33"/>
      <c r="P23" s="33"/>
    </row>
    <row r="24" spans="1:16" ht="14.25" customHeight="1" x14ac:dyDescent="0.35">
      <c r="A24" s="28" t="s">
        <v>78</v>
      </c>
      <c r="B24" s="29" t="s">
        <v>38</v>
      </c>
      <c r="C24" s="30">
        <v>45602</v>
      </c>
      <c r="D24" s="29" t="s">
        <v>62</v>
      </c>
      <c r="E24" s="28" t="s">
        <v>63</v>
      </c>
      <c r="F24" s="31">
        <v>1606</v>
      </c>
      <c r="G24" s="31">
        <v>547</v>
      </c>
      <c r="H24" s="31">
        <v>316</v>
      </c>
      <c r="I24" s="31">
        <v>32120</v>
      </c>
      <c r="J24" s="31">
        <v>31736</v>
      </c>
      <c r="K24" s="31">
        <v>225</v>
      </c>
      <c r="L24" s="31">
        <f>[1]!Posts_Table[[#This Row],[Likes]]+[1]!Posts_Table[[#This Row],[Shares]]+[1]!Posts_Table[[#This Row],[Comments]]</f>
        <v>2469</v>
      </c>
      <c r="M24" s="32" t="s">
        <v>22</v>
      </c>
      <c r="N24" s="33" t="s">
        <v>27</v>
      </c>
      <c r="O24" s="33" t="s">
        <v>431</v>
      </c>
      <c r="P24" s="33"/>
    </row>
    <row r="25" spans="1:16" ht="14.25" customHeight="1" x14ac:dyDescent="0.35">
      <c r="A25" s="28" t="s">
        <v>79</v>
      </c>
      <c r="B25" s="29" t="s">
        <v>38</v>
      </c>
      <c r="C25" s="30">
        <v>45680</v>
      </c>
      <c r="D25" s="29" t="s">
        <v>62</v>
      </c>
      <c r="E25" s="28" t="s">
        <v>63</v>
      </c>
      <c r="F25" s="31">
        <v>3961</v>
      </c>
      <c r="G25" s="31">
        <v>761</v>
      </c>
      <c r="H25" s="31">
        <v>131</v>
      </c>
      <c r="I25" s="31">
        <v>67337</v>
      </c>
      <c r="J25" s="31">
        <v>66615</v>
      </c>
      <c r="K25" s="31">
        <v>161</v>
      </c>
      <c r="L25" s="31">
        <f>[1]!Posts_Table[[#This Row],[Likes]]+[1]!Posts_Table[[#This Row],[Shares]]+[1]!Posts_Table[[#This Row],[Comments]]</f>
        <v>4853</v>
      </c>
      <c r="M25" s="32" t="s">
        <v>28</v>
      </c>
      <c r="N25" s="33" t="s">
        <v>53</v>
      </c>
      <c r="O25" s="33"/>
      <c r="P25" s="33"/>
    </row>
    <row r="26" spans="1:16" ht="14.25" customHeight="1" x14ac:dyDescent="0.35">
      <c r="A26" s="28" t="s">
        <v>80</v>
      </c>
      <c r="B26" s="29" t="s">
        <v>14</v>
      </c>
      <c r="C26" s="30">
        <v>45757</v>
      </c>
      <c r="D26" s="29" t="s">
        <v>40</v>
      </c>
      <c r="E26" s="28" t="s">
        <v>44</v>
      </c>
      <c r="F26" s="31">
        <v>3128</v>
      </c>
      <c r="G26" s="31">
        <v>211</v>
      </c>
      <c r="H26" s="31">
        <v>197</v>
      </c>
      <c r="I26" s="31">
        <v>59432</v>
      </c>
      <c r="J26" s="31">
        <v>59182</v>
      </c>
      <c r="K26" s="31">
        <v>238</v>
      </c>
      <c r="L26" s="31">
        <f>[1]!Posts_Table[[#This Row],[Likes]]+[1]!Posts_Table[[#This Row],[Shares]]+[1]!Posts_Table[[#This Row],[Comments]]</f>
        <v>3536</v>
      </c>
      <c r="M26" s="32"/>
      <c r="N26" s="33" t="s">
        <v>34</v>
      </c>
      <c r="O26" s="33"/>
      <c r="P26" s="33"/>
    </row>
    <row r="27" spans="1:16" ht="14.25" customHeight="1" x14ac:dyDescent="0.35">
      <c r="A27" s="28" t="s">
        <v>81</v>
      </c>
      <c r="B27" s="29" t="s">
        <v>24</v>
      </c>
      <c r="C27" s="30">
        <v>45752</v>
      </c>
      <c r="D27" s="29" t="s">
        <v>16</v>
      </c>
      <c r="E27" s="28" t="s">
        <v>26</v>
      </c>
      <c r="F27" s="31">
        <v>3009</v>
      </c>
      <c r="G27" s="31">
        <v>413</v>
      </c>
      <c r="H27" s="31">
        <v>358</v>
      </c>
      <c r="I27" s="31">
        <v>42126</v>
      </c>
      <c r="J27" s="31">
        <v>41309</v>
      </c>
      <c r="K27" s="31">
        <v>211</v>
      </c>
      <c r="L27" s="31">
        <f>[1]!Posts_Table[[#This Row],[Likes]]+[1]!Posts_Table[[#This Row],[Shares]]+[1]!Posts_Table[[#This Row],[Comments]]</f>
        <v>3780</v>
      </c>
      <c r="M27" s="32" t="s">
        <v>22</v>
      </c>
      <c r="N27" s="33" t="s">
        <v>53</v>
      </c>
      <c r="O27" s="33"/>
      <c r="P27" s="33"/>
    </row>
    <row r="28" spans="1:16" ht="14.25" customHeight="1" x14ac:dyDescent="0.35">
      <c r="A28" s="28" t="s">
        <v>82</v>
      </c>
      <c r="B28" s="29" t="s">
        <v>24</v>
      </c>
      <c r="C28" s="30">
        <v>45552</v>
      </c>
      <c r="D28" s="29" t="s">
        <v>20</v>
      </c>
      <c r="E28" s="28" t="s">
        <v>83</v>
      </c>
      <c r="F28" s="31">
        <v>2076</v>
      </c>
      <c r="G28" s="31">
        <v>195</v>
      </c>
      <c r="H28" s="31">
        <v>104</v>
      </c>
      <c r="I28" s="31">
        <v>33216</v>
      </c>
      <c r="J28" s="31">
        <v>32244</v>
      </c>
      <c r="K28" s="31">
        <v>51</v>
      </c>
      <c r="L28" s="31">
        <f>[1]!Posts_Table[[#This Row],[Likes]]+[1]!Posts_Table[[#This Row],[Shares]]+[1]!Posts_Table[[#This Row],[Comments]]</f>
        <v>2375</v>
      </c>
      <c r="M28" s="32" t="s">
        <v>35</v>
      </c>
      <c r="N28" s="33" t="s">
        <v>53</v>
      </c>
      <c r="O28" s="33"/>
      <c r="P28" s="33"/>
    </row>
    <row r="29" spans="1:16" ht="14.25" customHeight="1" x14ac:dyDescent="0.35">
      <c r="A29" s="28" t="s">
        <v>84</v>
      </c>
      <c r="B29" s="29" t="s">
        <v>30</v>
      </c>
      <c r="C29" s="30">
        <v>45720</v>
      </c>
      <c r="D29" s="29" t="s">
        <v>62</v>
      </c>
      <c r="E29" s="28" t="s">
        <v>72</v>
      </c>
      <c r="F29" s="31">
        <v>432</v>
      </c>
      <c r="G29" s="31">
        <v>624</v>
      </c>
      <c r="H29" s="31">
        <v>123</v>
      </c>
      <c r="I29" s="31">
        <v>6912</v>
      </c>
      <c r="J29" s="31">
        <v>6259</v>
      </c>
      <c r="K29" s="31">
        <v>79</v>
      </c>
      <c r="L29" s="31">
        <f>[1]!Posts_Table[[#This Row],[Likes]]+[1]!Posts_Table[[#This Row],[Shares]]+[1]!Posts_Table[[#This Row],[Comments]]</f>
        <v>1179</v>
      </c>
      <c r="M29" s="32" t="s">
        <v>35</v>
      </c>
      <c r="N29" s="33" t="s">
        <v>53</v>
      </c>
      <c r="O29" s="33"/>
      <c r="P29" s="33"/>
    </row>
    <row r="30" spans="1:16" ht="14.25" customHeight="1" x14ac:dyDescent="0.35">
      <c r="A30" s="28" t="s">
        <v>85</v>
      </c>
      <c r="B30" s="29" t="s">
        <v>30</v>
      </c>
      <c r="C30" s="30">
        <v>45688</v>
      </c>
      <c r="D30" s="29" t="s">
        <v>40</v>
      </c>
      <c r="E30" s="28" t="s">
        <v>75</v>
      </c>
      <c r="F30" s="31">
        <v>2566</v>
      </c>
      <c r="G30" s="31">
        <v>118</v>
      </c>
      <c r="H30" s="31">
        <v>37</v>
      </c>
      <c r="I30" s="31">
        <v>12830</v>
      </c>
      <c r="J30" s="31">
        <v>12264</v>
      </c>
      <c r="K30" s="31">
        <v>221</v>
      </c>
      <c r="L30" s="31">
        <f>[1]!Posts_Table[[#This Row],[Likes]]+[1]!Posts_Table[[#This Row],[Shares]]+[1]!Posts_Table[[#This Row],[Comments]]</f>
        <v>2721</v>
      </c>
      <c r="M30" s="32" t="s">
        <v>28</v>
      </c>
      <c r="N30" s="33" t="s">
        <v>53</v>
      </c>
      <c r="O30" s="33"/>
      <c r="P30" s="33"/>
    </row>
    <row r="31" spans="1:16" ht="14.25" customHeight="1" x14ac:dyDescent="0.35">
      <c r="A31" s="28" t="s">
        <v>86</v>
      </c>
      <c r="B31" s="29" t="s">
        <v>30</v>
      </c>
      <c r="C31" s="30">
        <v>45713</v>
      </c>
      <c r="D31" s="29" t="s">
        <v>62</v>
      </c>
      <c r="E31" s="28" t="s">
        <v>72</v>
      </c>
      <c r="F31" s="31">
        <v>3095</v>
      </c>
      <c r="G31" s="31">
        <v>39</v>
      </c>
      <c r="H31" s="31">
        <v>78</v>
      </c>
      <c r="I31" s="31">
        <v>55710</v>
      </c>
      <c r="J31" s="31">
        <v>54808</v>
      </c>
      <c r="K31" s="31">
        <v>93</v>
      </c>
      <c r="L31" s="31">
        <f>[1]!Posts_Table[[#This Row],[Likes]]+[1]!Posts_Table[[#This Row],[Shares]]+[1]!Posts_Table[[#This Row],[Comments]]</f>
        <v>3212</v>
      </c>
      <c r="M31" s="32"/>
      <c r="N31" s="33" t="s">
        <v>34</v>
      </c>
      <c r="O31" s="33"/>
      <c r="P31" s="33"/>
    </row>
    <row r="32" spans="1:16" ht="14.25" customHeight="1" x14ac:dyDescent="0.35">
      <c r="A32" s="28" t="s">
        <v>87</v>
      </c>
      <c r="B32" s="29" t="s">
        <v>30</v>
      </c>
      <c r="C32" s="30">
        <v>45642</v>
      </c>
      <c r="D32" s="29" t="s">
        <v>20</v>
      </c>
      <c r="E32" s="28" t="s">
        <v>89</v>
      </c>
      <c r="F32" s="31">
        <v>438</v>
      </c>
      <c r="G32" s="31">
        <v>153</v>
      </c>
      <c r="H32" s="31">
        <v>275</v>
      </c>
      <c r="I32" s="31">
        <v>3066</v>
      </c>
      <c r="J32" s="31">
        <v>2701</v>
      </c>
      <c r="K32" s="31">
        <v>282</v>
      </c>
      <c r="L32" s="31">
        <f>[1]!Posts_Table[[#This Row],[Likes]]+[1]!Posts_Table[[#This Row],[Shares]]+[1]!Posts_Table[[#This Row],[Comments]]</f>
        <v>866</v>
      </c>
      <c r="M32" s="32" t="s">
        <v>22</v>
      </c>
      <c r="N32" s="33" t="s">
        <v>27</v>
      </c>
      <c r="O32" s="33"/>
      <c r="P32" s="33"/>
    </row>
    <row r="33" spans="1:16" ht="14.25" customHeight="1" x14ac:dyDescent="0.35">
      <c r="A33" s="28" t="s">
        <v>90</v>
      </c>
      <c r="B33" s="29" t="s">
        <v>14</v>
      </c>
      <c r="C33" s="30">
        <v>45504</v>
      </c>
      <c r="D33" s="29" t="s">
        <v>40</v>
      </c>
      <c r="E33" s="28" t="s">
        <v>44</v>
      </c>
      <c r="F33" s="31">
        <v>2278</v>
      </c>
      <c r="G33" s="31">
        <v>10</v>
      </c>
      <c r="H33" s="31">
        <v>321</v>
      </c>
      <c r="I33" s="31">
        <v>13668</v>
      </c>
      <c r="J33" s="31">
        <v>12676</v>
      </c>
      <c r="K33" s="31">
        <v>275</v>
      </c>
      <c r="L33" s="31">
        <f>[1]!Posts_Table[[#This Row],[Likes]]+[1]!Posts_Table[[#This Row],[Shares]]+[1]!Posts_Table[[#This Row],[Comments]]</f>
        <v>2609</v>
      </c>
      <c r="M33" s="32" t="s">
        <v>18</v>
      </c>
      <c r="N33" s="33" t="s">
        <v>34</v>
      </c>
      <c r="O33" s="33"/>
      <c r="P33" s="33"/>
    </row>
    <row r="34" spans="1:16" ht="14.25" customHeight="1" x14ac:dyDescent="0.35">
      <c r="A34" s="28" t="s">
        <v>91</v>
      </c>
      <c r="B34" s="29" t="s">
        <v>38</v>
      </c>
      <c r="C34" s="30">
        <v>45525</v>
      </c>
      <c r="D34" s="29" t="s">
        <v>46</v>
      </c>
      <c r="E34" s="28" t="s">
        <v>51</v>
      </c>
      <c r="F34" s="31">
        <v>1407</v>
      </c>
      <c r="G34" s="31">
        <v>400</v>
      </c>
      <c r="H34" s="31">
        <v>351</v>
      </c>
      <c r="I34" s="31">
        <v>16884</v>
      </c>
      <c r="J34" s="31">
        <v>15954</v>
      </c>
      <c r="K34" s="31">
        <v>113</v>
      </c>
      <c r="L34" s="31">
        <f>[1]!Posts_Table[[#This Row],[Likes]]+[1]!Posts_Table[[#This Row],[Shares]]+[1]!Posts_Table[[#This Row],[Comments]]</f>
        <v>2158</v>
      </c>
      <c r="M34" s="32" t="s">
        <v>18</v>
      </c>
      <c r="N34" s="33" t="s">
        <v>27</v>
      </c>
      <c r="O34" s="33"/>
      <c r="P34" s="33"/>
    </row>
    <row r="35" spans="1:16" ht="14.25" customHeight="1" x14ac:dyDescent="0.35">
      <c r="A35" s="28" t="s">
        <v>92</v>
      </c>
      <c r="B35" s="29" t="s">
        <v>38</v>
      </c>
      <c r="C35" s="30">
        <v>45742</v>
      </c>
      <c r="D35" s="29" t="s">
        <v>20</v>
      </c>
      <c r="E35" s="28" t="s">
        <v>49</v>
      </c>
      <c r="F35" s="31">
        <v>1652</v>
      </c>
      <c r="G35" s="31">
        <v>89</v>
      </c>
      <c r="H35" s="31">
        <v>357</v>
      </c>
      <c r="I35" s="31">
        <v>29736</v>
      </c>
      <c r="J35" s="31">
        <v>28771</v>
      </c>
      <c r="K35" s="31">
        <v>215</v>
      </c>
      <c r="L35" s="31">
        <f>[1]!Posts_Table[[#This Row],[Likes]]+[1]!Posts_Table[[#This Row],[Shares]]+[1]!Posts_Table[[#This Row],[Comments]]</f>
        <v>2098</v>
      </c>
      <c r="M35" s="32" t="s">
        <v>28</v>
      </c>
      <c r="N35" s="33" t="s">
        <v>27</v>
      </c>
      <c r="O35" s="33"/>
      <c r="P35" s="33"/>
    </row>
    <row r="36" spans="1:16" ht="14.25" customHeight="1" x14ac:dyDescent="0.35">
      <c r="A36" s="28" t="s">
        <v>93</v>
      </c>
      <c r="B36" s="29" t="s">
        <v>30</v>
      </c>
      <c r="C36" s="30">
        <v>45626</v>
      </c>
      <c r="D36" s="29" t="s">
        <v>62</v>
      </c>
      <c r="E36" s="28" t="s">
        <v>72</v>
      </c>
      <c r="F36" s="31">
        <v>3775</v>
      </c>
      <c r="G36" s="31">
        <v>16</v>
      </c>
      <c r="H36" s="31">
        <v>239</v>
      </c>
      <c r="I36" s="31">
        <v>33975</v>
      </c>
      <c r="J36" s="31">
        <v>33310</v>
      </c>
      <c r="K36" s="31">
        <v>271</v>
      </c>
      <c r="L36" s="31">
        <f>[1]!Posts_Table[[#This Row],[Likes]]+[1]!Posts_Table[[#This Row],[Shares]]+[1]!Posts_Table[[#This Row],[Comments]]</f>
        <v>4030</v>
      </c>
      <c r="M36" s="32" t="s">
        <v>22</v>
      </c>
      <c r="N36" s="33" t="s">
        <v>53</v>
      </c>
      <c r="O36" s="33"/>
      <c r="P36" s="33"/>
    </row>
    <row r="37" spans="1:16" ht="14.25" customHeight="1" x14ac:dyDescent="0.35">
      <c r="A37" s="28" t="s">
        <v>94</v>
      </c>
      <c r="B37" s="29" t="s">
        <v>30</v>
      </c>
      <c r="C37" s="30">
        <v>45766</v>
      </c>
      <c r="D37" s="29" t="s">
        <v>32</v>
      </c>
      <c r="E37" s="28" t="s">
        <v>33</v>
      </c>
      <c r="F37" s="31">
        <v>4518</v>
      </c>
      <c r="G37" s="31">
        <v>285</v>
      </c>
      <c r="H37" s="31">
        <v>383</v>
      </c>
      <c r="I37" s="31">
        <v>67770</v>
      </c>
      <c r="J37" s="31">
        <v>67621</v>
      </c>
      <c r="K37" s="31">
        <v>31</v>
      </c>
      <c r="L37" s="31">
        <f>[1]!Posts_Table[[#This Row],[Likes]]+[1]!Posts_Table[[#This Row],[Shares]]+[1]!Posts_Table[[#This Row],[Comments]]</f>
        <v>5186</v>
      </c>
      <c r="M37" s="32" t="s">
        <v>22</v>
      </c>
      <c r="N37" s="33" t="s">
        <v>34</v>
      </c>
      <c r="O37" s="33"/>
      <c r="P37" s="33"/>
    </row>
    <row r="38" spans="1:16" ht="14.25" customHeight="1" x14ac:dyDescent="0.35">
      <c r="A38" s="28" t="s">
        <v>95</v>
      </c>
      <c r="B38" s="29" t="s">
        <v>38</v>
      </c>
      <c r="C38" s="30">
        <v>45663</v>
      </c>
      <c r="D38" s="29" t="s">
        <v>40</v>
      </c>
      <c r="E38" s="28" t="s">
        <v>41</v>
      </c>
      <c r="F38" s="31">
        <v>3024</v>
      </c>
      <c r="G38" s="31">
        <v>925</v>
      </c>
      <c r="H38" s="31">
        <v>350</v>
      </c>
      <c r="I38" s="31">
        <v>24192</v>
      </c>
      <c r="J38" s="31">
        <v>23518</v>
      </c>
      <c r="K38" s="31">
        <v>36</v>
      </c>
      <c r="L38" s="31">
        <f>[1]!Posts_Table[[#This Row],[Likes]]+[1]!Posts_Table[[#This Row],[Shares]]+[1]!Posts_Table[[#This Row],[Comments]]</f>
        <v>4299</v>
      </c>
      <c r="M38" s="32" t="s">
        <v>22</v>
      </c>
      <c r="N38" s="33" t="s">
        <v>34</v>
      </c>
      <c r="O38" s="33"/>
      <c r="P38" s="33"/>
    </row>
    <row r="39" spans="1:16" ht="14.25" customHeight="1" x14ac:dyDescent="0.35">
      <c r="A39" s="28" t="s">
        <v>97</v>
      </c>
      <c r="B39" s="29" t="s">
        <v>24</v>
      </c>
      <c r="C39" s="30">
        <v>45705</v>
      </c>
      <c r="D39" s="29" t="s">
        <v>16</v>
      </c>
      <c r="E39" s="28" t="s">
        <v>26</v>
      </c>
      <c r="F39" s="31">
        <v>3138</v>
      </c>
      <c r="G39" s="31">
        <v>123</v>
      </c>
      <c r="H39" s="31">
        <v>291</v>
      </c>
      <c r="I39" s="31">
        <v>28242</v>
      </c>
      <c r="J39" s="31">
        <v>27550</v>
      </c>
      <c r="K39" s="31">
        <v>87</v>
      </c>
      <c r="L39" s="31">
        <f>[1]!Posts_Table[[#This Row],[Likes]]+[1]!Posts_Table[[#This Row],[Shares]]+[1]!Posts_Table[[#This Row],[Comments]]</f>
        <v>3552</v>
      </c>
      <c r="M39" s="32" t="s">
        <v>35</v>
      </c>
      <c r="N39" s="33" t="s">
        <v>27</v>
      </c>
      <c r="O39" s="33"/>
      <c r="P39" s="33"/>
    </row>
    <row r="40" spans="1:16" ht="14.25" customHeight="1" x14ac:dyDescent="0.35">
      <c r="A40" s="28" t="s">
        <v>99</v>
      </c>
      <c r="B40" s="29" t="s">
        <v>38</v>
      </c>
      <c r="C40" s="30">
        <v>45621</v>
      </c>
      <c r="D40" s="29" t="s">
        <v>46</v>
      </c>
      <c r="E40" s="28" t="s">
        <v>51</v>
      </c>
      <c r="F40" s="31">
        <v>3564</v>
      </c>
      <c r="G40" s="31">
        <v>629</v>
      </c>
      <c r="H40" s="31">
        <v>177</v>
      </c>
      <c r="I40" s="31">
        <v>60588</v>
      </c>
      <c r="J40" s="31">
        <v>59627</v>
      </c>
      <c r="K40" s="31">
        <v>92</v>
      </c>
      <c r="L40" s="31">
        <f>[1]!Posts_Table[[#This Row],[Likes]]+[1]!Posts_Table[[#This Row],[Shares]]+[1]!Posts_Table[[#This Row],[Comments]]</f>
        <v>4370</v>
      </c>
      <c r="M40" s="32"/>
      <c r="N40" s="33" t="s">
        <v>27</v>
      </c>
      <c r="O40" s="33"/>
      <c r="P40" s="33"/>
    </row>
    <row r="41" spans="1:16" ht="14.25" customHeight="1" x14ac:dyDescent="0.35">
      <c r="A41" s="28" t="s">
        <v>101</v>
      </c>
      <c r="B41" s="29" t="s">
        <v>14</v>
      </c>
      <c r="C41" s="30">
        <v>45723</v>
      </c>
      <c r="D41" s="29" t="s">
        <v>46</v>
      </c>
      <c r="E41" s="28" t="s">
        <v>102</v>
      </c>
      <c r="F41" s="31">
        <v>4750</v>
      </c>
      <c r="G41" s="31">
        <v>151</v>
      </c>
      <c r="H41" s="31">
        <v>415</v>
      </c>
      <c r="I41" s="31">
        <v>38000</v>
      </c>
      <c r="J41" s="31">
        <v>37792</v>
      </c>
      <c r="K41" s="31">
        <v>299</v>
      </c>
      <c r="L41" s="31">
        <f>[1]!Posts_Table[[#This Row],[Likes]]+[1]!Posts_Table[[#This Row],[Shares]]+[1]!Posts_Table[[#This Row],[Comments]]</f>
        <v>5316</v>
      </c>
      <c r="M41" s="32" t="s">
        <v>35</v>
      </c>
      <c r="N41" s="33" t="s">
        <v>34</v>
      </c>
      <c r="O41" s="33"/>
      <c r="P41" s="33"/>
    </row>
    <row r="42" spans="1:16" ht="14.25" customHeight="1" x14ac:dyDescent="0.35">
      <c r="A42" s="28" t="s">
        <v>103</v>
      </c>
      <c r="B42" s="29" t="s">
        <v>30</v>
      </c>
      <c r="C42" s="30">
        <v>45724</v>
      </c>
      <c r="D42" s="29" t="s">
        <v>16</v>
      </c>
      <c r="E42" s="28" t="s">
        <v>70</v>
      </c>
      <c r="F42" s="31">
        <v>456</v>
      </c>
      <c r="G42" s="31">
        <v>629</v>
      </c>
      <c r="H42" s="31">
        <v>428</v>
      </c>
      <c r="I42" s="31">
        <v>8208</v>
      </c>
      <c r="J42" s="31">
        <v>7377</v>
      </c>
      <c r="K42" s="31">
        <v>205</v>
      </c>
      <c r="L42" s="31">
        <f>[1]!Posts_Table[[#This Row],[Likes]]+[1]!Posts_Table[[#This Row],[Shares]]+[1]!Posts_Table[[#This Row],[Comments]]</f>
        <v>1513</v>
      </c>
      <c r="M42" s="32" t="s">
        <v>35</v>
      </c>
      <c r="N42" s="33" t="s">
        <v>53</v>
      </c>
      <c r="O42" s="33"/>
      <c r="P42" s="33"/>
    </row>
    <row r="43" spans="1:16" ht="14.25" customHeight="1" x14ac:dyDescent="0.35">
      <c r="A43" s="28" t="s">
        <v>104</v>
      </c>
      <c r="B43" s="29" t="s">
        <v>24</v>
      </c>
      <c r="C43" s="30">
        <v>45721</v>
      </c>
      <c r="D43" s="29" t="s">
        <v>16</v>
      </c>
      <c r="E43" s="28" t="s">
        <v>26</v>
      </c>
      <c r="F43" s="31">
        <v>1543</v>
      </c>
      <c r="G43" s="31">
        <v>820</v>
      </c>
      <c r="H43" s="31">
        <v>333</v>
      </c>
      <c r="I43" s="31">
        <v>12344</v>
      </c>
      <c r="J43" s="31">
        <v>11496</v>
      </c>
      <c r="K43" s="31">
        <v>241</v>
      </c>
      <c r="L43" s="31">
        <f>[1]!Posts_Table[[#This Row],[Likes]]+[1]!Posts_Table[[#This Row],[Shares]]+[1]!Posts_Table[[#This Row],[Comments]]</f>
        <v>2696</v>
      </c>
      <c r="M43" s="32"/>
      <c r="N43" s="33" t="s">
        <v>34</v>
      </c>
      <c r="O43" s="33"/>
      <c r="P43" s="33"/>
    </row>
    <row r="44" spans="1:16" ht="14.25" customHeight="1" x14ac:dyDescent="0.35">
      <c r="A44" s="28" t="s">
        <v>105</v>
      </c>
      <c r="B44" s="29" t="s">
        <v>30</v>
      </c>
      <c r="C44" s="30">
        <v>45640</v>
      </c>
      <c r="D44" s="29" t="s">
        <v>40</v>
      </c>
      <c r="E44" s="28" t="s">
        <v>75</v>
      </c>
      <c r="F44" s="31">
        <v>2174</v>
      </c>
      <c r="G44" s="31">
        <v>658</v>
      </c>
      <c r="H44" s="31">
        <v>15</v>
      </c>
      <c r="I44" s="31">
        <v>13044</v>
      </c>
      <c r="J44" s="31">
        <v>12206</v>
      </c>
      <c r="K44" s="31">
        <v>137</v>
      </c>
      <c r="L44" s="31">
        <f>[1]!Posts_Table[[#This Row],[Likes]]+[1]!Posts_Table[[#This Row],[Shares]]+[1]!Posts_Table[[#This Row],[Comments]]</f>
        <v>2847</v>
      </c>
      <c r="M44" s="32" t="s">
        <v>28</v>
      </c>
      <c r="N44" s="33" t="s">
        <v>27</v>
      </c>
      <c r="O44" s="33"/>
      <c r="P44" s="33"/>
    </row>
    <row r="45" spans="1:16" ht="14.25" customHeight="1" x14ac:dyDescent="0.35">
      <c r="A45" s="28" t="s">
        <v>106</v>
      </c>
      <c r="B45" s="29" t="s">
        <v>14</v>
      </c>
      <c r="C45" s="30">
        <v>45718</v>
      </c>
      <c r="D45" s="29" t="s">
        <v>46</v>
      </c>
      <c r="E45" s="28" t="s">
        <v>102</v>
      </c>
      <c r="F45" s="31">
        <v>2358</v>
      </c>
      <c r="G45" s="31">
        <v>784</v>
      </c>
      <c r="H45" s="31">
        <v>344</v>
      </c>
      <c r="I45" s="31">
        <v>35370</v>
      </c>
      <c r="J45" s="31">
        <v>34475</v>
      </c>
      <c r="K45" s="31">
        <v>216</v>
      </c>
      <c r="L45" s="31">
        <f>[1]!Posts_Table[[#This Row],[Likes]]+[1]!Posts_Table[[#This Row],[Shares]]+[1]!Posts_Table[[#This Row],[Comments]]</f>
        <v>3486</v>
      </c>
      <c r="M45" s="32"/>
      <c r="N45" s="33" t="s">
        <v>27</v>
      </c>
      <c r="O45" s="33"/>
      <c r="P45" s="33"/>
    </row>
    <row r="46" spans="1:16" ht="14.25" customHeight="1" x14ac:dyDescent="0.35">
      <c r="A46" s="28" t="s">
        <v>107</v>
      </c>
      <c r="B46" s="29" t="s">
        <v>38</v>
      </c>
      <c r="C46" s="30">
        <v>45597</v>
      </c>
      <c r="D46" s="29" t="s">
        <v>62</v>
      </c>
      <c r="E46" s="28" t="s">
        <v>63</v>
      </c>
      <c r="F46" s="31">
        <v>3371</v>
      </c>
      <c r="G46" s="31">
        <v>106</v>
      </c>
      <c r="H46" s="31">
        <v>327</v>
      </c>
      <c r="I46" s="31">
        <v>50565</v>
      </c>
      <c r="J46" s="31">
        <v>49816</v>
      </c>
      <c r="K46" s="31">
        <v>176</v>
      </c>
      <c r="L46" s="31">
        <f>[1]!Posts_Table[[#This Row],[Likes]]+[1]!Posts_Table[[#This Row],[Shares]]+[1]!Posts_Table[[#This Row],[Comments]]</f>
        <v>3804</v>
      </c>
      <c r="M46" s="32" t="s">
        <v>18</v>
      </c>
      <c r="N46" s="33" t="s">
        <v>53</v>
      </c>
      <c r="O46" s="33"/>
      <c r="P46" s="33"/>
    </row>
    <row r="47" spans="1:16" ht="14.25" customHeight="1" x14ac:dyDescent="0.35">
      <c r="A47" s="28" t="s">
        <v>108</v>
      </c>
      <c r="B47" s="29" t="s">
        <v>14</v>
      </c>
      <c r="C47" s="30">
        <v>45779</v>
      </c>
      <c r="D47" s="29" t="s">
        <v>62</v>
      </c>
      <c r="E47" s="28" t="s">
        <v>109</v>
      </c>
      <c r="F47" s="31">
        <v>1108</v>
      </c>
      <c r="G47" s="31">
        <v>177</v>
      </c>
      <c r="H47" s="31">
        <v>212</v>
      </c>
      <c r="I47" s="31">
        <v>8864</v>
      </c>
      <c r="J47" s="31">
        <v>8710</v>
      </c>
      <c r="K47" s="31">
        <v>97</v>
      </c>
      <c r="L47" s="31">
        <f>[1]!Posts_Table[[#This Row],[Likes]]+[1]!Posts_Table[[#This Row],[Shares]]+[1]!Posts_Table[[#This Row],[Comments]]</f>
        <v>1497</v>
      </c>
      <c r="M47" s="32" t="s">
        <v>35</v>
      </c>
      <c r="N47" s="33" t="s">
        <v>27</v>
      </c>
      <c r="O47" s="33"/>
      <c r="P47" s="33"/>
    </row>
    <row r="48" spans="1:16" ht="14.25" customHeight="1" x14ac:dyDescent="0.35">
      <c r="A48" s="28" t="s">
        <v>110</v>
      </c>
      <c r="B48" s="29" t="s">
        <v>14</v>
      </c>
      <c r="C48" s="30">
        <v>45712</v>
      </c>
      <c r="D48" s="29" t="s">
        <v>40</v>
      </c>
      <c r="E48" s="28" t="s">
        <v>44</v>
      </c>
      <c r="F48" s="31">
        <v>2704</v>
      </c>
      <c r="G48" s="31">
        <v>752</v>
      </c>
      <c r="H48" s="31">
        <v>153</v>
      </c>
      <c r="I48" s="31">
        <v>21632</v>
      </c>
      <c r="J48" s="31">
        <v>20792</v>
      </c>
      <c r="K48" s="31">
        <v>127</v>
      </c>
      <c r="L48" s="31">
        <f>[1]!Posts_Table[[#This Row],[Likes]]+[1]!Posts_Table[[#This Row],[Shares]]+[1]!Posts_Table[[#This Row],[Comments]]</f>
        <v>3609</v>
      </c>
      <c r="M48" s="32"/>
      <c r="N48" s="33" t="s">
        <v>53</v>
      </c>
      <c r="O48" s="33"/>
      <c r="P48" s="33"/>
    </row>
    <row r="49" spans="1:16" ht="14.25" customHeight="1" x14ac:dyDescent="0.35">
      <c r="A49" s="28" t="s">
        <v>112</v>
      </c>
      <c r="B49" s="29" t="s">
        <v>14</v>
      </c>
      <c r="C49" s="30">
        <v>45727</v>
      </c>
      <c r="D49" s="29" t="s">
        <v>32</v>
      </c>
      <c r="E49" s="28" t="s">
        <v>113</v>
      </c>
      <c r="F49" s="31">
        <v>1950</v>
      </c>
      <c r="G49" s="31">
        <v>295</v>
      </c>
      <c r="H49" s="31">
        <v>478</v>
      </c>
      <c r="I49" s="31">
        <v>37050</v>
      </c>
      <c r="J49" s="31">
        <v>36272</v>
      </c>
      <c r="K49" s="31">
        <v>119</v>
      </c>
      <c r="L49" s="31">
        <f>[1]!Posts_Table[[#This Row],[Likes]]+[1]!Posts_Table[[#This Row],[Shares]]+[1]!Posts_Table[[#This Row],[Comments]]</f>
        <v>2723</v>
      </c>
      <c r="M49" s="32"/>
      <c r="N49" s="33" t="s">
        <v>27</v>
      </c>
      <c r="O49" s="33"/>
      <c r="P49" s="33"/>
    </row>
    <row r="50" spans="1:16" ht="14.25" customHeight="1" x14ac:dyDescent="0.35">
      <c r="A50" s="28" t="s">
        <v>114</v>
      </c>
      <c r="B50" s="29" t="s">
        <v>14</v>
      </c>
      <c r="C50" s="30">
        <v>45453</v>
      </c>
      <c r="D50" s="29" t="s">
        <v>32</v>
      </c>
      <c r="E50" s="28" t="s">
        <v>113</v>
      </c>
      <c r="F50" s="31">
        <v>2164</v>
      </c>
      <c r="G50" s="31">
        <v>549</v>
      </c>
      <c r="H50" s="31">
        <v>274</v>
      </c>
      <c r="I50" s="31">
        <v>28132</v>
      </c>
      <c r="J50" s="31">
        <v>27361</v>
      </c>
      <c r="K50" s="31">
        <v>177</v>
      </c>
      <c r="L50" s="31">
        <f>[1]!Posts_Table[[#This Row],[Likes]]+[1]!Posts_Table[[#This Row],[Shares]]+[1]!Posts_Table[[#This Row],[Comments]]</f>
        <v>2987</v>
      </c>
      <c r="M50" s="32" t="s">
        <v>35</v>
      </c>
      <c r="N50" s="33" t="s">
        <v>27</v>
      </c>
      <c r="O50" s="33"/>
      <c r="P50" s="33"/>
    </row>
    <row r="51" spans="1:16" ht="14.25" customHeight="1" x14ac:dyDescent="0.35">
      <c r="A51" s="28" t="s">
        <v>116</v>
      </c>
      <c r="B51" s="29" t="s">
        <v>24</v>
      </c>
      <c r="C51" s="30">
        <v>45476</v>
      </c>
      <c r="D51" s="29" t="s">
        <v>32</v>
      </c>
      <c r="E51" s="28" t="s">
        <v>117</v>
      </c>
      <c r="F51" s="31">
        <v>2754</v>
      </c>
      <c r="G51" s="31">
        <v>130</v>
      </c>
      <c r="H51" s="31">
        <v>90</v>
      </c>
      <c r="I51" s="31">
        <v>22032</v>
      </c>
      <c r="J51" s="31">
        <v>21288</v>
      </c>
      <c r="K51" s="31">
        <v>112</v>
      </c>
      <c r="L51" s="31">
        <f>[1]!Posts_Table[[#This Row],[Likes]]+[1]!Posts_Table[[#This Row],[Shares]]+[1]!Posts_Table[[#This Row],[Comments]]</f>
        <v>2974</v>
      </c>
      <c r="M51" s="32" t="s">
        <v>28</v>
      </c>
      <c r="N51" s="33" t="s">
        <v>27</v>
      </c>
      <c r="O51" s="33"/>
      <c r="P51" s="33"/>
    </row>
    <row r="52" spans="1:16" ht="14.25" customHeight="1" x14ac:dyDescent="0.35">
      <c r="A52" s="28" t="s">
        <v>118</v>
      </c>
      <c r="B52" s="29" t="s">
        <v>38</v>
      </c>
      <c r="C52" s="30">
        <v>45456</v>
      </c>
      <c r="D52" s="29" t="s">
        <v>40</v>
      </c>
      <c r="E52" s="28" t="s">
        <v>41</v>
      </c>
      <c r="F52" s="31">
        <v>2200</v>
      </c>
      <c r="G52" s="31">
        <v>504</v>
      </c>
      <c r="H52" s="31">
        <v>239</v>
      </c>
      <c r="I52" s="31">
        <v>37400</v>
      </c>
      <c r="J52" s="31">
        <v>36938</v>
      </c>
      <c r="K52" s="31">
        <v>225</v>
      </c>
      <c r="L52" s="31">
        <f>[1]!Posts_Table[[#This Row],[Likes]]+[1]!Posts_Table[[#This Row],[Shares]]+[1]!Posts_Table[[#This Row],[Comments]]</f>
        <v>2943</v>
      </c>
      <c r="M52" s="32" t="s">
        <v>22</v>
      </c>
      <c r="N52" s="33" t="s">
        <v>53</v>
      </c>
      <c r="O52" s="33"/>
      <c r="P52" s="33"/>
    </row>
    <row r="53" spans="1:16" ht="14.25" customHeight="1" x14ac:dyDescent="0.35">
      <c r="A53" s="28" t="s">
        <v>119</v>
      </c>
      <c r="B53" s="29" t="s">
        <v>38</v>
      </c>
      <c r="C53" s="30">
        <v>45660</v>
      </c>
      <c r="D53" s="29" t="s">
        <v>46</v>
      </c>
      <c r="E53" s="28" t="s">
        <v>51</v>
      </c>
      <c r="F53" s="31">
        <v>947</v>
      </c>
      <c r="G53" s="31">
        <v>338</v>
      </c>
      <c r="H53" s="31">
        <v>350</v>
      </c>
      <c r="I53" s="31">
        <v>10417</v>
      </c>
      <c r="J53" s="31">
        <v>9730</v>
      </c>
      <c r="K53" s="31">
        <v>34</v>
      </c>
      <c r="L53" s="31">
        <f>[1]!Posts_Table[[#This Row],[Likes]]+[1]!Posts_Table[[#This Row],[Shares]]+[1]!Posts_Table[[#This Row],[Comments]]</f>
        <v>1635</v>
      </c>
      <c r="M53" s="32" t="s">
        <v>35</v>
      </c>
      <c r="N53" s="33" t="s">
        <v>27</v>
      </c>
      <c r="O53" s="33"/>
      <c r="P53" s="33"/>
    </row>
    <row r="54" spans="1:16" ht="14.25" customHeight="1" x14ac:dyDescent="0.35">
      <c r="A54" s="28" t="s">
        <v>120</v>
      </c>
      <c r="B54" s="29" t="s">
        <v>24</v>
      </c>
      <c r="C54" s="30">
        <v>45712</v>
      </c>
      <c r="D54" s="29" t="s">
        <v>40</v>
      </c>
      <c r="E54" s="28" t="s">
        <v>58</v>
      </c>
      <c r="F54" s="31">
        <v>804</v>
      </c>
      <c r="G54" s="31">
        <v>639</v>
      </c>
      <c r="H54" s="31">
        <v>43</v>
      </c>
      <c r="I54" s="31">
        <v>4020</v>
      </c>
      <c r="J54" s="31">
        <v>3144</v>
      </c>
      <c r="K54" s="31">
        <v>11</v>
      </c>
      <c r="L54" s="31">
        <f>[1]!Posts_Table[[#This Row],[Likes]]+[1]!Posts_Table[[#This Row],[Shares]]+[1]!Posts_Table[[#This Row],[Comments]]</f>
        <v>1486</v>
      </c>
      <c r="M54" s="32"/>
      <c r="N54" s="33" t="s">
        <v>34</v>
      </c>
      <c r="O54" s="33" t="s">
        <v>432</v>
      </c>
      <c r="P54" s="33"/>
    </row>
    <row r="55" spans="1:16" ht="14.25" customHeight="1" x14ac:dyDescent="0.35">
      <c r="A55" s="28" t="s">
        <v>121</v>
      </c>
      <c r="B55" s="29" t="s">
        <v>24</v>
      </c>
      <c r="C55" s="30">
        <v>45729</v>
      </c>
      <c r="D55" s="29" t="s">
        <v>40</v>
      </c>
      <c r="E55" s="28" t="s">
        <v>58</v>
      </c>
      <c r="F55" s="31">
        <v>1686</v>
      </c>
      <c r="G55" s="31">
        <v>904</v>
      </c>
      <c r="H55" s="31">
        <v>472</v>
      </c>
      <c r="I55" s="31">
        <v>18546</v>
      </c>
      <c r="J55" s="31">
        <v>18171</v>
      </c>
      <c r="K55" s="31">
        <v>52</v>
      </c>
      <c r="L55" s="31">
        <f>[1]!Posts_Table[[#This Row],[Likes]]+[1]!Posts_Table[[#This Row],[Shares]]+[1]!Posts_Table[[#This Row],[Comments]]</f>
        <v>3062</v>
      </c>
      <c r="M55" s="32" t="s">
        <v>22</v>
      </c>
      <c r="N55" s="33" t="s">
        <v>53</v>
      </c>
      <c r="O55" s="33"/>
      <c r="P55" s="33"/>
    </row>
    <row r="56" spans="1:16" ht="14.25" customHeight="1" x14ac:dyDescent="0.35">
      <c r="A56" s="28" t="s">
        <v>122</v>
      </c>
      <c r="B56" s="29" t="s">
        <v>38</v>
      </c>
      <c r="C56" s="30">
        <v>45460</v>
      </c>
      <c r="D56" s="29" t="s">
        <v>46</v>
      </c>
      <c r="E56" s="28" t="s">
        <v>51</v>
      </c>
      <c r="F56" s="31">
        <v>1226</v>
      </c>
      <c r="G56" s="31">
        <v>119</v>
      </c>
      <c r="H56" s="31">
        <v>7</v>
      </c>
      <c r="I56" s="31">
        <v>14712</v>
      </c>
      <c r="J56" s="31">
        <v>14049</v>
      </c>
      <c r="K56" s="31">
        <v>123</v>
      </c>
      <c r="L56" s="31">
        <f>[1]!Posts_Table[[#This Row],[Likes]]+[1]!Posts_Table[[#This Row],[Shares]]+[1]!Posts_Table[[#This Row],[Comments]]</f>
        <v>1352</v>
      </c>
      <c r="M56" s="32" t="s">
        <v>35</v>
      </c>
      <c r="N56" s="33" t="s">
        <v>34</v>
      </c>
      <c r="O56" s="33"/>
      <c r="P56" s="33"/>
    </row>
    <row r="57" spans="1:16" ht="14.25" customHeight="1" x14ac:dyDescent="0.35">
      <c r="A57" s="28" t="s">
        <v>124</v>
      </c>
      <c r="B57" s="29" t="s">
        <v>38</v>
      </c>
      <c r="C57" s="30">
        <v>45644</v>
      </c>
      <c r="D57" s="29" t="s">
        <v>40</v>
      </c>
      <c r="E57" s="28" t="s">
        <v>41</v>
      </c>
      <c r="F57" s="31">
        <v>2946</v>
      </c>
      <c r="G57" s="31">
        <v>498</v>
      </c>
      <c r="H57" s="31">
        <v>367</v>
      </c>
      <c r="I57" s="31">
        <v>29460</v>
      </c>
      <c r="J57" s="31">
        <v>28527</v>
      </c>
      <c r="K57" s="31">
        <v>60</v>
      </c>
      <c r="L57" s="31">
        <f>[1]!Posts_Table[[#This Row],[Likes]]+[1]!Posts_Table[[#This Row],[Shares]]+[1]!Posts_Table[[#This Row],[Comments]]</f>
        <v>3811</v>
      </c>
      <c r="M57" s="32" t="s">
        <v>28</v>
      </c>
      <c r="N57" s="33" t="s">
        <v>53</v>
      </c>
      <c r="O57" s="33"/>
      <c r="P57" s="33"/>
    </row>
    <row r="58" spans="1:16" ht="14.25" customHeight="1" x14ac:dyDescent="0.35">
      <c r="A58" s="28" t="s">
        <v>125</v>
      </c>
      <c r="B58" s="29" t="s">
        <v>14</v>
      </c>
      <c r="C58" s="30">
        <v>45586</v>
      </c>
      <c r="D58" s="29" t="s">
        <v>62</v>
      </c>
      <c r="E58" s="28" t="s">
        <v>109</v>
      </c>
      <c r="F58" s="31">
        <v>2825</v>
      </c>
      <c r="G58" s="31">
        <v>535</v>
      </c>
      <c r="H58" s="31">
        <v>295</v>
      </c>
      <c r="I58" s="31">
        <v>45200</v>
      </c>
      <c r="J58" s="31">
        <v>44739</v>
      </c>
      <c r="K58" s="31">
        <v>169</v>
      </c>
      <c r="L58" s="31">
        <f>[1]!Posts_Table[[#This Row],[Likes]]+[1]!Posts_Table[[#This Row],[Shares]]+[1]!Posts_Table[[#This Row],[Comments]]</f>
        <v>3655</v>
      </c>
      <c r="M58" s="32" t="s">
        <v>18</v>
      </c>
      <c r="N58" s="33" t="s">
        <v>27</v>
      </c>
      <c r="O58" s="33"/>
      <c r="P58" s="33"/>
    </row>
    <row r="59" spans="1:16" ht="14.25" customHeight="1" x14ac:dyDescent="0.35">
      <c r="A59" s="28" t="s">
        <v>127</v>
      </c>
      <c r="B59" s="29" t="s">
        <v>30</v>
      </c>
      <c r="C59" s="30">
        <v>45762</v>
      </c>
      <c r="D59" s="29" t="s">
        <v>16</v>
      </c>
      <c r="E59" s="28" t="s">
        <v>70</v>
      </c>
      <c r="F59" s="31">
        <v>103</v>
      </c>
      <c r="G59" s="31">
        <v>770</v>
      </c>
      <c r="H59" s="31">
        <v>19</v>
      </c>
      <c r="I59" s="31">
        <v>1030</v>
      </c>
      <c r="J59" s="31">
        <v>410</v>
      </c>
      <c r="K59" s="31">
        <v>262</v>
      </c>
      <c r="L59" s="31">
        <f>[1]!Posts_Table[[#This Row],[Likes]]+[1]!Posts_Table[[#This Row],[Shares]]+[1]!Posts_Table[[#This Row],[Comments]]</f>
        <v>892</v>
      </c>
      <c r="M59" s="32" t="s">
        <v>35</v>
      </c>
      <c r="N59" s="33" t="s">
        <v>27</v>
      </c>
      <c r="O59" s="33"/>
      <c r="P59" s="33"/>
    </row>
    <row r="60" spans="1:16" ht="14.25" customHeight="1" x14ac:dyDescent="0.35">
      <c r="A60" s="28" t="s">
        <v>128</v>
      </c>
      <c r="B60" s="29" t="s">
        <v>30</v>
      </c>
      <c r="C60" s="30">
        <v>45465</v>
      </c>
      <c r="D60" s="29" t="s">
        <v>20</v>
      </c>
      <c r="E60" s="28" t="s">
        <v>89</v>
      </c>
      <c r="F60" s="31">
        <v>2180</v>
      </c>
      <c r="G60" s="31">
        <v>263</v>
      </c>
      <c r="H60" s="31">
        <v>387</v>
      </c>
      <c r="I60" s="31">
        <v>30520</v>
      </c>
      <c r="J60" s="31">
        <v>30059</v>
      </c>
      <c r="K60" s="31">
        <v>174</v>
      </c>
      <c r="L60" s="31">
        <f>[1]!Posts_Table[[#This Row],[Likes]]+[1]!Posts_Table[[#This Row],[Shares]]+[1]!Posts_Table[[#This Row],[Comments]]</f>
        <v>2830</v>
      </c>
      <c r="M60" s="32"/>
      <c r="N60" s="33" t="s">
        <v>34</v>
      </c>
      <c r="O60" s="33"/>
      <c r="P60" s="33"/>
    </row>
    <row r="61" spans="1:16" ht="14.25" customHeight="1" x14ac:dyDescent="0.35">
      <c r="A61" s="28" t="s">
        <v>129</v>
      </c>
      <c r="B61" s="29" t="s">
        <v>30</v>
      </c>
      <c r="C61" s="30">
        <v>45685</v>
      </c>
      <c r="D61" s="29" t="s">
        <v>62</v>
      </c>
      <c r="E61" s="28" t="s">
        <v>72</v>
      </c>
      <c r="F61" s="31">
        <v>904</v>
      </c>
      <c r="G61" s="31">
        <v>973</v>
      </c>
      <c r="H61" s="31">
        <v>63</v>
      </c>
      <c r="I61" s="31">
        <v>11752</v>
      </c>
      <c r="J61" s="31">
        <v>11580</v>
      </c>
      <c r="K61" s="31">
        <v>84</v>
      </c>
      <c r="L61" s="31">
        <f>[1]!Posts_Table[[#This Row],[Likes]]+[1]!Posts_Table[[#This Row],[Shares]]+[1]!Posts_Table[[#This Row],[Comments]]</f>
        <v>1940</v>
      </c>
      <c r="M61" s="32" t="s">
        <v>28</v>
      </c>
      <c r="N61" s="33" t="s">
        <v>34</v>
      </c>
      <c r="O61" s="33" t="s">
        <v>27</v>
      </c>
      <c r="P61" s="33" t="s">
        <v>431</v>
      </c>
    </row>
    <row r="62" spans="1:16" ht="14.25" customHeight="1" x14ac:dyDescent="0.35">
      <c r="A62" s="28" t="s">
        <v>130</v>
      </c>
      <c r="B62" s="29" t="s">
        <v>14</v>
      </c>
      <c r="C62" s="30">
        <v>45540</v>
      </c>
      <c r="D62" s="29" t="s">
        <v>62</v>
      </c>
      <c r="E62" s="28" t="s">
        <v>109</v>
      </c>
      <c r="F62" s="31">
        <v>4886</v>
      </c>
      <c r="G62" s="31">
        <v>983</v>
      </c>
      <c r="H62" s="31">
        <v>409</v>
      </c>
      <c r="I62" s="31">
        <v>43974</v>
      </c>
      <c r="J62" s="31">
        <v>43239</v>
      </c>
      <c r="K62" s="31">
        <v>65</v>
      </c>
      <c r="L62" s="31">
        <f>[1]!Posts_Table[[#This Row],[Likes]]+[1]!Posts_Table[[#This Row],[Shares]]+[1]!Posts_Table[[#This Row],[Comments]]</f>
        <v>6278</v>
      </c>
      <c r="M62" s="32" t="s">
        <v>18</v>
      </c>
      <c r="N62" s="33" t="s">
        <v>27</v>
      </c>
      <c r="O62" s="33"/>
      <c r="P62" s="33"/>
    </row>
    <row r="63" spans="1:16" ht="14.25" customHeight="1" x14ac:dyDescent="0.35">
      <c r="A63" s="28" t="s">
        <v>131</v>
      </c>
      <c r="B63" s="29" t="s">
        <v>14</v>
      </c>
      <c r="C63" s="30">
        <v>45618</v>
      </c>
      <c r="D63" s="29" t="s">
        <v>40</v>
      </c>
      <c r="E63" s="28" t="s">
        <v>44</v>
      </c>
      <c r="F63" s="31">
        <v>53</v>
      </c>
      <c r="G63" s="31">
        <v>81</v>
      </c>
      <c r="H63" s="31">
        <v>379</v>
      </c>
      <c r="I63" s="31">
        <v>954</v>
      </c>
      <c r="J63" s="31">
        <v>7</v>
      </c>
      <c r="K63" s="31">
        <v>148</v>
      </c>
      <c r="L63" s="31">
        <f>[1]!Posts_Table[[#This Row],[Likes]]+[1]!Posts_Table[[#This Row],[Shares]]+[1]!Posts_Table[[#This Row],[Comments]]</f>
        <v>513</v>
      </c>
      <c r="M63" s="32" t="s">
        <v>28</v>
      </c>
      <c r="N63" s="33" t="s">
        <v>27</v>
      </c>
      <c r="O63" s="33"/>
      <c r="P63" s="33"/>
    </row>
    <row r="64" spans="1:16" ht="14.25" customHeight="1" x14ac:dyDescent="0.35">
      <c r="A64" s="28" t="s">
        <v>132</v>
      </c>
      <c r="B64" s="29" t="s">
        <v>14</v>
      </c>
      <c r="C64" s="30">
        <v>45504</v>
      </c>
      <c r="D64" s="29" t="s">
        <v>40</v>
      </c>
      <c r="E64" s="28" t="s">
        <v>44</v>
      </c>
      <c r="F64" s="31">
        <v>4507</v>
      </c>
      <c r="G64" s="31">
        <v>217</v>
      </c>
      <c r="H64" s="31">
        <v>13</v>
      </c>
      <c r="I64" s="31">
        <v>90140</v>
      </c>
      <c r="J64" s="31">
        <v>89591</v>
      </c>
      <c r="K64" s="31">
        <v>125</v>
      </c>
      <c r="L64" s="31">
        <f>[1]!Posts_Table[[#This Row],[Likes]]+[1]!Posts_Table[[#This Row],[Shares]]+[1]!Posts_Table[[#This Row],[Comments]]</f>
        <v>4737</v>
      </c>
      <c r="M64" s="32" t="s">
        <v>28</v>
      </c>
      <c r="N64" s="33" t="s">
        <v>53</v>
      </c>
      <c r="O64" s="33"/>
      <c r="P64" s="33"/>
    </row>
    <row r="65" spans="1:16" ht="14.25" customHeight="1" x14ac:dyDescent="0.35">
      <c r="A65" s="28" t="s">
        <v>133</v>
      </c>
      <c r="B65" s="29" t="s">
        <v>38</v>
      </c>
      <c r="C65" s="30">
        <v>45521</v>
      </c>
      <c r="D65" s="29" t="s">
        <v>46</v>
      </c>
      <c r="E65" s="28" t="s">
        <v>51</v>
      </c>
      <c r="F65" s="31">
        <v>2878</v>
      </c>
      <c r="G65" s="31">
        <v>248</v>
      </c>
      <c r="H65" s="31">
        <v>416</v>
      </c>
      <c r="I65" s="31">
        <v>43170</v>
      </c>
      <c r="J65" s="31">
        <v>42667</v>
      </c>
      <c r="K65" s="31">
        <v>75</v>
      </c>
      <c r="L65" s="31">
        <f>[1]!Posts_Table[[#This Row],[Likes]]+[1]!Posts_Table[[#This Row],[Shares]]+[1]!Posts_Table[[#This Row],[Comments]]</f>
        <v>3542</v>
      </c>
      <c r="M65" s="32" t="s">
        <v>28</v>
      </c>
      <c r="N65" s="33" t="s">
        <v>53</v>
      </c>
      <c r="O65" s="33"/>
      <c r="P65" s="33"/>
    </row>
    <row r="66" spans="1:16" ht="14.25" customHeight="1" x14ac:dyDescent="0.35">
      <c r="A66" s="28" t="s">
        <v>134</v>
      </c>
      <c r="B66" s="29" t="s">
        <v>30</v>
      </c>
      <c r="C66" s="30">
        <v>45744</v>
      </c>
      <c r="D66" s="29" t="s">
        <v>32</v>
      </c>
      <c r="E66" s="28" t="s">
        <v>33</v>
      </c>
      <c r="F66" s="31">
        <v>1881</v>
      </c>
      <c r="G66" s="31">
        <v>501</v>
      </c>
      <c r="H66" s="31">
        <v>99</v>
      </c>
      <c r="I66" s="31">
        <v>20691</v>
      </c>
      <c r="J66" s="31">
        <v>19987</v>
      </c>
      <c r="K66" s="31">
        <v>289</v>
      </c>
      <c r="L66" s="31">
        <f>[1]!Posts_Table[[#This Row],[Likes]]+[1]!Posts_Table[[#This Row],[Shares]]+[1]!Posts_Table[[#This Row],[Comments]]</f>
        <v>2481</v>
      </c>
      <c r="M66" s="32"/>
      <c r="N66" s="33" t="s">
        <v>34</v>
      </c>
      <c r="O66" s="33"/>
      <c r="P66" s="33"/>
    </row>
    <row r="67" spans="1:16" ht="14.25" customHeight="1" x14ac:dyDescent="0.35">
      <c r="A67" s="28" t="s">
        <v>135</v>
      </c>
      <c r="B67" s="29" t="s">
        <v>14</v>
      </c>
      <c r="C67" s="30">
        <v>45499</v>
      </c>
      <c r="D67" s="29" t="s">
        <v>40</v>
      </c>
      <c r="E67" s="28" t="s">
        <v>44</v>
      </c>
      <c r="F67" s="31">
        <v>432</v>
      </c>
      <c r="G67" s="31">
        <v>171</v>
      </c>
      <c r="H67" s="31">
        <v>280</v>
      </c>
      <c r="I67" s="31">
        <v>3024</v>
      </c>
      <c r="J67" s="31">
        <v>2285</v>
      </c>
      <c r="K67" s="31">
        <v>184</v>
      </c>
      <c r="L67" s="31">
        <f>[1]!Posts_Table[[#This Row],[Likes]]+[1]!Posts_Table[[#This Row],[Shares]]+[1]!Posts_Table[[#This Row],[Comments]]</f>
        <v>883</v>
      </c>
      <c r="M67" s="32" t="s">
        <v>18</v>
      </c>
      <c r="N67" s="33" t="s">
        <v>34</v>
      </c>
      <c r="O67" s="33"/>
      <c r="P67" s="33"/>
    </row>
    <row r="68" spans="1:16" ht="14.25" customHeight="1" x14ac:dyDescent="0.35">
      <c r="A68" s="28" t="s">
        <v>136</v>
      </c>
      <c r="B68" s="29" t="s">
        <v>38</v>
      </c>
      <c r="C68" s="30">
        <v>45745</v>
      </c>
      <c r="D68" s="29" t="s">
        <v>40</v>
      </c>
      <c r="E68" s="28" t="s">
        <v>41</v>
      </c>
      <c r="F68" s="31">
        <v>4712</v>
      </c>
      <c r="G68" s="31">
        <v>568</v>
      </c>
      <c r="H68" s="31">
        <v>127</v>
      </c>
      <c r="I68" s="31">
        <v>84816</v>
      </c>
      <c r="J68" s="31">
        <v>84691</v>
      </c>
      <c r="K68" s="31">
        <v>100</v>
      </c>
      <c r="L68" s="31">
        <f>[1]!Posts_Table[[#This Row],[Likes]]+[1]!Posts_Table[[#This Row],[Shares]]+[1]!Posts_Table[[#This Row],[Comments]]</f>
        <v>5407</v>
      </c>
      <c r="M68" s="32" t="s">
        <v>28</v>
      </c>
      <c r="N68" s="33" t="s">
        <v>34</v>
      </c>
      <c r="O68" s="33"/>
      <c r="P68" s="33"/>
    </row>
    <row r="69" spans="1:16" ht="14.25" customHeight="1" x14ac:dyDescent="0.35">
      <c r="A69" s="28" t="s">
        <v>137</v>
      </c>
      <c r="B69" s="29" t="s">
        <v>30</v>
      </c>
      <c r="C69" s="30">
        <v>45634</v>
      </c>
      <c r="D69" s="29" t="s">
        <v>32</v>
      </c>
      <c r="E69" s="28" t="s">
        <v>33</v>
      </c>
      <c r="F69" s="31">
        <v>2610</v>
      </c>
      <c r="G69" s="31">
        <v>126</v>
      </c>
      <c r="H69" s="31">
        <v>288</v>
      </c>
      <c r="I69" s="31">
        <v>15660</v>
      </c>
      <c r="J69" s="31">
        <v>15145</v>
      </c>
      <c r="K69" s="31">
        <v>73</v>
      </c>
      <c r="L69" s="31">
        <f>[1]!Posts_Table[[#This Row],[Likes]]+[1]!Posts_Table[[#This Row],[Shares]]+[1]!Posts_Table[[#This Row],[Comments]]</f>
        <v>3024</v>
      </c>
      <c r="M69" s="32"/>
      <c r="N69" s="33" t="s">
        <v>34</v>
      </c>
      <c r="O69" s="33"/>
      <c r="P69" s="33"/>
    </row>
    <row r="70" spans="1:16" ht="14.25" customHeight="1" x14ac:dyDescent="0.35">
      <c r="A70" s="28" t="s">
        <v>138</v>
      </c>
      <c r="B70" s="29" t="s">
        <v>14</v>
      </c>
      <c r="C70" s="30">
        <v>45724</v>
      </c>
      <c r="D70" s="29" t="s">
        <v>20</v>
      </c>
      <c r="E70" s="28" t="s">
        <v>21</v>
      </c>
      <c r="F70" s="31">
        <v>1292</v>
      </c>
      <c r="G70" s="31">
        <v>626</v>
      </c>
      <c r="H70" s="31">
        <v>496</v>
      </c>
      <c r="I70" s="31">
        <v>25840</v>
      </c>
      <c r="J70" s="31">
        <v>24916</v>
      </c>
      <c r="K70" s="31">
        <v>149</v>
      </c>
      <c r="L70" s="31">
        <f>[1]!Posts_Table[[#This Row],[Likes]]+[1]!Posts_Table[[#This Row],[Shares]]+[1]!Posts_Table[[#This Row],[Comments]]</f>
        <v>2414</v>
      </c>
      <c r="M70" s="32" t="s">
        <v>28</v>
      </c>
      <c r="N70" s="33" t="s">
        <v>53</v>
      </c>
      <c r="O70" s="33"/>
      <c r="P70" s="33"/>
    </row>
    <row r="71" spans="1:16" ht="14.25" customHeight="1" x14ac:dyDescent="0.35">
      <c r="A71" s="28" t="s">
        <v>139</v>
      </c>
      <c r="B71" s="29" t="s">
        <v>38</v>
      </c>
      <c r="C71" s="30">
        <v>45749</v>
      </c>
      <c r="D71" s="29" t="s">
        <v>62</v>
      </c>
      <c r="E71" s="28" t="s">
        <v>63</v>
      </c>
      <c r="F71" s="31">
        <v>199</v>
      </c>
      <c r="G71" s="31">
        <v>772</v>
      </c>
      <c r="H71" s="31">
        <v>400</v>
      </c>
      <c r="I71" s="31">
        <v>3582</v>
      </c>
      <c r="J71" s="31">
        <v>2988</v>
      </c>
      <c r="K71" s="31">
        <v>43</v>
      </c>
      <c r="L71" s="31">
        <f>[1]!Posts_Table[[#This Row],[Likes]]+[1]!Posts_Table[[#This Row],[Shares]]+[1]!Posts_Table[[#This Row],[Comments]]</f>
        <v>1371</v>
      </c>
      <c r="M71" s="32"/>
      <c r="N71" s="33" t="s">
        <v>27</v>
      </c>
      <c r="O71" s="33"/>
      <c r="P71" s="33"/>
    </row>
    <row r="72" spans="1:16" ht="14.25" customHeight="1" x14ac:dyDescent="0.35">
      <c r="A72" s="28" t="s">
        <v>140</v>
      </c>
      <c r="B72" s="29" t="s">
        <v>24</v>
      </c>
      <c r="C72" s="30">
        <v>45537</v>
      </c>
      <c r="D72" s="29" t="s">
        <v>40</v>
      </c>
      <c r="E72" s="28" t="s">
        <v>58</v>
      </c>
      <c r="F72" s="31">
        <v>2551</v>
      </c>
      <c r="G72" s="31">
        <v>915</v>
      </c>
      <c r="H72" s="31">
        <v>205</v>
      </c>
      <c r="I72" s="31">
        <v>30612</v>
      </c>
      <c r="J72" s="31">
        <v>30360</v>
      </c>
      <c r="K72" s="31">
        <v>227</v>
      </c>
      <c r="L72" s="31">
        <f>[1]!Posts_Table[[#This Row],[Likes]]+[1]!Posts_Table[[#This Row],[Shares]]+[1]!Posts_Table[[#This Row],[Comments]]</f>
        <v>3671</v>
      </c>
      <c r="M72" s="32" t="s">
        <v>22</v>
      </c>
      <c r="N72" s="33" t="s">
        <v>27</v>
      </c>
      <c r="O72" s="33"/>
      <c r="P72" s="33"/>
    </row>
    <row r="73" spans="1:16" ht="14.25" customHeight="1" x14ac:dyDescent="0.35">
      <c r="A73" s="28" t="s">
        <v>142</v>
      </c>
      <c r="B73" s="29" t="s">
        <v>24</v>
      </c>
      <c r="C73" s="30">
        <v>45719</v>
      </c>
      <c r="D73" s="29" t="s">
        <v>16</v>
      </c>
      <c r="E73" s="28" t="s">
        <v>26</v>
      </c>
      <c r="F73" s="31">
        <v>296</v>
      </c>
      <c r="G73" s="31">
        <v>60</v>
      </c>
      <c r="H73" s="31">
        <v>141</v>
      </c>
      <c r="I73" s="31">
        <v>5624</v>
      </c>
      <c r="J73" s="31">
        <v>5239</v>
      </c>
      <c r="K73" s="31">
        <v>88</v>
      </c>
      <c r="L73" s="31">
        <f>[1]!Posts_Table[[#This Row],[Likes]]+[1]!Posts_Table[[#This Row],[Shares]]+[1]!Posts_Table[[#This Row],[Comments]]</f>
        <v>497</v>
      </c>
      <c r="M73" s="32" t="s">
        <v>22</v>
      </c>
      <c r="N73" s="33" t="s">
        <v>34</v>
      </c>
      <c r="O73" s="33"/>
      <c r="P73" s="33"/>
    </row>
    <row r="74" spans="1:16" ht="14.25" customHeight="1" x14ac:dyDescent="0.35">
      <c r="A74" s="28" t="s">
        <v>144</v>
      </c>
      <c r="B74" s="29" t="s">
        <v>38</v>
      </c>
      <c r="C74" s="30">
        <v>45583</v>
      </c>
      <c r="D74" s="29" t="s">
        <v>32</v>
      </c>
      <c r="E74" s="28" t="s">
        <v>60</v>
      </c>
      <c r="F74" s="31">
        <v>4126</v>
      </c>
      <c r="G74" s="31">
        <v>426</v>
      </c>
      <c r="H74" s="31">
        <v>486</v>
      </c>
      <c r="I74" s="31">
        <v>78394</v>
      </c>
      <c r="J74" s="31">
        <v>77798</v>
      </c>
      <c r="K74" s="31">
        <v>88</v>
      </c>
      <c r="L74" s="31">
        <f>[1]!Posts_Table[[#This Row],[Likes]]+[1]!Posts_Table[[#This Row],[Shares]]+[1]!Posts_Table[[#This Row],[Comments]]</f>
        <v>5038</v>
      </c>
      <c r="M74" s="32" t="s">
        <v>35</v>
      </c>
      <c r="N74" s="33" t="s">
        <v>53</v>
      </c>
      <c r="O74" s="33"/>
      <c r="P74" s="33"/>
    </row>
    <row r="75" spans="1:16" ht="14.25" customHeight="1" x14ac:dyDescent="0.35">
      <c r="A75" s="28" t="s">
        <v>145</v>
      </c>
      <c r="B75" s="29" t="s">
        <v>24</v>
      </c>
      <c r="C75" s="30">
        <v>45593</v>
      </c>
      <c r="D75" s="29" t="s">
        <v>16</v>
      </c>
      <c r="E75" s="28" t="s">
        <v>26</v>
      </c>
      <c r="F75" s="31">
        <v>1855</v>
      </c>
      <c r="G75" s="31">
        <v>200</v>
      </c>
      <c r="H75" s="31">
        <v>174</v>
      </c>
      <c r="I75" s="31">
        <v>16695</v>
      </c>
      <c r="J75" s="31">
        <v>16330</v>
      </c>
      <c r="K75" s="31">
        <v>123</v>
      </c>
      <c r="L75" s="31">
        <f>[1]!Posts_Table[[#This Row],[Likes]]+[1]!Posts_Table[[#This Row],[Shares]]+[1]!Posts_Table[[#This Row],[Comments]]</f>
        <v>2229</v>
      </c>
      <c r="M75" s="32" t="s">
        <v>28</v>
      </c>
      <c r="N75" s="33" t="s">
        <v>27</v>
      </c>
      <c r="O75" s="33"/>
      <c r="P75" s="33"/>
    </row>
    <row r="76" spans="1:16" ht="14.25" customHeight="1" x14ac:dyDescent="0.35">
      <c r="A76" s="28" t="s">
        <v>147</v>
      </c>
      <c r="B76" s="29" t="s">
        <v>30</v>
      </c>
      <c r="C76" s="30">
        <v>45505</v>
      </c>
      <c r="D76" s="29" t="s">
        <v>16</v>
      </c>
      <c r="E76" s="28" t="s">
        <v>70</v>
      </c>
      <c r="F76" s="31">
        <v>1674</v>
      </c>
      <c r="G76" s="31">
        <v>929</v>
      </c>
      <c r="H76" s="31">
        <v>37</v>
      </c>
      <c r="I76" s="31">
        <v>21762</v>
      </c>
      <c r="J76" s="31">
        <v>20998</v>
      </c>
      <c r="K76" s="31">
        <v>255</v>
      </c>
      <c r="L76" s="31">
        <f>[1]!Posts_Table[[#This Row],[Likes]]+[1]!Posts_Table[[#This Row],[Shares]]+[1]!Posts_Table[[#This Row],[Comments]]</f>
        <v>2640</v>
      </c>
      <c r="M76" s="32" t="s">
        <v>35</v>
      </c>
      <c r="N76" s="33" t="s">
        <v>27</v>
      </c>
      <c r="O76" s="33"/>
      <c r="P76" s="33"/>
    </row>
    <row r="77" spans="1:16" ht="14.25" customHeight="1" x14ac:dyDescent="0.35">
      <c r="A77" s="28" t="s">
        <v>148</v>
      </c>
      <c r="B77" s="29" t="s">
        <v>14</v>
      </c>
      <c r="C77" s="30">
        <v>45603</v>
      </c>
      <c r="D77" s="29" t="s">
        <v>32</v>
      </c>
      <c r="E77" s="28" t="s">
        <v>113</v>
      </c>
      <c r="F77" s="31">
        <v>1121</v>
      </c>
      <c r="G77" s="31">
        <v>135</v>
      </c>
      <c r="H77" s="31">
        <v>18</v>
      </c>
      <c r="I77" s="31">
        <v>15694</v>
      </c>
      <c r="J77" s="31">
        <v>14957</v>
      </c>
      <c r="K77" s="31">
        <v>99</v>
      </c>
      <c r="L77" s="31">
        <f>[1]!Posts_Table[[#This Row],[Likes]]+[1]!Posts_Table[[#This Row],[Shares]]+[1]!Posts_Table[[#This Row],[Comments]]</f>
        <v>1274</v>
      </c>
      <c r="M77" s="32" t="s">
        <v>35</v>
      </c>
      <c r="N77" s="33" t="s">
        <v>27</v>
      </c>
      <c r="O77" s="33"/>
      <c r="P77" s="33"/>
    </row>
    <row r="78" spans="1:16" ht="14.25" customHeight="1" x14ac:dyDescent="0.35">
      <c r="A78" s="28" t="s">
        <v>149</v>
      </c>
      <c r="B78" s="29" t="s">
        <v>38</v>
      </c>
      <c r="C78" s="30">
        <v>45720</v>
      </c>
      <c r="D78" s="29" t="s">
        <v>32</v>
      </c>
      <c r="E78" s="28" t="s">
        <v>60</v>
      </c>
      <c r="F78" s="31">
        <v>1249</v>
      </c>
      <c r="G78" s="31">
        <v>116</v>
      </c>
      <c r="H78" s="31">
        <v>420</v>
      </c>
      <c r="I78" s="31">
        <v>8743</v>
      </c>
      <c r="J78" s="31">
        <v>8538</v>
      </c>
      <c r="K78" s="31">
        <v>63</v>
      </c>
      <c r="L78" s="31">
        <f>[1]!Posts_Table[[#This Row],[Likes]]+[1]!Posts_Table[[#This Row],[Shares]]+[1]!Posts_Table[[#This Row],[Comments]]</f>
        <v>1785</v>
      </c>
      <c r="M78" s="32"/>
      <c r="N78" s="33" t="s">
        <v>27</v>
      </c>
      <c r="O78" s="33"/>
      <c r="P78" s="33"/>
    </row>
    <row r="79" spans="1:16" ht="14.25" customHeight="1" x14ac:dyDescent="0.35">
      <c r="A79" s="28" t="s">
        <v>150</v>
      </c>
      <c r="B79" s="29" t="s">
        <v>14</v>
      </c>
      <c r="C79" s="30">
        <v>45460</v>
      </c>
      <c r="D79" s="29" t="s">
        <v>46</v>
      </c>
      <c r="E79" s="28" t="s">
        <v>102</v>
      </c>
      <c r="F79" s="31">
        <v>954</v>
      </c>
      <c r="G79" s="31">
        <v>324</v>
      </c>
      <c r="H79" s="31">
        <v>288</v>
      </c>
      <c r="I79" s="31">
        <v>19080</v>
      </c>
      <c r="J79" s="31">
        <v>18859</v>
      </c>
      <c r="K79" s="31">
        <v>21</v>
      </c>
      <c r="L79" s="31">
        <f>[1]!Posts_Table[[#This Row],[Likes]]+[1]!Posts_Table[[#This Row],[Shares]]+[1]!Posts_Table[[#This Row],[Comments]]</f>
        <v>1566</v>
      </c>
      <c r="M79" s="32" t="s">
        <v>35</v>
      </c>
      <c r="N79" s="33" t="s">
        <v>53</v>
      </c>
      <c r="O79" s="33"/>
      <c r="P79" s="33"/>
    </row>
    <row r="80" spans="1:16" ht="14.25" customHeight="1" x14ac:dyDescent="0.35">
      <c r="A80" s="28" t="s">
        <v>151</v>
      </c>
      <c r="B80" s="29" t="s">
        <v>30</v>
      </c>
      <c r="C80" s="30">
        <v>45574</v>
      </c>
      <c r="D80" s="29" t="s">
        <v>40</v>
      </c>
      <c r="E80" s="28" t="s">
        <v>75</v>
      </c>
      <c r="F80" s="31">
        <v>3068</v>
      </c>
      <c r="G80" s="31">
        <v>137</v>
      </c>
      <c r="H80" s="31">
        <v>329</v>
      </c>
      <c r="I80" s="31">
        <v>39884</v>
      </c>
      <c r="J80" s="31">
        <v>39404</v>
      </c>
      <c r="K80" s="31">
        <v>266</v>
      </c>
      <c r="L80" s="31">
        <f>[1]!Posts_Table[[#This Row],[Likes]]+[1]!Posts_Table[[#This Row],[Shares]]+[1]!Posts_Table[[#This Row],[Comments]]</f>
        <v>3534</v>
      </c>
      <c r="M80" s="32" t="s">
        <v>22</v>
      </c>
      <c r="N80" s="33" t="s">
        <v>34</v>
      </c>
      <c r="O80" s="33"/>
      <c r="P80" s="33"/>
    </row>
    <row r="81" spans="1:16" ht="14.25" customHeight="1" x14ac:dyDescent="0.35">
      <c r="A81" s="28" t="s">
        <v>152</v>
      </c>
      <c r="B81" s="29" t="s">
        <v>30</v>
      </c>
      <c r="C81" s="30">
        <v>45456</v>
      </c>
      <c r="D81" s="29" t="s">
        <v>32</v>
      </c>
      <c r="E81" s="28" t="s">
        <v>33</v>
      </c>
      <c r="F81" s="31">
        <v>2103</v>
      </c>
      <c r="G81" s="31">
        <v>892</v>
      </c>
      <c r="H81" s="31">
        <v>103</v>
      </c>
      <c r="I81" s="31">
        <v>39957</v>
      </c>
      <c r="J81" s="31">
        <v>39466</v>
      </c>
      <c r="K81" s="31">
        <v>28</v>
      </c>
      <c r="L81" s="31">
        <f>[1]!Posts_Table[[#This Row],[Likes]]+[1]!Posts_Table[[#This Row],[Shares]]+[1]!Posts_Table[[#This Row],[Comments]]</f>
        <v>3098</v>
      </c>
      <c r="M81" s="32"/>
      <c r="N81" s="33" t="s">
        <v>53</v>
      </c>
      <c r="O81" s="33"/>
      <c r="P81" s="33"/>
    </row>
    <row r="82" spans="1:16" ht="14.25" customHeight="1" x14ac:dyDescent="0.35">
      <c r="A82" s="28" t="s">
        <v>153</v>
      </c>
      <c r="B82" s="29" t="s">
        <v>30</v>
      </c>
      <c r="C82" s="30">
        <v>45584</v>
      </c>
      <c r="D82" s="29" t="s">
        <v>32</v>
      </c>
      <c r="E82" s="28" t="s">
        <v>33</v>
      </c>
      <c r="F82" s="31">
        <v>1816</v>
      </c>
      <c r="G82" s="31">
        <v>29</v>
      </c>
      <c r="H82" s="31">
        <v>41</v>
      </c>
      <c r="I82" s="31">
        <v>19976</v>
      </c>
      <c r="J82" s="31">
        <v>19262</v>
      </c>
      <c r="K82" s="31">
        <v>283</v>
      </c>
      <c r="L82" s="31">
        <f>[1]!Posts_Table[[#This Row],[Likes]]+[1]!Posts_Table[[#This Row],[Shares]]+[1]!Posts_Table[[#This Row],[Comments]]</f>
        <v>1886</v>
      </c>
      <c r="M82" s="32" t="s">
        <v>28</v>
      </c>
      <c r="N82" s="33" t="s">
        <v>27</v>
      </c>
      <c r="O82" s="33"/>
      <c r="P82" s="33"/>
    </row>
    <row r="83" spans="1:16" ht="14.25" customHeight="1" x14ac:dyDescent="0.35">
      <c r="A83" s="28" t="s">
        <v>154</v>
      </c>
      <c r="B83" s="29" t="s">
        <v>30</v>
      </c>
      <c r="C83" s="30">
        <v>45497</v>
      </c>
      <c r="D83" s="29" t="s">
        <v>46</v>
      </c>
      <c r="E83" s="28" t="s">
        <v>155</v>
      </c>
      <c r="F83" s="31">
        <v>725</v>
      </c>
      <c r="G83" s="31">
        <v>88</v>
      </c>
      <c r="H83" s="31">
        <v>428</v>
      </c>
      <c r="I83" s="31">
        <v>14500</v>
      </c>
      <c r="J83" s="31">
        <v>13637</v>
      </c>
      <c r="K83" s="31">
        <v>200</v>
      </c>
      <c r="L83" s="31">
        <f>[1]!Posts_Table[[#This Row],[Likes]]+[1]!Posts_Table[[#This Row],[Shares]]+[1]!Posts_Table[[#This Row],[Comments]]</f>
        <v>1241</v>
      </c>
      <c r="M83" s="32" t="s">
        <v>28</v>
      </c>
      <c r="N83" s="33" t="s">
        <v>53</v>
      </c>
      <c r="O83" s="33" t="s">
        <v>27</v>
      </c>
      <c r="P83" s="33" t="s">
        <v>431</v>
      </c>
    </row>
    <row r="84" spans="1:16" ht="14.25" customHeight="1" x14ac:dyDescent="0.35">
      <c r="A84" s="28" t="s">
        <v>156</v>
      </c>
      <c r="B84" s="29" t="s">
        <v>24</v>
      </c>
      <c r="C84" s="30">
        <v>45580</v>
      </c>
      <c r="D84" s="29" t="s">
        <v>62</v>
      </c>
      <c r="E84" s="28" t="s">
        <v>157</v>
      </c>
      <c r="F84" s="31">
        <v>1094</v>
      </c>
      <c r="G84" s="31">
        <v>472</v>
      </c>
      <c r="H84" s="31">
        <v>21</v>
      </c>
      <c r="I84" s="31">
        <v>9846</v>
      </c>
      <c r="J84" s="31">
        <v>9609</v>
      </c>
      <c r="K84" s="31">
        <v>112</v>
      </c>
      <c r="L84" s="31">
        <f>[1]!Posts_Table[[#This Row],[Likes]]+[1]!Posts_Table[[#This Row],[Shares]]+[1]!Posts_Table[[#This Row],[Comments]]</f>
        <v>1587</v>
      </c>
      <c r="M84" s="32"/>
      <c r="N84" s="33" t="s">
        <v>34</v>
      </c>
      <c r="O84" s="33"/>
      <c r="P84" s="33"/>
    </row>
    <row r="85" spans="1:16" ht="14.25" customHeight="1" x14ac:dyDescent="0.35">
      <c r="A85" s="28" t="s">
        <v>158</v>
      </c>
      <c r="B85" s="29" t="s">
        <v>38</v>
      </c>
      <c r="C85" s="30">
        <v>45635</v>
      </c>
      <c r="D85" s="29" t="s">
        <v>46</v>
      </c>
      <c r="E85" s="28" t="s">
        <v>51</v>
      </c>
      <c r="F85" s="31">
        <v>1841</v>
      </c>
      <c r="G85" s="31">
        <v>851</v>
      </c>
      <c r="H85" s="31">
        <v>342</v>
      </c>
      <c r="I85" s="31">
        <v>34979</v>
      </c>
      <c r="J85" s="31">
        <v>34154</v>
      </c>
      <c r="K85" s="31">
        <v>255</v>
      </c>
      <c r="L85" s="31">
        <f>[1]!Posts_Table[[#This Row],[Likes]]+[1]!Posts_Table[[#This Row],[Shares]]+[1]!Posts_Table[[#This Row],[Comments]]</f>
        <v>3034</v>
      </c>
      <c r="M85" s="32" t="s">
        <v>35</v>
      </c>
      <c r="N85" s="33" t="s">
        <v>53</v>
      </c>
      <c r="O85" s="33"/>
      <c r="P85" s="33"/>
    </row>
    <row r="86" spans="1:16" ht="14.25" customHeight="1" x14ac:dyDescent="0.35">
      <c r="A86" s="28" t="s">
        <v>160</v>
      </c>
      <c r="B86" s="29" t="s">
        <v>30</v>
      </c>
      <c r="C86" s="30">
        <v>45766</v>
      </c>
      <c r="D86" s="29" t="s">
        <v>46</v>
      </c>
      <c r="E86" s="28" t="s">
        <v>155</v>
      </c>
      <c r="F86" s="31">
        <v>4177</v>
      </c>
      <c r="G86" s="31">
        <v>569</v>
      </c>
      <c r="H86" s="31">
        <v>55</v>
      </c>
      <c r="I86" s="31">
        <v>25062</v>
      </c>
      <c r="J86" s="31">
        <v>24847</v>
      </c>
      <c r="K86" s="31">
        <v>230</v>
      </c>
      <c r="L86" s="31">
        <f>[1]!Posts_Table[[#This Row],[Likes]]+[1]!Posts_Table[[#This Row],[Shares]]+[1]!Posts_Table[[#This Row],[Comments]]</f>
        <v>4801</v>
      </c>
      <c r="M86" s="32" t="s">
        <v>18</v>
      </c>
      <c r="N86" s="33" t="s">
        <v>53</v>
      </c>
      <c r="O86" s="33"/>
      <c r="P86" s="33"/>
    </row>
    <row r="87" spans="1:16" ht="14.25" customHeight="1" x14ac:dyDescent="0.35">
      <c r="A87" s="28" t="s">
        <v>161</v>
      </c>
      <c r="B87" s="29" t="s">
        <v>24</v>
      </c>
      <c r="C87" s="30">
        <v>45684</v>
      </c>
      <c r="D87" s="29" t="s">
        <v>20</v>
      </c>
      <c r="E87" s="28" t="s">
        <v>83</v>
      </c>
      <c r="F87" s="31">
        <v>3428</v>
      </c>
      <c r="G87" s="31">
        <v>305</v>
      </c>
      <c r="H87" s="31">
        <v>85</v>
      </c>
      <c r="I87" s="31">
        <v>58276</v>
      </c>
      <c r="J87" s="31">
        <v>58052</v>
      </c>
      <c r="K87" s="31">
        <v>242</v>
      </c>
      <c r="L87" s="31">
        <f>[1]!Posts_Table[[#This Row],[Likes]]+[1]!Posts_Table[[#This Row],[Shares]]+[1]!Posts_Table[[#This Row],[Comments]]</f>
        <v>3818</v>
      </c>
      <c r="M87" s="32" t="s">
        <v>35</v>
      </c>
      <c r="N87" s="33" t="s">
        <v>34</v>
      </c>
      <c r="O87" s="33" t="s">
        <v>432</v>
      </c>
      <c r="P87" s="33"/>
    </row>
    <row r="88" spans="1:16" ht="14.25" customHeight="1" x14ac:dyDescent="0.35">
      <c r="A88" s="28" t="s">
        <v>163</v>
      </c>
      <c r="B88" s="29" t="s">
        <v>14</v>
      </c>
      <c r="C88" s="30">
        <v>45449</v>
      </c>
      <c r="D88" s="29" t="s">
        <v>62</v>
      </c>
      <c r="E88" s="28" t="s">
        <v>109</v>
      </c>
      <c r="F88" s="31">
        <v>1436</v>
      </c>
      <c r="G88" s="31">
        <v>765</v>
      </c>
      <c r="H88" s="31">
        <v>496</v>
      </c>
      <c r="I88" s="31">
        <v>12924</v>
      </c>
      <c r="J88" s="31">
        <v>12701</v>
      </c>
      <c r="K88" s="31">
        <v>197</v>
      </c>
      <c r="L88" s="31">
        <f>[1]!Posts_Table[[#This Row],[Likes]]+[1]!Posts_Table[[#This Row],[Shares]]+[1]!Posts_Table[[#This Row],[Comments]]</f>
        <v>2697</v>
      </c>
      <c r="M88" s="32" t="s">
        <v>28</v>
      </c>
      <c r="N88" s="33" t="s">
        <v>53</v>
      </c>
      <c r="O88" s="33"/>
      <c r="P88" s="33"/>
    </row>
    <row r="89" spans="1:16" ht="14.25" customHeight="1" x14ac:dyDescent="0.35">
      <c r="A89" s="28" t="s">
        <v>164</v>
      </c>
      <c r="B89" s="29" t="s">
        <v>38</v>
      </c>
      <c r="C89" s="30">
        <v>45480</v>
      </c>
      <c r="D89" s="29" t="s">
        <v>32</v>
      </c>
      <c r="E89" s="28" t="s">
        <v>60</v>
      </c>
      <c r="F89" s="31">
        <v>302</v>
      </c>
      <c r="G89" s="31">
        <v>47</v>
      </c>
      <c r="H89" s="31">
        <v>430</v>
      </c>
      <c r="I89" s="31">
        <v>5738</v>
      </c>
      <c r="J89" s="31">
        <v>4890</v>
      </c>
      <c r="K89" s="31">
        <v>25</v>
      </c>
      <c r="L89" s="31">
        <f>[1]!Posts_Table[[#This Row],[Likes]]+[1]!Posts_Table[[#This Row],[Shares]]+[1]!Posts_Table[[#This Row],[Comments]]</f>
        <v>779</v>
      </c>
      <c r="M89" s="32" t="s">
        <v>35</v>
      </c>
      <c r="N89" s="33" t="s">
        <v>27</v>
      </c>
      <c r="O89" s="33"/>
      <c r="P89" s="33"/>
    </row>
    <row r="90" spans="1:16" ht="14.25" customHeight="1" x14ac:dyDescent="0.35">
      <c r="A90" s="28" t="s">
        <v>165</v>
      </c>
      <c r="B90" s="29" t="s">
        <v>14</v>
      </c>
      <c r="C90" s="30">
        <v>45667</v>
      </c>
      <c r="D90" s="29" t="s">
        <v>46</v>
      </c>
      <c r="E90" s="28" t="s">
        <v>102</v>
      </c>
      <c r="F90" s="31">
        <v>2214</v>
      </c>
      <c r="G90" s="31">
        <v>249</v>
      </c>
      <c r="H90" s="31">
        <v>152</v>
      </c>
      <c r="I90" s="31">
        <v>15498</v>
      </c>
      <c r="J90" s="31">
        <v>14800</v>
      </c>
      <c r="K90" s="31">
        <v>180</v>
      </c>
      <c r="L90" s="31">
        <f>[1]!Posts_Table[[#This Row],[Likes]]+[1]!Posts_Table[[#This Row],[Shares]]+[1]!Posts_Table[[#This Row],[Comments]]</f>
        <v>2615</v>
      </c>
      <c r="M90" s="32"/>
      <c r="N90" s="33" t="s">
        <v>34</v>
      </c>
      <c r="O90" s="33"/>
      <c r="P90" s="33"/>
    </row>
    <row r="91" spans="1:16" ht="14.25" customHeight="1" x14ac:dyDescent="0.35">
      <c r="A91" s="28" t="s">
        <v>167</v>
      </c>
      <c r="B91" s="29" t="s">
        <v>30</v>
      </c>
      <c r="C91" s="30">
        <v>45446</v>
      </c>
      <c r="D91" s="29" t="s">
        <v>46</v>
      </c>
      <c r="E91" s="28" t="s">
        <v>155</v>
      </c>
      <c r="F91" s="31">
        <v>3861</v>
      </c>
      <c r="G91" s="31">
        <v>960</v>
      </c>
      <c r="H91" s="31">
        <v>101</v>
      </c>
      <c r="I91" s="31">
        <v>69498</v>
      </c>
      <c r="J91" s="31">
        <v>68817</v>
      </c>
      <c r="K91" s="31">
        <v>297</v>
      </c>
      <c r="L91" s="31">
        <f>[1]!Posts_Table[[#This Row],[Likes]]+[1]!Posts_Table[[#This Row],[Shares]]+[1]!Posts_Table[[#This Row],[Comments]]</f>
        <v>4922</v>
      </c>
      <c r="M91" s="32" t="s">
        <v>35</v>
      </c>
      <c r="N91" s="33" t="s">
        <v>27</v>
      </c>
      <c r="O91" s="33"/>
      <c r="P91" s="33"/>
    </row>
    <row r="92" spans="1:16" ht="14.25" customHeight="1" x14ac:dyDescent="0.35">
      <c r="A92" s="28" t="s">
        <v>169</v>
      </c>
      <c r="B92" s="29" t="s">
        <v>38</v>
      </c>
      <c r="C92" s="30">
        <v>45740</v>
      </c>
      <c r="D92" s="29" t="s">
        <v>46</v>
      </c>
      <c r="E92" s="28" t="s">
        <v>51</v>
      </c>
      <c r="F92" s="31">
        <v>1263</v>
      </c>
      <c r="G92" s="31">
        <v>397</v>
      </c>
      <c r="H92" s="31">
        <v>357</v>
      </c>
      <c r="I92" s="31">
        <v>25260</v>
      </c>
      <c r="J92" s="31">
        <v>24615</v>
      </c>
      <c r="K92" s="31">
        <v>137</v>
      </c>
      <c r="L92" s="31">
        <f>[1]!Posts_Table[[#This Row],[Likes]]+[1]!Posts_Table[[#This Row],[Shares]]+[1]!Posts_Table[[#This Row],[Comments]]</f>
        <v>2017</v>
      </c>
      <c r="M92" s="32" t="s">
        <v>35</v>
      </c>
      <c r="N92" s="33" t="s">
        <v>34</v>
      </c>
      <c r="O92" s="33"/>
      <c r="P92" s="33"/>
    </row>
    <row r="93" spans="1:16" ht="14.25" customHeight="1" x14ac:dyDescent="0.35">
      <c r="A93" s="28" t="s">
        <v>171</v>
      </c>
      <c r="B93" s="29" t="s">
        <v>14</v>
      </c>
      <c r="C93" s="30">
        <v>45586</v>
      </c>
      <c r="D93" s="29" t="s">
        <v>32</v>
      </c>
      <c r="E93" s="28" t="s">
        <v>113</v>
      </c>
      <c r="F93" s="31">
        <v>3801</v>
      </c>
      <c r="G93" s="31">
        <v>967</v>
      </c>
      <c r="H93" s="31">
        <v>401</v>
      </c>
      <c r="I93" s="31">
        <v>38010</v>
      </c>
      <c r="J93" s="31">
        <v>37625</v>
      </c>
      <c r="K93" s="31">
        <v>236</v>
      </c>
      <c r="L93" s="31">
        <f>[1]!Posts_Table[[#This Row],[Likes]]+[1]!Posts_Table[[#This Row],[Shares]]+[1]!Posts_Table[[#This Row],[Comments]]</f>
        <v>5169</v>
      </c>
      <c r="M93" s="32" t="s">
        <v>28</v>
      </c>
      <c r="N93" s="33" t="s">
        <v>53</v>
      </c>
      <c r="O93" s="33"/>
      <c r="P93" s="33"/>
    </row>
    <row r="94" spans="1:16" ht="14.25" customHeight="1" x14ac:dyDescent="0.35">
      <c r="A94" s="28" t="s">
        <v>172</v>
      </c>
      <c r="B94" s="29" t="s">
        <v>30</v>
      </c>
      <c r="C94" s="30">
        <v>45637</v>
      </c>
      <c r="D94" s="29" t="s">
        <v>62</v>
      </c>
      <c r="E94" s="28" t="s">
        <v>72</v>
      </c>
      <c r="F94" s="31">
        <v>1431</v>
      </c>
      <c r="G94" s="31">
        <v>951</v>
      </c>
      <c r="H94" s="31">
        <v>26</v>
      </c>
      <c r="I94" s="31">
        <v>8586</v>
      </c>
      <c r="J94" s="31">
        <v>8396</v>
      </c>
      <c r="K94" s="31">
        <v>150</v>
      </c>
      <c r="L94" s="31">
        <f>[1]!Posts_Table[[#This Row],[Likes]]+[1]!Posts_Table[[#This Row],[Shares]]+[1]!Posts_Table[[#This Row],[Comments]]</f>
        <v>2408</v>
      </c>
      <c r="M94" s="32" t="s">
        <v>28</v>
      </c>
      <c r="N94" s="33" t="s">
        <v>34</v>
      </c>
      <c r="O94" s="33"/>
      <c r="P94" s="33"/>
    </row>
    <row r="95" spans="1:16" ht="14.25" customHeight="1" x14ac:dyDescent="0.35">
      <c r="A95" s="28" t="s">
        <v>173</v>
      </c>
      <c r="B95" s="29" t="s">
        <v>30</v>
      </c>
      <c r="C95" s="30">
        <v>45603</v>
      </c>
      <c r="D95" s="29" t="s">
        <v>46</v>
      </c>
      <c r="E95" s="28" t="s">
        <v>155</v>
      </c>
      <c r="F95" s="31">
        <v>2647</v>
      </c>
      <c r="G95" s="31">
        <v>304</v>
      </c>
      <c r="H95" s="31">
        <v>170</v>
      </c>
      <c r="I95" s="31">
        <v>18529</v>
      </c>
      <c r="J95" s="31">
        <v>17841</v>
      </c>
      <c r="K95" s="31">
        <v>46</v>
      </c>
      <c r="L95" s="31">
        <f>[1]!Posts_Table[[#This Row],[Likes]]+[1]!Posts_Table[[#This Row],[Shares]]+[1]!Posts_Table[[#This Row],[Comments]]</f>
        <v>3121</v>
      </c>
      <c r="M95" s="32" t="s">
        <v>28</v>
      </c>
      <c r="N95" s="33" t="s">
        <v>53</v>
      </c>
      <c r="O95" s="33"/>
      <c r="P95" s="33"/>
    </row>
    <row r="96" spans="1:16" ht="14.25" customHeight="1" x14ac:dyDescent="0.35">
      <c r="A96" s="28" t="s">
        <v>174</v>
      </c>
      <c r="B96" s="29" t="s">
        <v>30</v>
      </c>
      <c r="C96" s="30">
        <v>45604</v>
      </c>
      <c r="D96" s="29" t="s">
        <v>20</v>
      </c>
      <c r="E96" s="28" t="s">
        <v>89</v>
      </c>
      <c r="F96" s="31">
        <v>3182</v>
      </c>
      <c r="G96" s="31">
        <v>559</v>
      </c>
      <c r="H96" s="31">
        <v>160</v>
      </c>
      <c r="I96" s="31">
        <v>57276</v>
      </c>
      <c r="J96" s="31">
        <v>56890</v>
      </c>
      <c r="K96" s="31">
        <v>163</v>
      </c>
      <c r="L96" s="31">
        <f>[1]!Posts_Table[[#This Row],[Likes]]+[1]!Posts_Table[[#This Row],[Shares]]+[1]!Posts_Table[[#This Row],[Comments]]</f>
        <v>3901</v>
      </c>
      <c r="M96" s="32" t="s">
        <v>35</v>
      </c>
      <c r="N96" s="33" t="s">
        <v>53</v>
      </c>
      <c r="O96" s="33"/>
      <c r="P96" s="33"/>
    </row>
    <row r="97" spans="1:16" ht="14.25" customHeight="1" x14ac:dyDescent="0.35">
      <c r="A97" s="28" t="s">
        <v>175</v>
      </c>
      <c r="B97" s="29" t="s">
        <v>14</v>
      </c>
      <c r="C97" s="30">
        <v>45545</v>
      </c>
      <c r="D97" s="29" t="s">
        <v>46</v>
      </c>
      <c r="E97" s="28" t="s">
        <v>102</v>
      </c>
      <c r="F97" s="31">
        <v>1238</v>
      </c>
      <c r="G97" s="31">
        <v>366</v>
      </c>
      <c r="H97" s="31">
        <v>444</v>
      </c>
      <c r="I97" s="31">
        <v>19808</v>
      </c>
      <c r="J97" s="31">
        <v>19334</v>
      </c>
      <c r="K97" s="31">
        <v>123</v>
      </c>
      <c r="L97" s="31">
        <f>[1]!Posts_Table[[#This Row],[Likes]]+[1]!Posts_Table[[#This Row],[Shares]]+[1]!Posts_Table[[#This Row],[Comments]]</f>
        <v>2048</v>
      </c>
      <c r="M97" s="32"/>
      <c r="N97" s="33" t="s">
        <v>53</v>
      </c>
      <c r="O97" s="33"/>
      <c r="P97" s="33"/>
    </row>
    <row r="98" spans="1:16" ht="14.25" customHeight="1" x14ac:dyDescent="0.35">
      <c r="A98" s="28" t="s">
        <v>176</v>
      </c>
      <c r="B98" s="29" t="s">
        <v>30</v>
      </c>
      <c r="C98" s="30">
        <v>45517</v>
      </c>
      <c r="D98" s="29" t="s">
        <v>46</v>
      </c>
      <c r="E98" s="28" t="s">
        <v>155</v>
      </c>
      <c r="F98" s="31">
        <v>4739</v>
      </c>
      <c r="G98" s="31">
        <v>527</v>
      </c>
      <c r="H98" s="31">
        <v>135</v>
      </c>
      <c r="I98" s="31">
        <v>61607</v>
      </c>
      <c r="J98" s="31">
        <v>61333</v>
      </c>
      <c r="K98" s="31">
        <v>36</v>
      </c>
      <c r="L98" s="31">
        <f>[1]!Posts_Table[[#This Row],[Likes]]+[1]!Posts_Table[[#This Row],[Shares]]+[1]!Posts_Table[[#This Row],[Comments]]</f>
        <v>5401</v>
      </c>
      <c r="M98" s="32" t="s">
        <v>22</v>
      </c>
      <c r="N98" s="33" t="s">
        <v>27</v>
      </c>
      <c r="O98" s="33" t="s">
        <v>431</v>
      </c>
      <c r="P98" s="33"/>
    </row>
    <row r="99" spans="1:16" ht="14.25" customHeight="1" x14ac:dyDescent="0.35">
      <c r="A99" s="28" t="s">
        <v>177</v>
      </c>
      <c r="B99" s="29" t="s">
        <v>14</v>
      </c>
      <c r="C99" s="30">
        <v>45453</v>
      </c>
      <c r="D99" s="29" t="s">
        <v>32</v>
      </c>
      <c r="E99" s="28" t="s">
        <v>113</v>
      </c>
      <c r="F99" s="31">
        <v>1575</v>
      </c>
      <c r="G99" s="31">
        <v>771</v>
      </c>
      <c r="H99" s="31">
        <v>486</v>
      </c>
      <c r="I99" s="31">
        <v>25200</v>
      </c>
      <c r="J99" s="31">
        <v>24826</v>
      </c>
      <c r="K99" s="31">
        <v>17</v>
      </c>
      <c r="L99" s="31">
        <f>[1]!Posts_Table[[#This Row],[Likes]]+[1]!Posts_Table[[#This Row],[Shares]]+[1]!Posts_Table[[#This Row],[Comments]]</f>
        <v>2832</v>
      </c>
      <c r="M99" s="32" t="s">
        <v>35</v>
      </c>
      <c r="N99" s="33" t="s">
        <v>53</v>
      </c>
      <c r="O99" s="33"/>
      <c r="P99" s="33"/>
    </row>
    <row r="100" spans="1:16" ht="14.25" customHeight="1" x14ac:dyDescent="0.35">
      <c r="A100" s="28" t="s">
        <v>178</v>
      </c>
      <c r="B100" s="29" t="s">
        <v>24</v>
      </c>
      <c r="C100" s="30">
        <v>45475</v>
      </c>
      <c r="D100" s="29" t="s">
        <v>40</v>
      </c>
      <c r="E100" s="28" t="s">
        <v>58</v>
      </c>
      <c r="F100" s="31">
        <v>4171</v>
      </c>
      <c r="G100" s="31">
        <v>548</v>
      </c>
      <c r="H100" s="31">
        <v>86</v>
      </c>
      <c r="I100" s="31">
        <v>66736</v>
      </c>
      <c r="J100" s="31">
        <v>66634</v>
      </c>
      <c r="K100" s="31">
        <v>173</v>
      </c>
      <c r="L100" s="31">
        <f>[1]!Posts_Table[[#This Row],[Likes]]+[1]!Posts_Table[[#This Row],[Shares]]+[1]!Posts_Table[[#This Row],[Comments]]</f>
        <v>4805</v>
      </c>
      <c r="M100" s="32" t="s">
        <v>28</v>
      </c>
      <c r="N100" s="33" t="s">
        <v>53</v>
      </c>
      <c r="O100" s="33"/>
      <c r="P100" s="33"/>
    </row>
    <row r="101" spans="1:16" ht="14.25" customHeight="1" x14ac:dyDescent="0.35">
      <c r="A101" s="28" t="s">
        <v>179</v>
      </c>
      <c r="B101" s="29" t="s">
        <v>24</v>
      </c>
      <c r="C101" s="30">
        <v>45698</v>
      </c>
      <c r="D101" s="29" t="s">
        <v>62</v>
      </c>
      <c r="E101" s="28" t="s">
        <v>157</v>
      </c>
      <c r="F101" s="31">
        <v>1766</v>
      </c>
      <c r="G101" s="31">
        <v>92</v>
      </c>
      <c r="H101" s="31">
        <v>424</v>
      </c>
      <c r="I101" s="31">
        <v>24724</v>
      </c>
      <c r="J101" s="31">
        <v>24333</v>
      </c>
      <c r="K101" s="31">
        <v>52</v>
      </c>
      <c r="L101" s="31">
        <f>[1]!Posts_Table[[#This Row],[Likes]]+[1]!Posts_Table[[#This Row],[Shares]]+[1]!Posts_Table[[#This Row],[Comments]]</f>
        <v>2282</v>
      </c>
      <c r="M101" s="32"/>
      <c r="N101" s="33" t="s">
        <v>34</v>
      </c>
      <c r="O101" s="33"/>
      <c r="P101" s="33"/>
    </row>
    <row r="102" spans="1:16" ht="14.25" customHeight="1" x14ac:dyDescent="0.35">
      <c r="A102" s="28" t="s">
        <v>181</v>
      </c>
      <c r="B102" s="29" t="s">
        <v>24</v>
      </c>
      <c r="C102" s="30">
        <v>45583</v>
      </c>
      <c r="D102" s="29" t="s">
        <v>62</v>
      </c>
      <c r="E102" s="28" t="s">
        <v>157</v>
      </c>
      <c r="F102" s="31">
        <v>4450</v>
      </c>
      <c r="G102" s="31">
        <v>983</v>
      </c>
      <c r="H102" s="31">
        <v>143</v>
      </c>
      <c r="I102" s="31">
        <v>75650</v>
      </c>
      <c r="J102" s="31">
        <v>75008</v>
      </c>
      <c r="K102" s="31">
        <v>12</v>
      </c>
      <c r="L102" s="31">
        <f>[1]!Posts_Table[[#This Row],[Likes]]+[1]!Posts_Table[[#This Row],[Shares]]+[1]!Posts_Table[[#This Row],[Comments]]</f>
        <v>5576</v>
      </c>
      <c r="M102" s="32" t="s">
        <v>28</v>
      </c>
      <c r="N102" s="33" t="s">
        <v>53</v>
      </c>
      <c r="O102" s="33"/>
      <c r="P102" s="33"/>
    </row>
    <row r="103" spans="1:16" ht="14.25" customHeight="1" x14ac:dyDescent="0.35">
      <c r="A103" s="28" t="s">
        <v>182</v>
      </c>
      <c r="B103" s="29" t="s">
        <v>14</v>
      </c>
      <c r="C103" s="30">
        <v>45553</v>
      </c>
      <c r="D103" s="29" t="s">
        <v>16</v>
      </c>
      <c r="E103" s="28" t="s">
        <v>17</v>
      </c>
      <c r="F103" s="31">
        <v>1000</v>
      </c>
      <c r="G103" s="31">
        <v>978</v>
      </c>
      <c r="H103" s="31">
        <v>162</v>
      </c>
      <c r="I103" s="31">
        <v>6000</v>
      </c>
      <c r="J103" s="31">
        <v>5221</v>
      </c>
      <c r="K103" s="31">
        <v>223</v>
      </c>
      <c r="L103" s="31">
        <f>[1]!Posts_Table[[#This Row],[Likes]]+[1]!Posts_Table[[#This Row],[Shares]]+[1]!Posts_Table[[#This Row],[Comments]]</f>
        <v>2140</v>
      </c>
      <c r="M103" s="32" t="s">
        <v>22</v>
      </c>
      <c r="N103" s="33" t="s">
        <v>34</v>
      </c>
      <c r="O103" s="33"/>
      <c r="P103" s="33"/>
    </row>
    <row r="104" spans="1:16" ht="14.25" customHeight="1" x14ac:dyDescent="0.35">
      <c r="A104" s="28" t="s">
        <v>183</v>
      </c>
      <c r="B104" s="29" t="s">
        <v>38</v>
      </c>
      <c r="C104" s="30">
        <v>45454</v>
      </c>
      <c r="D104" s="29" t="s">
        <v>46</v>
      </c>
      <c r="E104" s="28" t="s">
        <v>51</v>
      </c>
      <c r="F104" s="31">
        <v>3689</v>
      </c>
      <c r="G104" s="31">
        <v>48</v>
      </c>
      <c r="H104" s="31">
        <v>306</v>
      </c>
      <c r="I104" s="31">
        <v>40579</v>
      </c>
      <c r="J104" s="31">
        <v>39588</v>
      </c>
      <c r="K104" s="31">
        <v>212</v>
      </c>
      <c r="L104" s="31">
        <f>[1]!Posts_Table[[#This Row],[Likes]]+[1]!Posts_Table[[#This Row],[Shares]]+[1]!Posts_Table[[#This Row],[Comments]]</f>
        <v>4043</v>
      </c>
      <c r="M104" s="32" t="s">
        <v>22</v>
      </c>
      <c r="N104" s="33" t="s">
        <v>34</v>
      </c>
      <c r="O104" s="33"/>
      <c r="P104" s="33"/>
    </row>
    <row r="105" spans="1:16" ht="14.25" customHeight="1" x14ac:dyDescent="0.35">
      <c r="A105" s="28" t="s">
        <v>184</v>
      </c>
      <c r="B105" s="29" t="s">
        <v>24</v>
      </c>
      <c r="C105" s="30">
        <v>45739</v>
      </c>
      <c r="D105" s="29" t="s">
        <v>32</v>
      </c>
      <c r="E105" s="28" t="s">
        <v>117</v>
      </c>
      <c r="F105" s="31">
        <v>3655</v>
      </c>
      <c r="G105" s="31">
        <v>568</v>
      </c>
      <c r="H105" s="31">
        <v>286</v>
      </c>
      <c r="I105" s="31">
        <v>32895</v>
      </c>
      <c r="J105" s="31">
        <v>32015</v>
      </c>
      <c r="K105" s="31">
        <v>199</v>
      </c>
      <c r="L105" s="31">
        <f>[1]!Posts_Table[[#This Row],[Likes]]+[1]!Posts_Table[[#This Row],[Shares]]+[1]!Posts_Table[[#This Row],[Comments]]</f>
        <v>4509</v>
      </c>
      <c r="M105" s="32" t="s">
        <v>28</v>
      </c>
      <c r="N105" s="33" t="s">
        <v>27</v>
      </c>
      <c r="O105" s="33"/>
      <c r="P105" s="33"/>
    </row>
    <row r="106" spans="1:16" ht="14.25" customHeight="1" x14ac:dyDescent="0.35">
      <c r="A106" s="28" t="s">
        <v>185</v>
      </c>
      <c r="B106" s="29" t="s">
        <v>30</v>
      </c>
      <c r="C106" s="30">
        <v>45457</v>
      </c>
      <c r="D106" s="29" t="s">
        <v>40</v>
      </c>
      <c r="E106" s="28" t="s">
        <v>75</v>
      </c>
      <c r="F106" s="31">
        <v>498</v>
      </c>
      <c r="G106" s="31">
        <v>38</v>
      </c>
      <c r="H106" s="31">
        <v>42</v>
      </c>
      <c r="I106" s="31">
        <v>4482</v>
      </c>
      <c r="J106" s="31">
        <v>3647</v>
      </c>
      <c r="K106" s="31">
        <v>32</v>
      </c>
      <c r="L106" s="31">
        <f>[1]!Posts_Table[[#This Row],[Likes]]+[1]!Posts_Table[[#This Row],[Shares]]+[1]!Posts_Table[[#This Row],[Comments]]</f>
        <v>578</v>
      </c>
      <c r="M106" s="32" t="s">
        <v>18</v>
      </c>
      <c r="N106" s="33" t="s">
        <v>53</v>
      </c>
      <c r="O106" s="33"/>
      <c r="P106" s="33"/>
    </row>
    <row r="107" spans="1:16" ht="14.25" customHeight="1" x14ac:dyDescent="0.35">
      <c r="A107" s="28" t="s">
        <v>186</v>
      </c>
      <c r="B107" s="29" t="s">
        <v>30</v>
      </c>
      <c r="C107" s="30">
        <v>45692</v>
      </c>
      <c r="D107" s="29" t="s">
        <v>46</v>
      </c>
      <c r="E107" s="28" t="s">
        <v>155</v>
      </c>
      <c r="F107" s="31">
        <v>4619</v>
      </c>
      <c r="G107" s="31">
        <v>821</v>
      </c>
      <c r="H107" s="31">
        <v>499</v>
      </c>
      <c r="I107" s="31">
        <v>69285</v>
      </c>
      <c r="J107" s="31">
        <v>69141</v>
      </c>
      <c r="K107" s="31">
        <v>298</v>
      </c>
      <c r="L107" s="31">
        <f>[1]!Posts_Table[[#This Row],[Likes]]+[1]!Posts_Table[[#This Row],[Shares]]+[1]!Posts_Table[[#This Row],[Comments]]</f>
        <v>5939</v>
      </c>
      <c r="M107" s="32" t="s">
        <v>35</v>
      </c>
      <c r="N107" s="33" t="s">
        <v>27</v>
      </c>
      <c r="O107" s="33"/>
      <c r="P107" s="33"/>
    </row>
    <row r="108" spans="1:16" ht="14.25" customHeight="1" x14ac:dyDescent="0.35">
      <c r="A108" s="28" t="s">
        <v>187</v>
      </c>
      <c r="B108" s="29" t="s">
        <v>24</v>
      </c>
      <c r="C108" s="30">
        <v>45464</v>
      </c>
      <c r="D108" s="29" t="s">
        <v>46</v>
      </c>
      <c r="E108" s="28" t="s">
        <v>47</v>
      </c>
      <c r="F108" s="31">
        <v>4832</v>
      </c>
      <c r="G108" s="31">
        <v>893</v>
      </c>
      <c r="H108" s="31">
        <v>10</v>
      </c>
      <c r="I108" s="31">
        <v>91808</v>
      </c>
      <c r="J108" s="31">
        <v>91296</v>
      </c>
      <c r="K108" s="31">
        <v>182</v>
      </c>
      <c r="L108" s="31">
        <f>[1]!Posts_Table[[#This Row],[Likes]]+[1]!Posts_Table[[#This Row],[Shares]]+[1]!Posts_Table[[#This Row],[Comments]]</f>
        <v>5735</v>
      </c>
      <c r="M108" s="32"/>
      <c r="N108" s="33" t="s">
        <v>27</v>
      </c>
      <c r="O108" s="33"/>
      <c r="P108" s="33"/>
    </row>
    <row r="109" spans="1:16" ht="14.25" customHeight="1" x14ac:dyDescent="0.35">
      <c r="A109" s="28" t="s">
        <v>188</v>
      </c>
      <c r="B109" s="29" t="s">
        <v>14</v>
      </c>
      <c r="C109" s="30">
        <v>45741</v>
      </c>
      <c r="D109" s="29" t="s">
        <v>62</v>
      </c>
      <c r="E109" s="28" t="s">
        <v>109</v>
      </c>
      <c r="F109" s="31">
        <v>4050</v>
      </c>
      <c r="G109" s="31">
        <v>871</v>
      </c>
      <c r="H109" s="31">
        <v>347</v>
      </c>
      <c r="I109" s="31">
        <v>52650</v>
      </c>
      <c r="J109" s="31">
        <v>51755</v>
      </c>
      <c r="K109" s="31">
        <v>209</v>
      </c>
      <c r="L109" s="31">
        <f>[1]!Posts_Table[[#This Row],[Likes]]+[1]!Posts_Table[[#This Row],[Shares]]+[1]!Posts_Table[[#This Row],[Comments]]</f>
        <v>5268</v>
      </c>
      <c r="M109" s="32" t="s">
        <v>22</v>
      </c>
      <c r="N109" s="33" t="s">
        <v>27</v>
      </c>
      <c r="O109" s="33"/>
      <c r="P109" s="33"/>
    </row>
    <row r="110" spans="1:16" ht="14.25" customHeight="1" x14ac:dyDescent="0.35">
      <c r="A110" s="28" t="s">
        <v>189</v>
      </c>
      <c r="B110" s="29" t="s">
        <v>14</v>
      </c>
      <c r="C110" s="30">
        <v>45512</v>
      </c>
      <c r="D110" s="29" t="s">
        <v>32</v>
      </c>
      <c r="E110" s="28" t="s">
        <v>113</v>
      </c>
      <c r="F110" s="31">
        <v>3649</v>
      </c>
      <c r="G110" s="31">
        <v>215</v>
      </c>
      <c r="H110" s="31">
        <v>413</v>
      </c>
      <c r="I110" s="31">
        <v>25543</v>
      </c>
      <c r="J110" s="31">
        <v>24963</v>
      </c>
      <c r="K110" s="31">
        <v>167</v>
      </c>
      <c r="L110" s="31">
        <f>[1]!Posts_Table[[#This Row],[Likes]]+[1]!Posts_Table[[#This Row],[Shares]]+[1]!Posts_Table[[#This Row],[Comments]]</f>
        <v>4277</v>
      </c>
      <c r="M110" s="32" t="s">
        <v>28</v>
      </c>
      <c r="N110" s="33" t="s">
        <v>53</v>
      </c>
      <c r="O110" s="33"/>
      <c r="P110" s="33"/>
    </row>
    <row r="111" spans="1:16" ht="14.25" customHeight="1" x14ac:dyDescent="0.35">
      <c r="A111" s="28" t="s">
        <v>190</v>
      </c>
      <c r="B111" s="29" t="s">
        <v>30</v>
      </c>
      <c r="C111" s="30">
        <v>45502</v>
      </c>
      <c r="D111" s="29" t="s">
        <v>16</v>
      </c>
      <c r="E111" s="28" t="s">
        <v>70</v>
      </c>
      <c r="F111" s="31">
        <v>3523</v>
      </c>
      <c r="G111" s="31">
        <v>753</v>
      </c>
      <c r="H111" s="31">
        <v>482</v>
      </c>
      <c r="I111" s="31">
        <v>38753</v>
      </c>
      <c r="J111" s="31">
        <v>38579</v>
      </c>
      <c r="K111" s="31">
        <v>270</v>
      </c>
      <c r="L111" s="31">
        <f>[1]!Posts_Table[[#This Row],[Likes]]+[1]!Posts_Table[[#This Row],[Shares]]+[1]!Posts_Table[[#This Row],[Comments]]</f>
        <v>4758</v>
      </c>
      <c r="M111" s="32" t="s">
        <v>22</v>
      </c>
      <c r="N111" s="33" t="s">
        <v>34</v>
      </c>
      <c r="O111" s="33"/>
      <c r="P111" s="33"/>
    </row>
    <row r="112" spans="1:16" ht="14.25" customHeight="1" x14ac:dyDescent="0.35">
      <c r="A112" s="28" t="s">
        <v>192</v>
      </c>
      <c r="B112" s="29" t="s">
        <v>24</v>
      </c>
      <c r="C112" s="30">
        <v>45619</v>
      </c>
      <c r="D112" s="29" t="s">
        <v>46</v>
      </c>
      <c r="E112" s="28" t="s">
        <v>47</v>
      </c>
      <c r="F112" s="31">
        <v>2719</v>
      </c>
      <c r="G112" s="31">
        <v>17</v>
      </c>
      <c r="H112" s="31">
        <v>285</v>
      </c>
      <c r="I112" s="31">
        <v>40785</v>
      </c>
      <c r="J112" s="31">
        <v>40281</v>
      </c>
      <c r="K112" s="31">
        <v>40</v>
      </c>
      <c r="L112" s="31">
        <f>[1]!Posts_Table[[#This Row],[Likes]]+[1]!Posts_Table[[#This Row],[Shares]]+[1]!Posts_Table[[#This Row],[Comments]]</f>
        <v>3021</v>
      </c>
      <c r="M112" s="32" t="s">
        <v>22</v>
      </c>
      <c r="N112" s="33" t="s">
        <v>27</v>
      </c>
      <c r="O112" s="33"/>
      <c r="P112" s="33"/>
    </row>
    <row r="113" spans="1:16" ht="14.25" customHeight="1" x14ac:dyDescent="0.35">
      <c r="A113" s="28" t="s">
        <v>193</v>
      </c>
      <c r="B113" s="29" t="s">
        <v>14</v>
      </c>
      <c r="C113" s="30">
        <v>45570</v>
      </c>
      <c r="D113" s="29" t="s">
        <v>32</v>
      </c>
      <c r="E113" s="28" t="s">
        <v>113</v>
      </c>
      <c r="F113" s="31">
        <v>1957</v>
      </c>
      <c r="G113" s="31">
        <v>877</v>
      </c>
      <c r="H113" s="31">
        <v>238</v>
      </c>
      <c r="I113" s="31">
        <v>17613</v>
      </c>
      <c r="J113" s="31">
        <v>16865</v>
      </c>
      <c r="K113" s="31">
        <v>297</v>
      </c>
      <c r="L113" s="31">
        <f>[1]!Posts_Table[[#This Row],[Likes]]+[1]!Posts_Table[[#This Row],[Shares]]+[1]!Posts_Table[[#This Row],[Comments]]</f>
        <v>3072</v>
      </c>
      <c r="M113" s="32" t="s">
        <v>28</v>
      </c>
      <c r="N113" s="33" t="s">
        <v>53</v>
      </c>
      <c r="O113" s="33"/>
      <c r="P113" s="33"/>
    </row>
    <row r="114" spans="1:16" ht="14.25" customHeight="1" x14ac:dyDescent="0.35">
      <c r="A114" s="28" t="s">
        <v>194</v>
      </c>
      <c r="B114" s="29" t="s">
        <v>14</v>
      </c>
      <c r="C114" s="30">
        <v>45567</v>
      </c>
      <c r="D114" s="29" t="s">
        <v>40</v>
      </c>
      <c r="E114" s="28" t="s">
        <v>44</v>
      </c>
      <c r="F114" s="31">
        <v>4419</v>
      </c>
      <c r="G114" s="31">
        <v>236</v>
      </c>
      <c r="H114" s="31">
        <v>369</v>
      </c>
      <c r="I114" s="31">
        <v>44190</v>
      </c>
      <c r="J114" s="31">
        <v>43582</v>
      </c>
      <c r="K114" s="31">
        <v>10</v>
      </c>
      <c r="L114" s="31">
        <f>[1]!Posts_Table[[#This Row],[Likes]]+[1]!Posts_Table[[#This Row],[Shares]]+[1]!Posts_Table[[#This Row],[Comments]]</f>
        <v>5024</v>
      </c>
      <c r="M114" s="32" t="s">
        <v>18</v>
      </c>
      <c r="N114" s="33" t="s">
        <v>34</v>
      </c>
      <c r="O114" s="33"/>
      <c r="P114" s="33"/>
    </row>
    <row r="115" spans="1:16" ht="14.25" customHeight="1" x14ac:dyDescent="0.35">
      <c r="A115" s="28" t="s">
        <v>195</v>
      </c>
      <c r="B115" s="29" t="s">
        <v>14</v>
      </c>
      <c r="C115" s="30">
        <v>45610</v>
      </c>
      <c r="D115" s="29" t="s">
        <v>32</v>
      </c>
      <c r="E115" s="28" t="s">
        <v>113</v>
      </c>
      <c r="F115" s="31">
        <v>4000</v>
      </c>
      <c r="G115" s="31">
        <v>689</v>
      </c>
      <c r="H115" s="31">
        <v>488</v>
      </c>
      <c r="I115" s="31">
        <v>40000</v>
      </c>
      <c r="J115" s="31">
        <v>39569</v>
      </c>
      <c r="K115" s="31">
        <v>44</v>
      </c>
      <c r="L115" s="31">
        <f>[1]!Posts_Table[[#This Row],[Likes]]+[1]!Posts_Table[[#This Row],[Shares]]+[1]!Posts_Table[[#This Row],[Comments]]</f>
        <v>5177</v>
      </c>
      <c r="M115" s="32" t="s">
        <v>18</v>
      </c>
      <c r="N115" s="33" t="s">
        <v>53</v>
      </c>
      <c r="O115" s="33"/>
      <c r="P115" s="33"/>
    </row>
    <row r="116" spans="1:16" ht="14.25" customHeight="1" x14ac:dyDescent="0.35">
      <c r="A116" s="28" t="s">
        <v>196</v>
      </c>
      <c r="B116" s="29" t="s">
        <v>14</v>
      </c>
      <c r="C116" s="30">
        <v>45788</v>
      </c>
      <c r="D116" s="29" t="s">
        <v>46</v>
      </c>
      <c r="E116" s="28" t="s">
        <v>102</v>
      </c>
      <c r="F116" s="31">
        <v>2493</v>
      </c>
      <c r="G116" s="31">
        <v>97</v>
      </c>
      <c r="H116" s="31">
        <v>44</v>
      </c>
      <c r="I116" s="31">
        <v>42381</v>
      </c>
      <c r="J116" s="31">
        <v>41991</v>
      </c>
      <c r="K116" s="31">
        <v>242</v>
      </c>
      <c r="L116" s="31">
        <f>[1]!Posts_Table[[#This Row],[Likes]]+[1]!Posts_Table[[#This Row],[Shares]]+[1]!Posts_Table[[#This Row],[Comments]]</f>
        <v>2634</v>
      </c>
      <c r="M116" s="32" t="s">
        <v>35</v>
      </c>
      <c r="N116" s="33" t="s">
        <v>27</v>
      </c>
      <c r="O116" s="33" t="s">
        <v>431</v>
      </c>
      <c r="P116" s="33"/>
    </row>
    <row r="117" spans="1:16" ht="14.25" customHeight="1" x14ac:dyDescent="0.35">
      <c r="A117" s="28" t="s">
        <v>197</v>
      </c>
      <c r="B117" s="29" t="s">
        <v>24</v>
      </c>
      <c r="C117" s="30">
        <v>45734</v>
      </c>
      <c r="D117" s="29" t="s">
        <v>16</v>
      </c>
      <c r="E117" s="28" t="s">
        <v>26</v>
      </c>
      <c r="F117" s="31">
        <v>3704</v>
      </c>
      <c r="G117" s="31">
        <v>186</v>
      </c>
      <c r="H117" s="31">
        <v>458</v>
      </c>
      <c r="I117" s="31">
        <v>25928</v>
      </c>
      <c r="J117" s="31">
        <v>25081</v>
      </c>
      <c r="K117" s="31">
        <v>131</v>
      </c>
      <c r="L117" s="31">
        <f>[1]!Posts_Table[[#This Row],[Likes]]+[1]!Posts_Table[[#This Row],[Shares]]+[1]!Posts_Table[[#This Row],[Comments]]</f>
        <v>4348</v>
      </c>
      <c r="M117" s="32"/>
      <c r="N117" s="33" t="s">
        <v>27</v>
      </c>
      <c r="O117" s="33"/>
      <c r="P117" s="33"/>
    </row>
    <row r="118" spans="1:16" ht="14.25" customHeight="1" x14ac:dyDescent="0.35">
      <c r="A118" s="28" t="s">
        <v>198</v>
      </c>
      <c r="B118" s="29" t="s">
        <v>14</v>
      </c>
      <c r="C118" s="30">
        <v>45600</v>
      </c>
      <c r="D118" s="29" t="s">
        <v>46</v>
      </c>
      <c r="E118" s="28" t="s">
        <v>102</v>
      </c>
      <c r="F118" s="31">
        <v>1606</v>
      </c>
      <c r="G118" s="31">
        <v>451</v>
      </c>
      <c r="H118" s="31">
        <v>405</v>
      </c>
      <c r="I118" s="31">
        <v>20878</v>
      </c>
      <c r="J118" s="31">
        <v>20190</v>
      </c>
      <c r="K118" s="31">
        <v>219</v>
      </c>
      <c r="L118" s="31">
        <f>[1]!Posts_Table[[#This Row],[Likes]]+[1]!Posts_Table[[#This Row],[Shares]]+[1]!Posts_Table[[#This Row],[Comments]]</f>
        <v>2462</v>
      </c>
      <c r="M118" s="32" t="s">
        <v>35</v>
      </c>
      <c r="N118" s="33" t="s">
        <v>34</v>
      </c>
      <c r="O118" s="33"/>
      <c r="P118" s="33"/>
    </row>
    <row r="119" spans="1:16" ht="14.25" customHeight="1" x14ac:dyDescent="0.35">
      <c r="A119" s="28" t="s">
        <v>200</v>
      </c>
      <c r="B119" s="29" t="s">
        <v>38</v>
      </c>
      <c r="C119" s="30">
        <v>45600</v>
      </c>
      <c r="D119" s="29" t="s">
        <v>46</v>
      </c>
      <c r="E119" s="28" t="s">
        <v>51</v>
      </c>
      <c r="F119" s="31">
        <v>4551</v>
      </c>
      <c r="G119" s="31">
        <v>714</v>
      </c>
      <c r="H119" s="31">
        <v>207</v>
      </c>
      <c r="I119" s="31">
        <v>68265</v>
      </c>
      <c r="J119" s="31">
        <v>67754</v>
      </c>
      <c r="K119" s="31">
        <v>57</v>
      </c>
      <c r="L119" s="31">
        <f>[1]!Posts_Table[[#This Row],[Likes]]+[1]!Posts_Table[[#This Row],[Shares]]+[1]!Posts_Table[[#This Row],[Comments]]</f>
        <v>5472</v>
      </c>
      <c r="M119" s="32" t="s">
        <v>28</v>
      </c>
      <c r="N119" s="33" t="s">
        <v>53</v>
      </c>
      <c r="O119" s="33"/>
      <c r="P119" s="33"/>
    </row>
    <row r="120" spans="1:16" ht="14.25" customHeight="1" x14ac:dyDescent="0.35">
      <c r="A120" s="28" t="s">
        <v>201</v>
      </c>
      <c r="B120" s="29" t="s">
        <v>30</v>
      </c>
      <c r="C120" s="30">
        <v>45695</v>
      </c>
      <c r="D120" s="29" t="s">
        <v>16</v>
      </c>
      <c r="E120" s="28" t="s">
        <v>70</v>
      </c>
      <c r="F120" s="31">
        <v>1970</v>
      </c>
      <c r="G120" s="31">
        <v>675</v>
      </c>
      <c r="H120" s="31">
        <v>478</v>
      </c>
      <c r="I120" s="31">
        <v>9850</v>
      </c>
      <c r="J120" s="31">
        <v>8924</v>
      </c>
      <c r="K120" s="31">
        <v>117</v>
      </c>
      <c r="L120" s="31">
        <f>[1]!Posts_Table[[#This Row],[Likes]]+[1]!Posts_Table[[#This Row],[Shares]]+[1]!Posts_Table[[#This Row],[Comments]]</f>
        <v>3123</v>
      </c>
      <c r="M120" s="32"/>
      <c r="N120" s="33" t="s">
        <v>53</v>
      </c>
      <c r="O120" s="33"/>
      <c r="P120" s="33"/>
    </row>
    <row r="121" spans="1:16" ht="14.25" customHeight="1" x14ac:dyDescent="0.35">
      <c r="A121" s="28" t="s">
        <v>202</v>
      </c>
      <c r="B121" s="29" t="s">
        <v>38</v>
      </c>
      <c r="C121" s="30">
        <v>45586</v>
      </c>
      <c r="D121" s="29" t="s">
        <v>32</v>
      </c>
      <c r="E121" s="28" t="s">
        <v>60</v>
      </c>
      <c r="F121" s="31">
        <v>780</v>
      </c>
      <c r="G121" s="31">
        <v>928</v>
      </c>
      <c r="H121" s="31">
        <v>301</v>
      </c>
      <c r="I121" s="31">
        <v>8580</v>
      </c>
      <c r="J121" s="31">
        <v>8081</v>
      </c>
      <c r="K121" s="31">
        <v>91</v>
      </c>
      <c r="L121" s="31">
        <f>[1]!Posts_Table[[#This Row],[Likes]]+[1]!Posts_Table[[#This Row],[Shares]]+[1]!Posts_Table[[#This Row],[Comments]]</f>
        <v>2009</v>
      </c>
      <c r="M121" s="32" t="s">
        <v>28</v>
      </c>
      <c r="N121" s="33" t="s">
        <v>34</v>
      </c>
      <c r="O121" s="33"/>
      <c r="P121" s="33"/>
    </row>
    <row r="122" spans="1:16" ht="14.25" customHeight="1" x14ac:dyDescent="0.35">
      <c r="A122" s="28" t="s">
        <v>203</v>
      </c>
      <c r="B122" s="29" t="s">
        <v>30</v>
      </c>
      <c r="C122" s="30">
        <v>45502</v>
      </c>
      <c r="D122" s="29" t="s">
        <v>32</v>
      </c>
      <c r="E122" s="28" t="s">
        <v>33</v>
      </c>
      <c r="F122" s="31">
        <v>498</v>
      </c>
      <c r="G122" s="31">
        <v>701</v>
      </c>
      <c r="H122" s="31">
        <v>412</v>
      </c>
      <c r="I122" s="31">
        <v>4980</v>
      </c>
      <c r="J122" s="31">
        <v>4185</v>
      </c>
      <c r="K122" s="31">
        <v>185</v>
      </c>
      <c r="L122" s="31">
        <f>[1]!Posts_Table[[#This Row],[Likes]]+[1]!Posts_Table[[#This Row],[Shares]]+[1]!Posts_Table[[#This Row],[Comments]]</f>
        <v>1611</v>
      </c>
      <c r="M122" s="32"/>
      <c r="N122" s="33" t="s">
        <v>53</v>
      </c>
      <c r="O122" s="33"/>
      <c r="P122" s="33"/>
    </row>
    <row r="123" spans="1:16" ht="14.25" customHeight="1" x14ac:dyDescent="0.35">
      <c r="A123" s="28" t="s">
        <v>204</v>
      </c>
      <c r="B123" s="29" t="s">
        <v>30</v>
      </c>
      <c r="C123" s="30">
        <v>45567</v>
      </c>
      <c r="D123" s="29" t="s">
        <v>20</v>
      </c>
      <c r="E123" s="28" t="s">
        <v>89</v>
      </c>
      <c r="F123" s="31">
        <v>3432</v>
      </c>
      <c r="G123" s="31">
        <v>869</v>
      </c>
      <c r="H123" s="31">
        <v>123</v>
      </c>
      <c r="I123" s="31">
        <v>54912</v>
      </c>
      <c r="J123" s="31">
        <v>53916</v>
      </c>
      <c r="K123" s="31">
        <v>264</v>
      </c>
      <c r="L123" s="31">
        <f>[1]!Posts_Table[[#This Row],[Likes]]+[1]!Posts_Table[[#This Row],[Shares]]+[1]!Posts_Table[[#This Row],[Comments]]</f>
        <v>4424</v>
      </c>
      <c r="M123" s="32" t="s">
        <v>22</v>
      </c>
      <c r="N123" s="33" t="s">
        <v>34</v>
      </c>
      <c r="O123" s="33"/>
      <c r="P123" s="33"/>
    </row>
    <row r="124" spans="1:16" ht="14.25" customHeight="1" x14ac:dyDescent="0.35">
      <c r="A124" s="28" t="s">
        <v>205</v>
      </c>
      <c r="B124" s="29" t="s">
        <v>30</v>
      </c>
      <c r="C124" s="30">
        <v>45457</v>
      </c>
      <c r="D124" s="29" t="s">
        <v>32</v>
      </c>
      <c r="E124" s="28" t="s">
        <v>33</v>
      </c>
      <c r="F124" s="31">
        <v>4363</v>
      </c>
      <c r="G124" s="31">
        <v>649</v>
      </c>
      <c r="H124" s="31">
        <v>140</v>
      </c>
      <c r="I124" s="31">
        <v>21815</v>
      </c>
      <c r="J124" s="31">
        <v>21481</v>
      </c>
      <c r="K124" s="31">
        <v>157</v>
      </c>
      <c r="L124" s="31">
        <f>[1]!Posts_Table[[#This Row],[Likes]]+[1]!Posts_Table[[#This Row],[Shares]]+[1]!Posts_Table[[#This Row],[Comments]]</f>
        <v>5152</v>
      </c>
      <c r="M124" s="32" t="s">
        <v>18</v>
      </c>
      <c r="N124" s="33" t="s">
        <v>34</v>
      </c>
      <c r="O124" s="33"/>
      <c r="P124" s="33"/>
    </row>
    <row r="125" spans="1:16" ht="14.25" customHeight="1" x14ac:dyDescent="0.35">
      <c r="A125" s="28" t="s">
        <v>206</v>
      </c>
      <c r="B125" s="29" t="s">
        <v>24</v>
      </c>
      <c r="C125" s="30">
        <v>45753</v>
      </c>
      <c r="D125" s="29" t="s">
        <v>40</v>
      </c>
      <c r="E125" s="28" t="s">
        <v>58</v>
      </c>
      <c r="F125" s="31">
        <v>736</v>
      </c>
      <c r="G125" s="31">
        <v>771</v>
      </c>
      <c r="H125" s="31">
        <v>225</v>
      </c>
      <c r="I125" s="31">
        <v>5152</v>
      </c>
      <c r="J125" s="31">
        <v>4706</v>
      </c>
      <c r="K125" s="31">
        <v>19</v>
      </c>
      <c r="L125" s="31">
        <f>[1]!Posts_Table[[#This Row],[Likes]]+[1]!Posts_Table[[#This Row],[Shares]]+[1]!Posts_Table[[#This Row],[Comments]]</f>
        <v>1732</v>
      </c>
      <c r="M125" s="32" t="s">
        <v>18</v>
      </c>
      <c r="N125" s="33" t="s">
        <v>34</v>
      </c>
      <c r="O125" s="33"/>
      <c r="P125" s="33"/>
    </row>
    <row r="126" spans="1:16" ht="14.25" customHeight="1" x14ac:dyDescent="0.35">
      <c r="A126" s="28" t="s">
        <v>207</v>
      </c>
      <c r="B126" s="29" t="s">
        <v>14</v>
      </c>
      <c r="C126" s="30">
        <v>45543</v>
      </c>
      <c r="D126" s="29" t="s">
        <v>40</v>
      </c>
      <c r="E126" s="28" t="s">
        <v>44</v>
      </c>
      <c r="F126" s="31">
        <v>3811</v>
      </c>
      <c r="G126" s="31">
        <v>866</v>
      </c>
      <c r="H126" s="31">
        <v>216</v>
      </c>
      <c r="I126" s="31">
        <v>34299</v>
      </c>
      <c r="J126" s="31">
        <v>34088</v>
      </c>
      <c r="K126" s="31">
        <v>233</v>
      </c>
      <c r="L126" s="31">
        <f>[1]!Posts_Table[[#This Row],[Likes]]+[1]!Posts_Table[[#This Row],[Shares]]+[1]!Posts_Table[[#This Row],[Comments]]</f>
        <v>4893</v>
      </c>
      <c r="M126" s="32" t="s">
        <v>35</v>
      </c>
      <c r="N126" s="33" t="s">
        <v>27</v>
      </c>
      <c r="O126" s="33"/>
      <c r="P126" s="33"/>
    </row>
    <row r="127" spans="1:16" ht="14.25" customHeight="1" x14ac:dyDescent="0.35">
      <c r="A127" s="28" t="s">
        <v>208</v>
      </c>
      <c r="B127" s="29" t="s">
        <v>30</v>
      </c>
      <c r="C127" s="30">
        <v>45744</v>
      </c>
      <c r="D127" s="29" t="s">
        <v>40</v>
      </c>
      <c r="E127" s="28" t="s">
        <v>75</v>
      </c>
      <c r="F127" s="31">
        <v>4158</v>
      </c>
      <c r="G127" s="31">
        <v>167</v>
      </c>
      <c r="H127" s="31">
        <v>241</v>
      </c>
      <c r="I127" s="31">
        <v>45738</v>
      </c>
      <c r="J127" s="31">
        <v>45183</v>
      </c>
      <c r="K127" s="31">
        <v>142</v>
      </c>
      <c r="L127" s="31">
        <f>[1]!Posts_Table[[#This Row],[Likes]]+[1]!Posts_Table[[#This Row],[Shares]]+[1]!Posts_Table[[#This Row],[Comments]]</f>
        <v>4566</v>
      </c>
      <c r="M127" s="32"/>
      <c r="N127" s="33" t="s">
        <v>53</v>
      </c>
      <c r="O127" s="33"/>
      <c r="P127" s="33"/>
    </row>
    <row r="128" spans="1:16" ht="14.25" customHeight="1" x14ac:dyDescent="0.35">
      <c r="A128" s="28" t="s">
        <v>209</v>
      </c>
      <c r="B128" s="29" t="s">
        <v>38</v>
      </c>
      <c r="C128" s="30">
        <v>45684</v>
      </c>
      <c r="D128" s="29" t="s">
        <v>16</v>
      </c>
      <c r="E128" s="28" t="s">
        <v>55</v>
      </c>
      <c r="F128" s="31">
        <v>3452</v>
      </c>
      <c r="G128" s="31">
        <v>652</v>
      </c>
      <c r="H128" s="31">
        <v>442</v>
      </c>
      <c r="I128" s="31">
        <v>65588</v>
      </c>
      <c r="J128" s="31">
        <v>65049</v>
      </c>
      <c r="K128" s="31">
        <v>158</v>
      </c>
      <c r="L128" s="31">
        <f>[1]!Posts_Table[[#This Row],[Likes]]+[1]!Posts_Table[[#This Row],[Shares]]+[1]!Posts_Table[[#This Row],[Comments]]</f>
        <v>4546</v>
      </c>
      <c r="M128" s="32" t="s">
        <v>28</v>
      </c>
      <c r="N128" s="33" t="s">
        <v>53</v>
      </c>
      <c r="O128" s="33"/>
      <c r="P128" s="33"/>
    </row>
    <row r="129" spans="1:16" ht="14.25" customHeight="1" x14ac:dyDescent="0.35">
      <c r="A129" s="28" t="s">
        <v>210</v>
      </c>
      <c r="B129" s="29" t="s">
        <v>14</v>
      </c>
      <c r="C129" s="30">
        <v>45667</v>
      </c>
      <c r="D129" s="29" t="s">
        <v>46</v>
      </c>
      <c r="E129" s="28" t="s">
        <v>102</v>
      </c>
      <c r="F129" s="31">
        <v>3092</v>
      </c>
      <c r="G129" s="31">
        <v>106</v>
      </c>
      <c r="H129" s="31">
        <v>291</v>
      </c>
      <c r="I129" s="31">
        <v>27828</v>
      </c>
      <c r="J129" s="31">
        <v>27217</v>
      </c>
      <c r="K129" s="31">
        <v>102</v>
      </c>
      <c r="L129" s="31">
        <f>[1]!Posts_Table[[#This Row],[Likes]]+[1]!Posts_Table[[#This Row],[Shares]]+[1]!Posts_Table[[#This Row],[Comments]]</f>
        <v>3489</v>
      </c>
      <c r="M129" s="32"/>
      <c r="N129" s="33" t="s">
        <v>53</v>
      </c>
      <c r="O129" s="33"/>
      <c r="P129" s="33"/>
    </row>
    <row r="130" spans="1:16" ht="14.25" customHeight="1" x14ac:dyDescent="0.35">
      <c r="A130" s="28" t="s">
        <v>211</v>
      </c>
      <c r="B130" s="29" t="s">
        <v>14</v>
      </c>
      <c r="C130" s="30">
        <v>45494</v>
      </c>
      <c r="D130" s="29" t="s">
        <v>20</v>
      </c>
      <c r="E130" s="28" t="s">
        <v>21</v>
      </c>
      <c r="F130" s="31">
        <v>2147</v>
      </c>
      <c r="G130" s="31">
        <v>430</v>
      </c>
      <c r="H130" s="31">
        <v>393</v>
      </c>
      <c r="I130" s="31">
        <v>17176</v>
      </c>
      <c r="J130" s="31">
        <v>16483</v>
      </c>
      <c r="K130" s="31">
        <v>170</v>
      </c>
      <c r="L130" s="31">
        <f>[1]!Posts_Table[[#This Row],[Likes]]+[1]!Posts_Table[[#This Row],[Shares]]+[1]!Posts_Table[[#This Row],[Comments]]</f>
        <v>2970</v>
      </c>
      <c r="M130" s="32"/>
      <c r="N130" s="33" t="s">
        <v>27</v>
      </c>
      <c r="O130" s="33"/>
      <c r="P130" s="33"/>
    </row>
    <row r="131" spans="1:16" ht="14.25" customHeight="1" x14ac:dyDescent="0.35">
      <c r="A131" s="28" t="s">
        <v>212</v>
      </c>
      <c r="B131" s="29" t="s">
        <v>24</v>
      </c>
      <c r="C131" s="30">
        <v>45564</v>
      </c>
      <c r="D131" s="29" t="s">
        <v>16</v>
      </c>
      <c r="E131" s="28" t="s">
        <v>26</v>
      </c>
      <c r="F131" s="31">
        <v>2936</v>
      </c>
      <c r="G131" s="31">
        <v>439</v>
      </c>
      <c r="H131" s="31">
        <v>44</v>
      </c>
      <c r="I131" s="31">
        <v>38168</v>
      </c>
      <c r="J131" s="31">
        <v>37571</v>
      </c>
      <c r="K131" s="31">
        <v>22</v>
      </c>
      <c r="L131" s="31">
        <f>[1]!Posts_Table[[#This Row],[Likes]]+[1]!Posts_Table[[#This Row],[Shares]]+[1]!Posts_Table[[#This Row],[Comments]]</f>
        <v>3419</v>
      </c>
      <c r="M131" s="32" t="s">
        <v>35</v>
      </c>
      <c r="N131" s="33" t="s">
        <v>34</v>
      </c>
      <c r="O131" s="33"/>
      <c r="P131" s="33"/>
    </row>
    <row r="132" spans="1:16" ht="14.25" customHeight="1" x14ac:dyDescent="0.35">
      <c r="A132" s="28" t="s">
        <v>213</v>
      </c>
      <c r="B132" s="29" t="s">
        <v>30</v>
      </c>
      <c r="C132" s="30">
        <v>45586</v>
      </c>
      <c r="D132" s="29" t="s">
        <v>16</v>
      </c>
      <c r="E132" s="28" t="s">
        <v>70</v>
      </c>
      <c r="F132" s="31">
        <v>4840</v>
      </c>
      <c r="G132" s="31">
        <v>658</v>
      </c>
      <c r="H132" s="31">
        <v>211</v>
      </c>
      <c r="I132" s="31">
        <v>43560</v>
      </c>
      <c r="J132" s="31">
        <v>43225</v>
      </c>
      <c r="K132" s="31">
        <v>57</v>
      </c>
      <c r="L132" s="31">
        <f>[1]!Posts_Table[[#This Row],[Likes]]+[1]!Posts_Table[[#This Row],[Shares]]+[1]!Posts_Table[[#This Row],[Comments]]</f>
        <v>5709</v>
      </c>
      <c r="M132" s="32" t="s">
        <v>28</v>
      </c>
      <c r="N132" s="33" t="s">
        <v>53</v>
      </c>
      <c r="O132" s="33"/>
      <c r="P132" s="33"/>
    </row>
    <row r="133" spans="1:16" ht="14.25" customHeight="1" x14ac:dyDescent="0.35">
      <c r="A133" s="28" t="s">
        <v>214</v>
      </c>
      <c r="B133" s="29" t="s">
        <v>30</v>
      </c>
      <c r="C133" s="30">
        <v>45720</v>
      </c>
      <c r="D133" s="29" t="s">
        <v>32</v>
      </c>
      <c r="E133" s="28" t="s">
        <v>33</v>
      </c>
      <c r="F133" s="31">
        <v>1947</v>
      </c>
      <c r="G133" s="31">
        <v>842</v>
      </c>
      <c r="H133" s="31">
        <v>101</v>
      </c>
      <c r="I133" s="31">
        <v>21417</v>
      </c>
      <c r="J133" s="31">
        <v>20967</v>
      </c>
      <c r="K133" s="31">
        <v>186</v>
      </c>
      <c r="L133" s="31">
        <f>[1]!Posts_Table[[#This Row],[Likes]]+[1]!Posts_Table[[#This Row],[Shares]]+[1]!Posts_Table[[#This Row],[Comments]]</f>
        <v>2890</v>
      </c>
      <c r="M133" s="32" t="s">
        <v>22</v>
      </c>
      <c r="N133" s="33" t="s">
        <v>53</v>
      </c>
      <c r="O133" s="33"/>
      <c r="P133" s="33"/>
    </row>
    <row r="134" spans="1:16" ht="14.25" customHeight="1" x14ac:dyDescent="0.35">
      <c r="A134" s="28" t="s">
        <v>215</v>
      </c>
      <c r="B134" s="29" t="s">
        <v>38</v>
      </c>
      <c r="C134" s="30">
        <v>45694</v>
      </c>
      <c r="D134" s="29" t="s">
        <v>46</v>
      </c>
      <c r="E134" s="28" t="s">
        <v>51</v>
      </c>
      <c r="F134" s="31">
        <v>2072</v>
      </c>
      <c r="G134" s="31">
        <v>532</v>
      </c>
      <c r="H134" s="31">
        <v>71</v>
      </c>
      <c r="I134" s="31">
        <v>37296</v>
      </c>
      <c r="J134" s="31">
        <v>36467</v>
      </c>
      <c r="K134" s="31">
        <v>25</v>
      </c>
      <c r="L134" s="31">
        <f>[1]!Posts_Table[[#This Row],[Likes]]+[1]!Posts_Table[[#This Row],[Shares]]+[1]!Posts_Table[[#This Row],[Comments]]</f>
        <v>2675</v>
      </c>
      <c r="M134" s="32" t="s">
        <v>35</v>
      </c>
      <c r="N134" s="33" t="s">
        <v>27</v>
      </c>
      <c r="O134" s="33"/>
      <c r="P134" s="33"/>
    </row>
    <row r="135" spans="1:16" ht="14.25" customHeight="1" x14ac:dyDescent="0.35">
      <c r="A135" s="28" t="s">
        <v>216</v>
      </c>
      <c r="B135" s="29" t="s">
        <v>14</v>
      </c>
      <c r="C135" s="30">
        <v>45771</v>
      </c>
      <c r="D135" s="29" t="s">
        <v>16</v>
      </c>
      <c r="E135" s="28" t="s">
        <v>17</v>
      </c>
      <c r="F135" s="31">
        <v>3731</v>
      </c>
      <c r="G135" s="31">
        <v>115</v>
      </c>
      <c r="H135" s="31">
        <v>135</v>
      </c>
      <c r="I135" s="31">
        <v>55965</v>
      </c>
      <c r="J135" s="31">
        <v>55436</v>
      </c>
      <c r="K135" s="31">
        <v>103</v>
      </c>
      <c r="L135" s="31">
        <f>[1]!Posts_Table[[#This Row],[Likes]]+[1]!Posts_Table[[#This Row],[Shares]]+[1]!Posts_Table[[#This Row],[Comments]]</f>
        <v>3981</v>
      </c>
      <c r="M135" s="32" t="s">
        <v>18</v>
      </c>
      <c r="N135" s="33" t="s">
        <v>27</v>
      </c>
      <c r="O135" s="33"/>
      <c r="P135" s="33"/>
    </row>
    <row r="136" spans="1:16" ht="14.25" customHeight="1" x14ac:dyDescent="0.35">
      <c r="A136" s="28" t="s">
        <v>217</v>
      </c>
      <c r="B136" s="29" t="s">
        <v>38</v>
      </c>
      <c r="C136" s="30">
        <v>45624</v>
      </c>
      <c r="D136" s="29" t="s">
        <v>20</v>
      </c>
      <c r="E136" s="28" t="s">
        <v>49</v>
      </c>
      <c r="F136" s="31">
        <v>4213</v>
      </c>
      <c r="G136" s="31">
        <v>253</v>
      </c>
      <c r="H136" s="31">
        <v>434</v>
      </c>
      <c r="I136" s="31">
        <v>75834</v>
      </c>
      <c r="J136" s="31">
        <v>75437</v>
      </c>
      <c r="K136" s="31">
        <v>272</v>
      </c>
      <c r="L136" s="31">
        <f>[1]!Posts_Table[[#This Row],[Likes]]+[1]!Posts_Table[[#This Row],[Shares]]+[1]!Posts_Table[[#This Row],[Comments]]</f>
        <v>4900</v>
      </c>
      <c r="M136" s="32" t="s">
        <v>35</v>
      </c>
      <c r="N136" s="33" t="s">
        <v>53</v>
      </c>
      <c r="O136" s="33"/>
      <c r="P136" s="33"/>
    </row>
    <row r="137" spans="1:16" ht="14.25" customHeight="1" x14ac:dyDescent="0.35">
      <c r="A137" s="28" t="s">
        <v>218</v>
      </c>
      <c r="B137" s="29" t="s">
        <v>30</v>
      </c>
      <c r="C137" s="30">
        <v>45484</v>
      </c>
      <c r="D137" s="29" t="s">
        <v>20</v>
      </c>
      <c r="E137" s="28" t="s">
        <v>89</v>
      </c>
      <c r="F137" s="31">
        <v>3134</v>
      </c>
      <c r="G137" s="31">
        <v>888</v>
      </c>
      <c r="H137" s="31">
        <v>444</v>
      </c>
      <c r="I137" s="31">
        <v>21938</v>
      </c>
      <c r="J137" s="31">
        <v>21337</v>
      </c>
      <c r="K137" s="31">
        <v>130</v>
      </c>
      <c r="L137" s="31">
        <f>[1]!Posts_Table[[#This Row],[Likes]]+[1]!Posts_Table[[#This Row],[Shares]]+[1]!Posts_Table[[#This Row],[Comments]]</f>
        <v>4466</v>
      </c>
      <c r="M137" s="32" t="s">
        <v>35</v>
      </c>
      <c r="N137" s="33" t="s">
        <v>34</v>
      </c>
      <c r="O137" s="33"/>
      <c r="P137" s="33"/>
    </row>
    <row r="138" spans="1:16" ht="14.25" customHeight="1" x14ac:dyDescent="0.35">
      <c r="A138" s="28" t="s">
        <v>219</v>
      </c>
      <c r="B138" s="29" t="s">
        <v>38</v>
      </c>
      <c r="C138" s="30">
        <v>45504</v>
      </c>
      <c r="D138" s="29" t="s">
        <v>62</v>
      </c>
      <c r="E138" s="28" t="s">
        <v>63</v>
      </c>
      <c r="F138" s="31">
        <v>3008</v>
      </c>
      <c r="G138" s="31">
        <v>94</v>
      </c>
      <c r="H138" s="31">
        <v>37</v>
      </c>
      <c r="I138" s="31">
        <v>15040</v>
      </c>
      <c r="J138" s="31">
        <v>14639</v>
      </c>
      <c r="K138" s="31">
        <v>277</v>
      </c>
      <c r="L138" s="31">
        <f>[1]!Posts_Table[[#This Row],[Likes]]+[1]!Posts_Table[[#This Row],[Shares]]+[1]!Posts_Table[[#This Row],[Comments]]</f>
        <v>3139</v>
      </c>
      <c r="M138" s="32"/>
      <c r="N138" s="33" t="s">
        <v>53</v>
      </c>
      <c r="O138" s="33"/>
      <c r="P138" s="33"/>
    </row>
    <row r="139" spans="1:16" ht="14.25" customHeight="1" x14ac:dyDescent="0.35">
      <c r="A139" s="28" t="s">
        <v>220</v>
      </c>
      <c r="B139" s="29" t="s">
        <v>14</v>
      </c>
      <c r="C139" s="30">
        <v>45745</v>
      </c>
      <c r="D139" s="29" t="s">
        <v>46</v>
      </c>
      <c r="E139" s="28" t="s">
        <v>102</v>
      </c>
      <c r="F139" s="31">
        <v>305</v>
      </c>
      <c r="G139" s="31">
        <v>187</v>
      </c>
      <c r="H139" s="31">
        <v>243</v>
      </c>
      <c r="I139" s="31">
        <v>4575</v>
      </c>
      <c r="J139" s="31">
        <v>3704</v>
      </c>
      <c r="K139" s="31">
        <v>234</v>
      </c>
      <c r="L139" s="31">
        <f>[1]!Posts_Table[[#This Row],[Likes]]+[1]!Posts_Table[[#This Row],[Shares]]+[1]!Posts_Table[[#This Row],[Comments]]</f>
        <v>735</v>
      </c>
      <c r="M139" s="32" t="s">
        <v>28</v>
      </c>
      <c r="N139" s="33" t="s">
        <v>53</v>
      </c>
      <c r="O139" s="33"/>
      <c r="P139" s="33"/>
    </row>
    <row r="140" spans="1:16" ht="14.25" customHeight="1" x14ac:dyDescent="0.35">
      <c r="A140" s="28" t="s">
        <v>221</v>
      </c>
      <c r="B140" s="29" t="s">
        <v>24</v>
      </c>
      <c r="C140" s="30">
        <v>45594</v>
      </c>
      <c r="D140" s="29" t="s">
        <v>20</v>
      </c>
      <c r="E140" s="28" t="s">
        <v>83</v>
      </c>
      <c r="F140" s="31">
        <v>2746</v>
      </c>
      <c r="G140" s="31">
        <v>156</v>
      </c>
      <c r="H140" s="31">
        <v>203</v>
      </c>
      <c r="I140" s="31">
        <v>32952</v>
      </c>
      <c r="J140" s="31">
        <v>32147</v>
      </c>
      <c r="K140" s="31">
        <v>147</v>
      </c>
      <c r="L140" s="31">
        <f>[1]!Posts_Table[[#This Row],[Likes]]+[1]!Posts_Table[[#This Row],[Shares]]+[1]!Posts_Table[[#This Row],[Comments]]</f>
        <v>3105</v>
      </c>
      <c r="M140" s="32" t="s">
        <v>18</v>
      </c>
      <c r="N140" s="33" t="s">
        <v>34</v>
      </c>
      <c r="O140" s="33"/>
      <c r="P140" s="33"/>
    </row>
    <row r="141" spans="1:16" ht="14.25" customHeight="1" x14ac:dyDescent="0.35">
      <c r="A141" s="28" t="s">
        <v>222</v>
      </c>
      <c r="B141" s="29" t="s">
        <v>38</v>
      </c>
      <c r="C141" s="30">
        <v>45488</v>
      </c>
      <c r="D141" s="29" t="s">
        <v>46</v>
      </c>
      <c r="E141" s="28" t="s">
        <v>51</v>
      </c>
      <c r="F141" s="31">
        <v>2291</v>
      </c>
      <c r="G141" s="31">
        <v>78</v>
      </c>
      <c r="H141" s="31">
        <v>485</v>
      </c>
      <c r="I141" s="31">
        <v>18328</v>
      </c>
      <c r="J141" s="31">
        <v>18101</v>
      </c>
      <c r="K141" s="31">
        <v>10</v>
      </c>
      <c r="L141" s="31">
        <f>[1]!Posts_Table[[#This Row],[Likes]]+[1]!Posts_Table[[#This Row],[Shares]]+[1]!Posts_Table[[#This Row],[Comments]]</f>
        <v>2854</v>
      </c>
      <c r="M141" s="32" t="s">
        <v>22</v>
      </c>
      <c r="N141" s="33" t="s">
        <v>34</v>
      </c>
      <c r="O141" s="33" t="s">
        <v>427</v>
      </c>
      <c r="P141" s="33"/>
    </row>
    <row r="142" spans="1:16" ht="14.25" customHeight="1" x14ac:dyDescent="0.35">
      <c r="A142" s="28" t="s">
        <v>224</v>
      </c>
      <c r="B142" s="29" t="s">
        <v>14</v>
      </c>
      <c r="C142" s="30">
        <v>45535</v>
      </c>
      <c r="D142" s="29" t="s">
        <v>46</v>
      </c>
      <c r="E142" s="28" t="s">
        <v>102</v>
      </c>
      <c r="F142" s="31">
        <v>3170</v>
      </c>
      <c r="G142" s="31">
        <v>857</v>
      </c>
      <c r="H142" s="31">
        <v>379</v>
      </c>
      <c r="I142" s="31">
        <v>19020</v>
      </c>
      <c r="J142" s="31">
        <v>18559</v>
      </c>
      <c r="K142" s="31">
        <v>240</v>
      </c>
      <c r="L142" s="31">
        <f>[1]!Posts_Table[[#This Row],[Likes]]+[1]!Posts_Table[[#This Row],[Shares]]+[1]!Posts_Table[[#This Row],[Comments]]</f>
        <v>4406</v>
      </c>
      <c r="M142" s="32"/>
      <c r="N142" s="33" t="s">
        <v>53</v>
      </c>
      <c r="O142" s="33"/>
      <c r="P142" s="33"/>
    </row>
    <row r="143" spans="1:16" ht="14.25" customHeight="1" x14ac:dyDescent="0.35">
      <c r="A143" s="28" t="s">
        <v>225</v>
      </c>
      <c r="B143" s="29" t="s">
        <v>24</v>
      </c>
      <c r="C143" s="30">
        <v>45741</v>
      </c>
      <c r="D143" s="29" t="s">
        <v>32</v>
      </c>
      <c r="E143" s="28" t="s">
        <v>117</v>
      </c>
      <c r="F143" s="31">
        <v>2070</v>
      </c>
      <c r="G143" s="31">
        <v>275</v>
      </c>
      <c r="H143" s="31">
        <v>386</v>
      </c>
      <c r="I143" s="31">
        <v>39330</v>
      </c>
      <c r="J143" s="31">
        <v>38627</v>
      </c>
      <c r="K143" s="31">
        <v>114</v>
      </c>
      <c r="L143" s="31">
        <f>[1]!Posts_Table[[#This Row],[Likes]]+[1]!Posts_Table[[#This Row],[Shares]]+[1]!Posts_Table[[#This Row],[Comments]]</f>
        <v>2731</v>
      </c>
      <c r="M143" s="32" t="s">
        <v>35</v>
      </c>
      <c r="N143" s="33" t="s">
        <v>53</v>
      </c>
      <c r="O143" s="33"/>
      <c r="P143" s="33"/>
    </row>
    <row r="144" spans="1:16" ht="14.25" customHeight="1" x14ac:dyDescent="0.35">
      <c r="A144" s="28" t="s">
        <v>226</v>
      </c>
      <c r="B144" s="29" t="s">
        <v>24</v>
      </c>
      <c r="C144" s="30">
        <v>45567</v>
      </c>
      <c r="D144" s="29" t="s">
        <v>40</v>
      </c>
      <c r="E144" s="28" t="s">
        <v>58</v>
      </c>
      <c r="F144" s="31">
        <v>80</v>
      </c>
      <c r="G144" s="31">
        <v>362</v>
      </c>
      <c r="H144" s="31">
        <v>80</v>
      </c>
      <c r="I144" s="31">
        <v>1040</v>
      </c>
      <c r="J144" s="31">
        <v>349</v>
      </c>
      <c r="K144" s="31">
        <v>117</v>
      </c>
      <c r="L144" s="31">
        <f>[1]!Posts_Table[[#This Row],[Likes]]+[1]!Posts_Table[[#This Row],[Shares]]+[1]!Posts_Table[[#This Row],[Comments]]</f>
        <v>522</v>
      </c>
      <c r="M144" s="32" t="s">
        <v>28</v>
      </c>
      <c r="N144" s="33" t="s">
        <v>27</v>
      </c>
      <c r="O144" s="33"/>
      <c r="P144" s="33"/>
    </row>
    <row r="145" spans="1:16" ht="14.25" customHeight="1" x14ac:dyDescent="0.35">
      <c r="A145" s="28" t="s">
        <v>227</v>
      </c>
      <c r="B145" s="29" t="s">
        <v>24</v>
      </c>
      <c r="C145" s="30">
        <v>45593</v>
      </c>
      <c r="D145" s="29" t="s">
        <v>32</v>
      </c>
      <c r="E145" s="28" t="s">
        <v>117</v>
      </c>
      <c r="F145" s="31">
        <v>4929</v>
      </c>
      <c r="G145" s="31">
        <v>749</v>
      </c>
      <c r="H145" s="31">
        <v>452</v>
      </c>
      <c r="I145" s="31">
        <v>93651</v>
      </c>
      <c r="J145" s="31">
        <v>92810</v>
      </c>
      <c r="K145" s="31">
        <v>66</v>
      </c>
      <c r="L145" s="31">
        <f>[1]!Posts_Table[[#This Row],[Likes]]+[1]!Posts_Table[[#This Row],[Shares]]+[1]!Posts_Table[[#This Row],[Comments]]</f>
        <v>6130</v>
      </c>
      <c r="M145" s="32" t="s">
        <v>35</v>
      </c>
      <c r="N145" s="33" t="s">
        <v>34</v>
      </c>
      <c r="O145" s="33"/>
      <c r="P145" s="33"/>
    </row>
    <row r="146" spans="1:16" ht="14.25" customHeight="1" x14ac:dyDescent="0.35">
      <c r="A146" s="28" t="s">
        <v>228</v>
      </c>
      <c r="B146" s="29" t="s">
        <v>30</v>
      </c>
      <c r="C146" s="30">
        <v>45516</v>
      </c>
      <c r="D146" s="29" t="s">
        <v>40</v>
      </c>
      <c r="E146" s="28" t="s">
        <v>75</v>
      </c>
      <c r="F146" s="31">
        <v>1878</v>
      </c>
      <c r="G146" s="31">
        <v>62</v>
      </c>
      <c r="H146" s="31">
        <v>179</v>
      </c>
      <c r="I146" s="31">
        <v>37560</v>
      </c>
      <c r="J146" s="31">
        <v>36874</v>
      </c>
      <c r="K146" s="31">
        <v>142</v>
      </c>
      <c r="L146" s="31">
        <f>[1]!Posts_Table[[#This Row],[Likes]]+[1]!Posts_Table[[#This Row],[Shares]]+[1]!Posts_Table[[#This Row],[Comments]]</f>
        <v>2119</v>
      </c>
      <c r="M146" s="32" t="s">
        <v>35</v>
      </c>
      <c r="N146" s="33" t="s">
        <v>27</v>
      </c>
      <c r="O146" s="33"/>
      <c r="P146" s="33"/>
    </row>
    <row r="147" spans="1:16" ht="14.25" customHeight="1" x14ac:dyDescent="0.35">
      <c r="A147" s="28" t="s">
        <v>229</v>
      </c>
      <c r="B147" s="29" t="s">
        <v>24</v>
      </c>
      <c r="C147" s="30">
        <v>45448</v>
      </c>
      <c r="D147" s="29" t="s">
        <v>16</v>
      </c>
      <c r="E147" s="28" t="s">
        <v>26</v>
      </c>
      <c r="F147" s="31">
        <v>3065</v>
      </c>
      <c r="G147" s="31">
        <v>772</v>
      </c>
      <c r="H147" s="31">
        <v>142</v>
      </c>
      <c r="I147" s="31">
        <v>18390</v>
      </c>
      <c r="J147" s="31">
        <v>17875</v>
      </c>
      <c r="K147" s="31">
        <v>200</v>
      </c>
      <c r="L147" s="31">
        <f>[1]!Posts_Table[[#This Row],[Likes]]+[1]!Posts_Table[[#This Row],[Shares]]+[1]!Posts_Table[[#This Row],[Comments]]</f>
        <v>3979</v>
      </c>
      <c r="M147" s="32"/>
      <c r="N147" s="33" t="s">
        <v>34</v>
      </c>
      <c r="O147" s="33" t="s">
        <v>431</v>
      </c>
      <c r="P147" s="33"/>
    </row>
    <row r="148" spans="1:16" ht="14.25" customHeight="1" x14ac:dyDescent="0.35">
      <c r="A148" s="28" t="s">
        <v>230</v>
      </c>
      <c r="B148" s="29" t="s">
        <v>30</v>
      </c>
      <c r="C148" s="30">
        <v>45586</v>
      </c>
      <c r="D148" s="29" t="s">
        <v>16</v>
      </c>
      <c r="E148" s="28" t="s">
        <v>70</v>
      </c>
      <c r="F148" s="31">
        <v>3256</v>
      </c>
      <c r="G148" s="31">
        <v>459</v>
      </c>
      <c r="H148" s="31">
        <v>266</v>
      </c>
      <c r="I148" s="31">
        <v>26048</v>
      </c>
      <c r="J148" s="31">
        <v>25529</v>
      </c>
      <c r="K148" s="31">
        <v>143</v>
      </c>
      <c r="L148" s="31">
        <f>[1]!Posts_Table[[#This Row],[Likes]]+[1]!Posts_Table[[#This Row],[Shares]]+[1]!Posts_Table[[#This Row],[Comments]]</f>
        <v>3981</v>
      </c>
      <c r="M148" s="32" t="s">
        <v>22</v>
      </c>
      <c r="N148" s="33" t="s">
        <v>27</v>
      </c>
      <c r="O148" s="33"/>
      <c r="P148" s="33"/>
    </row>
    <row r="149" spans="1:16" ht="14.25" customHeight="1" x14ac:dyDescent="0.35">
      <c r="A149" s="28" t="s">
        <v>231</v>
      </c>
      <c r="B149" s="29" t="s">
        <v>30</v>
      </c>
      <c r="C149" s="30">
        <v>45762</v>
      </c>
      <c r="D149" s="29" t="s">
        <v>62</v>
      </c>
      <c r="E149" s="28" t="s">
        <v>72</v>
      </c>
      <c r="F149" s="31">
        <v>4133</v>
      </c>
      <c r="G149" s="31">
        <v>466</v>
      </c>
      <c r="H149" s="31">
        <v>327</v>
      </c>
      <c r="I149" s="31">
        <v>24798</v>
      </c>
      <c r="J149" s="31">
        <v>24620</v>
      </c>
      <c r="K149" s="31">
        <v>176</v>
      </c>
      <c r="L149" s="31">
        <f>[1]!Posts_Table[[#This Row],[Likes]]+[1]!Posts_Table[[#This Row],[Shares]]+[1]!Posts_Table[[#This Row],[Comments]]</f>
        <v>4926</v>
      </c>
      <c r="M149" s="32" t="s">
        <v>35</v>
      </c>
      <c r="N149" s="33" t="s">
        <v>34</v>
      </c>
      <c r="O149" s="33"/>
      <c r="P149" s="33"/>
    </row>
    <row r="150" spans="1:16" ht="14.25" customHeight="1" x14ac:dyDescent="0.35">
      <c r="A150" s="28" t="s">
        <v>232</v>
      </c>
      <c r="B150" s="29" t="s">
        <v>14</v>
      </c>
      <c r="C150" s="30">
        <v>45459</v>
      </c>
      <c r="D150" s="29" t="s">
        <v>62</v>
      </c>
      <c r="E150" s="28" t="s">
        <v>109</v>
      </c>
      <c r="F150" s="31">
        <v>1702</v>
      </c>
      <c r="G150" s="31">
        <v>750</v>
      </c>
      <c r="H150" s="31">
        <v>179</v>
      </c>
      <c r="I150" s="31">
        <v>34040</v>
      </c>
      <c r="J150" s="31">
        <v>33174</v>
      </c>
      <c r="K150" s="31">
        <v>76</v>
      </c>
      <c r="L150" s="31">
        <f>[1]!Posts_Table[[#This Row],[Likes]]+[1]!Posts_Table[[#This Row],[Shares]]+[1]!Posts_Table[[#This Row],[Comments]]</f>
        <v>2631</v>
      </c>
      <c r="M150" s="32" t="s">
        <v>18</v>
      </c>
      <c r="N150" s="33" t="s">
        <v>34</v>
      </c>
      <c r="O150" s="33"/>
      <c r="P150" s="33"/>
    </row>
    <row r="151" spans="1:16" ht="14.25" customHeight="1" x14ac:dyDescent="0.35">
      <c r="A151" s="28" t="s">
        <v>233</v>
      </c>
      <c r="B151" s="29" t="s">
        <v>24</v>
      </c>
      <c r="C151" s="30">
        <v>45526</v>
      </c>
      <c r="D151" s="29" t="s">
        <v>40</v>
      </c>
      <c r="E151" s="28" t="s">
        <v>58</v>
      </c>
      <c r="F151" s="31">
        <v>4295</v>
      </c>
      <c r="G151" s="31">
        <v>853</v>
      </c>
      <c r="H151" s="31">
        <v>325</v>
      </c>
      <c r="I151" s="31">
        <v>85900</v>
      </c>
      <c r="J151" s="31">
        <v>85788</v>
      </c>
      <c r="K151" s="31">
        <v>290</v>
      </c>
      <c r="L151" s="31">
        <f>[1]!Posts_Table[[#This Row],[Likes]]+[1]!Posts_Table[[#This Row],[Shares]]+[1]!Posts_Table[[#This Row],[Comments]]</f>
        <v>5473</v>
      </c>
      <c r="M151" s="32" t="s">
        <v>35</v>
      </c>
      <c r="N151" s="33" t="s">
        <v>27</v>
      </c>
      <c r="O151" s="33"/>
      <c r="P151" s="33"/>
    </row>
    <row r="152" spans="1:16" ht="14.25" customHeight="1" x14ac:dyDescent="0.35">
      <c r="A152" s="28" t="s">
        <v>234</v>
      </c>
      <c r="B152" s="29" t="s">
        <v>30</v>
      </c>
      <c r="C152" s="30">
        <v>45499</v>
      </c>
      <c r="D152" s="29" t="s">
        <v>46</v>
      </c>
      <c r="E152" s="28" t="s">
        <v>155</v>
      </c>
      <c r="F152" s="31">
        <v>3559</v>
      </c>
      <c r="G152" s="31">
        <v>59</v>
      </c>
      <c r="H152" s="31">
        <v>289</v>
      </c>
      <c r="I152" s="31">
        <v>35590</v>
      </c>
      <c r="J152" s="31">
        <v>35105</v>
      </c>
      <c r="K152" s="31">
        <v>122</v>
      </c>
      <c r="L152" s="31">
        <f>[1]!Posts_Table[[#This Row],[Likes]]+[1]!Posts_Table[[#This Row],[Shares]]+[1]!Posts_Table[[#This Row],[Comments]]</f>
        <v>3907</v>
      </c>
      <c r="M152" s="32" t="s">
        <v>18</v>
      </c>
      <c r="N152" s="33" t="s">
        <v>34</v>
      </c>
      <c r="O152" s="33"/>
      <c r="P152" s="33"/>
    </row>
    <row r="153" spans="1:16" ht="14.25" customHeight="1" x14ac:dyDescent="0.35">
      <c r="A153" s="28" t="s">
        <v>235</v>
      </c>
      <c r="B153" s="29" t="s">
        <v>38</v>
      </c>
      <c r="C153" s="30">
        <v>45769</v>
      </c>
      <c r="D153" s="29" t="s">
        <v>46</v>
      </c>
      <c r="E153" s="28" t="s">
        <v>51</v>
      </c>
      <c r="F153" s="31">
        <v>4804</v>
      </c>
      <c r="G153" s="31">
        <v>550</v>
      </c>
      <c r="H153" s="31">
        <v>270</v>
      </c>
      <c r="I153" s="31">
        <v>28824</v>
      </c>
      <c r="J153" s="31">
        <v>28370</v>
      </c>
      <c r="K153" s="31">
        <v>47</v>
      </c>
      <c r="L153" s="31">
        <f>[1]!Posts_Table[[#This Row],[Likes]]+[1]!Posts_Table[[#This Row],[Shares]]+[1]!Posts_Table[[#This Row],[Comments]]</f>
        <v>5624</v>
      </c>
      <c r="M153" s="32" t="s">
        <v>35</v>
      </c>
      <c r="N153" s="33" t="s">
        <v>34</v>
      </c>
      <c r="O153" s="33"/>
      <c r="P153" s="33"/>
    </row>
    <row r="154" spans="1:16" ht="14.25" customHeight="1" x14ac:dyDescent="0.35">
      <c r="A154" s="28" t="s">
        <v>236</v>
      </c>
      <c r="B154" s="29" t="s">
        <v>14</v>
      </c>
      <c r="C154" s="30">
        <v>45658</v>
      </c>
      <c r="D154" s="29" t="s">
        <v>62</v>
      </c>
      <c r="E154" s="28" t="s">
        <v>109</v>
      </c>
      <c r="F154" s="31">
        <v>754</v>
      </c>
      <c r="G154" s="31">
        <v>197</v>
      </c>
      <c r="H154" s="31">
        <v>257</v>
      </c>
      <c r="I154" s="31">
        <v>6786</v>
      </c>
      <c r="J154" s="31">
        <v>6221</v>
      </c>
      <c r="K154" s="31">
        <v>212</v>
      </c>
      <c r="L154" s="31">
        <f>[1]!Posts_Table[[#This Row],[Likes]]+[1]!Posts_Table[[#This Row],[Shares]]+[1]!Posts_Table[[#This Row],[Comments]]</f>
        <v>1208</v>
      </c>
      <c r="M154" s="32" t="s">
        <v>28</v>
      </c>
      <c r="N154" s="33" t="s">
        <v>27</v>
      </c>
      <c r="O154" s="33"/>
      <c r="P154" s="33"/>
    </row>
    <row r="155" spans="1:16" ht="14.25" customHeight="1" x14ac:dyDescent="0.35">
      <c r="A155" s="28" t="s">
        <v>237</v>
      </c>
      <c r="B155" s="29" t="s">
        <v>30</v>
      </c>
      <c r="C155" s="30">
        <v>45574</v>
      </c>
      <c r="D155" s="29" t="s">
        <v>40</v>
      </c>
      <c r="E155" s="28" t="s">
        <v>75</v>
      </c>
      <c r="F155" s="31">
        <v>985</v>
      </c>
      <c r="G155" s="31">
        <v>932</v>
      </c>
      <c r="H155" s="31">
        <v>287</v>
      </c>
      <c r="I155" s="31">
        <v>6895</v>
      </c>
      <c r="J155" s="31">
        <v>6757</v>
      </c>
      <c r="K155" s="31">
        <v>64</v>
      </c>
      <c r="L155" s="31">
        <f>[1]!Posts_Table[[#This Row],[Likes]]+[1]!Posts_Table[[#This Row],[Shares]]+[1]!Posts_Table[[#This Row],[Comments]]</f>
        <v>2204</v>
      </c>
      <c r="M155" s="32" t="s">
        <v>35</v>
      </c>
      <c r="N155" s="33" t="s">
        <v>53</v>
      </c>
      <c r="O155" s="33"/>
      <c r="P155" s="33"/>
    </row>
    <row r="156" spans="1:16" ht="14.25" customHeight="1" x14ac:dyDescent="0.35">
      <c r="A156" s="28" t="s">
        <v>238</v>
      </c>
      <c r="B156" s="29" t="s">
        <v>24</v>
      </c>
      <c r="C156" s="30">
        <v>45647</v>
      </c>
      <c r="D156" s="29" t="s">
        <v>46</v>
      </c>
      <c r="E156" s="28" t="s">
        <v>47</v>
      </c>
      <c r="F156" s="31">
        <v>2283</v>
      </c>
      <c r="G156" s="31">
        <v>210</v>
      </c>
      <c r="H156" s="31">
        <v>130</v>
      </c>
      <c r="I156" s="31">
        <v>22830</v>
      </c>
      <c r="J156" s="31">
        <v>22617</v>
      </c>
      <c r="K156" s="31">
        <v>143</v>
      </c>
      <c r="L156" s="31">
        <f>[1]!Posts_Table[[#This Row],[Likes]]+[1]!Posts_Table[[#This Row],[Shares]]+[1]!Posts_Table[[#This Row],[Comments]]</f>
        <v>2623</v>
      </c>
      <c r="M156" s="32" t="s">
        <v>22</v>
      </c>
      <c r="N156" s="33" t="s">
        <v>53</v>
      </c>
      <c r="O156" s="33"/>
      <c r="P156" s="33"/>
    </row>
    <row r="157" spans="1:16" ht="14.25" customHeight="1" x14ac:dyDescent="0.35">
      <c r="A157" s="28" t="s">
        <v>239</v>
      </c>
      <c r="B157" s="29" t="s">
        <v>38</v>
      </c>
      <c r="C157" s="30">
        <v>45587</v>
      </c>
      <c r="D157" s="29" t="s">
        <v>40</v>
      </c>
      <c r="E157" s="28" t="s">
        <v>41</v>
      </c>
      <c r="F157" s="31">
        <v>3352</v>
      </c>
      <c r="G157" s="31">
        <v>941</v>
      </c>
      <c r="H157" s="31">
        <v>482</v>
      </c>
      <c r="I157" s="31">
        <v>43576</v>
      </c>
      <c r="J157" s="31">
        <v>43338</v>
      </c>
      <c r="K157" s="31">
        <v>240</v>
      </c>
      <c r="L157" s="31">
        <f>[1]!Posts_Table[[#This Row],[Likes]]+[1]!Posts_Table[[#This Row],[Shares]]+[1]!Posts_Table[[#This Row],[Comments]]</f>
        <v>4775</v>
      </c>
      <c r="M157" s="32" t="s">
        <v>22</v>
      </c>
      <c r="N157" s="33" t="s">
        <v>53</v>
      </c>
      <c r="O157" s="33"/>
      <c r="P157" s="33"/>
    </row>
    <row r="158" spans="1:16" ht="14.25" customHeight="1" x14ac:dyDescent="0.35">
      <c r="A158" s="28" t="s">
        <v>240</v>
      </c>
      <c r="B158" s="29" t="s">
        <v>24</v>
      </c>
      <c r="C158" s="30">
        <v>45496</v>
      </c>
      <c r="D158" s="29" t="s">
        <v>32</v>
      </c>
      <c r="E158" s="28" t="s">
        <v>117</v>
      </c>
      <c r="F158" s="31">
        <v>4775</v>
      </c>
      <c r="G158" s="31">
        <v>173</v>
      </c>
      <c r="H158" s="31">
        <v>206</v>
      </c>
      <c r="I158" s="31">
        <v>47750</v>
      </c>
      <c r="J158" s="31">
        <v>47544</v>
      </c>
      <c r="K158" s="31">
        <v>187</v>
      </c>
      <c r="L158" s="31">
        <f>[1]!Posts_Table[[#This Row],[Likes]]+[1]!Posts_Table[[#This Row],[Shares]]+[1]!Posts_Table[[#This Row],[Comments]]</f>
        <v>5154</v>
      </c>
      <c r="M158" s="32" t="s">
        <v>22</v>
      </c>
      <c r="N158" s="33" t="s">
        <v>53</v>
      </c>
      <c r="O158" s="33"/>
      <c r="P158" s="33"/>
    </row>
    <row r="159" spans="1:16" ht="14.25" customHeight="1" x14ac:dyDescent="0.35">
      <c r="A159" s="28" t="s">
        <v>241</v>
      </c>
      <c r="B159" s="29" t="s">
        <v>30</v>
      </c>
      <c r="C159" s="30">
        <v>45515</v>
      </c>
      <c r="D159" s="29" t="s">
        <v>32</v>
      </c>
      <c r="E159" s="28" t="s">
        <v>33</v>
      </c>
      <c r="F159" s="31">
        <v>1762</v>
      </c>
      <c r="G159" s="31">
        <v>405</v>
      </c>
      <c r="H159" s="31">
        <v>423</v>
      </c>
      <c r="I159" s="31">
        <v>22906</v>
      </c>
      <c r="J159" s="31">
        <v>21925</v>
      </c>
      <c r="K159" s="31">
        <v>25</v>
      </c>
      <c r="L159" s="31">
        <f>[1]!Posts_Table[[#This Row],[Likes]]+[1]!Posts_Table[[#This Row],[Shares]]+[1]!Posts_Table[[#This Row],[Comments]]</f>
        <v>2590</v>
      </c>
      <c r="M159" s="32" t="s">
        <v>18</v>
      </c>
      <c r="N159" s="33" t="s">
        <v>27</v>
      </c>
      <c r="O159" s="33"/>
      <c r="P159" s="33"/>
    </row>
    <row r="160" spans="1:16" ht="14.25" customHeight="1" x14ac:dyDescent="0.35">
      <c r="A160" s="28" t="s">
        <v>242</v>
      </c>
      <c r="B160" s="29" t="s">
        <v>38</v>
      </c>
      <c r="C160" s="30">
        <v>45621</v>
      </c>
      <c r="D160" s="29" t="s">
        <v>32</v>
      </c>
      <c r="E160" s="28" t="s">
        <v>60</v>
      </c>
      <c r="F160" s="31">
        <v>2120</v>
      </c>
      <c r="G160" s="31">
        <v>158</v>
      </c>
      <c r="H160" s="31">
        <v>488</v>
      </c>
      <c r="I160" s="31">
        <v>12720</v>
      </c>
      <c r="J160" s="31">
        <v>12085</v>
      </c>
      <c r="K160" s="31">
        <v>17</v>
      </c>
      <c r="L160" s="31">
        <f>[1]!Posts_Table[[#This Row],[Likes]]+[1]!Posts_Table[[#This Row],[Shares]]+[1]!Posts_Table[[#This Row],[Comments]]</f>
        <v>2766</v>
      </c>
      <c r="M160" s="32" t="s">
        <v>22</v>
      </c>
      <c r="N160" s="33" t="s">
        <v>53</v>
      </c>
      <c r="O160" s="33"/>
      <c r="P160" s="33"/>
    </row>
    <row r="161" spans="1:16" ht="14.25" customHeight="1" x14ac:dyDescent="0.35">
      <c r="A161" s="28" t="s">
        <v>243</v>
      </c>
      <c r="B161" s="29" t="s">
        <v>14</v>
      </c>
      <c r="C161" s="30">
        <v>45528</v>
      </c>
      <c r="D161" s="29" t="s">
        <v>62</v>
      </c>
      <c r="E161" s="28" t="s">
        <v>109</v>
      </c>
      <c r="F161" s="31">
        <v>1082</v>
      </c>
      <c r="G161" s="31">
        <v>209</v>
      </c>
      <c r="H161" s="31">
        <v>484</v>
      </c>
      <c r="I161" s="31">
        <v>19476</v>
      </c>
      <c r="J161" s="31">
        <v>18654</v>
      </c>
      <c r="K161" s="31">
        <v>20</v>
      </c>
      <c r="L161" s="31">
        <f>[1]!Posts_Table[[#This Row],[Likes]]+[1]!Posts_Table[[#This Row],[Shares]]+[1]!Posts_Table[[#This Row],[Comments]]</f>
        <v>1775</v>
      </c>
      <c r="M161" s="32"/>
      <c r="N161" s="33" t="s">
        <v>27</v>
      </c>
      <c r="O161" s="33"/>
      <c r="P161" s="33"/>
    </row>
    <row r="162" spans="1:16" ht="14.25" customHeight="1" x14ac:dyDescent="0.35">
      <c r="A162" s="28" t="s">
        <v>244</v>
      </c>
      <c r="B162" s="29" t="s">
        <v>14</v>
      </c>
      <c r="C162" s="30">
        <v>45707</v>
      </c>
      <c r="D162" s="29" t="s">
        <v>20</v>
      </c>
      <c r="E162" s="28" t="s">
        <v>21</v>
      </c>
      <c r="F162" s="31">
        <v>4671</v>
      </c>
      <c r="G162" s="31">
        <v>876</v>
      </c>
      <c r="H162" s="31">
        <v>366</v>
      </c>
      <c r="I162" s="31">
        <v>51381</v>
      </c>
      <c r="J162" s="31">
        <v>50565</v>
      </c>
      <c r="K162" s="31">
        <v>245</v>
      </c>
      <c r="L162" s="31">
        <f>[1]!Posts_Table[[#This Row],[Likes]]+[1]!Posts_Table[[#This Row],[Shares]]+[1]!Posts_Table[[#This Row],[Comments]]</f>
        <v>5913</v>
      </c>
      <c r="M162" s="32" t="s">
        <v>35</v>
      </c>
      <c r="N162" s="33" t="s">
        <v>27</v>
      </c>
      <c r="O162" s="33"/>
      <c r="P162" s="33"/>
    </row>
    <row r="163" spans="1:16" ht="14.25" customHeight="1" x14ac:dyDescent="0.35">
      <c r="A163" s="28" t="s">
        <v>245</v>
      </c>
      <c r="B163" s="29" t="s">
        <v>38</v>
      </c>
      <c r="C163" s="30">
        <v>45748</v>
      </c>
      <c r="D163" s="29" t="s">
        <v>32</v>
      </c>
      <c r="E163" s="28" t="s">
        <v>60</v>
      </c>
      <c r="F163" s="31">
        <v>3430</v>
      </c>
      <c r="G163" s="31">
        <v>566</v>
      </c>
      <c r="H163" s="31">
        <v>164</v>
      </c>
      <c r="I163" s="31">
        <v>48020</v>
      </c>
      <c r="J163" s="31">
        <v>47305</v>
      </c>
      <c r="K163" s="31">
        <v>120</v>
      </c>
      <c r="L163" s="31">
        <f>[1]!Posts_Table[[#This Row],[Likes]]+[1]!Posts_Table[[#This Row],[Shares]]+[1]!Posts_Table[[#This Row],[Comments]]</f>
        <v>4160</v>
      </c>
      <c r="M163" s="32"/>
      <c r="N163" s="33" t="s">
        <v>53</v>
      </c>
      <c r="O163" s="33"/>
      <c r="P163" s="33"/>
    </row>
    <row r="164" spans="1:16" ht="14.25" customHeight="1" x14ac:dyDescent="0.35">
      <c r="A164" s="28" t="s">
        <v>246</v>
      </c>
      <c r="B164" s="29" t="s">
        <v>30</v>
      </c>
      <c r="C164" s="30">
        <v>45755</v>
      </c>
      <c r="D164" s="29" t="s">
        <v>46</v>
      </c>
      <c r="E164" s="28" t="s">
        <v>155</v>
      </c>
      <c r="F164" s="31">
        <v>4501</v>
      </c>
      <c r="G164" s="31">
        <v>375</v>
      </c>
      <c r="H164" s="31">
        <v>323</v>
      </c>
      <c r="I164" s="31">
        <v>22505</v>
      </c>
      <c r="J164" s="31">
        <v>21836</v>
      </c>
      <c r="K164" s="31">
        <v>132</v>
      </c>
      <c r="L164" s="31">
        <f>[1]!Posts_Table[[#This Row],[Likes]]+[1]!Posts_Table[[#This Row],[Shares]]+[1]!Posts_Table[[#This Row],[Comments]]</f>
        <v>5199</v>
      </c>
      <c r="M164" s="32" t="s">
        <v>22</v>
      </c>
      <c r="N164" s="33" t="s">
        <v>27</v>
      </c>
      <c r="O164" s="33"/>
      <c r="P164" s="33"/>
    </row>
    <row r="165" spans="1:16" ht="14.25" customHeight="1" x14ac:dyDescent="0.35">
      <c r="A165" s="28" t="s">
        <v>247</v>
      </c>
      <c r="B165" s="29" t="s">
        <v>24</v>
      </c>
      <c r="C165" s="30">
        <v>45715</v>
      </c>
      <c r="D165" s="29" t="s">
        <v>20</v>
      </c>
      <c r="E165" s="28" t="s">
        <v>83</v>
      </c>
      <c r="F165" s="31">
        <v>4934</v>
      </c>
      <c r="G165" s="31">
        <v>971</v>
      </c>
      <c r="H165" s="31">
        <v>156</v>
      </c>
      <c r="I165" s="31">
        <v>39472</v>
      </c>
      <c r="J165" s="31">
        <v>39025</v>
      </c>
      <c r="K165" s="31">
        <v>169</v>
      </c>
      <c r="L165" s="31">
        <f>[1]!Posts_Table[[#This Row],[Likes]]+[1]!Posts_Table[[#This Row],[Shares]]+[1]!Posts_Table[[#This Row],[Comments]]</f>
        <v>6061</v>
      </c>
      <c r="M165" s="32" t="s">
        <v>35</v>
      </c>
      <c r="N165" s="33" t="s">
        <v>27</v>
      </c>
      <c r="O165" s="33" t="s">
        <v>431</v>
      </c>
      <c r="P165" s="33"/>
    </row>
    <row r="166" spans="1:16" ht="14.25" customHeight="1" x14ac:dyDescent="0.35">
      <c r="A166" s="28" t="s">
        <v>248</v>
      </c>
      <c r="B166" s="29" t="s">
        <v>14</v>
      </c>
      <c r="C166" s="30">
        <v>45637</v>
      </c>
      <c r="D166" s="29" t="s">
        <v>20</v>
      </c>
      <c r="E166" s="28" t="s">
        <v>21</v>
      </c>
      <c r="F166" s="31">
        <v>3239</v>
      </c>
      <c r="G166" s="31">
        <v>43</v>
      </c>
      <c r="H166" s="31">
        <v>211</v>
      </c>
      <c r="I166" s="31">
        <v>22673</v>
      </c>
      <c r="J166" s="31">
        <v>22171</v>
      </c>
      <c r="K166" s="31">
        <v>230</v>
      </c>
      <c r="L166" s="31">
        <f>[1]!Posts_Table[[#This Row],[Likes]]+[1]!Posts_Table[[#This Row],[Shares]]+[1]!Posts_Table[[#This Row],[Comments]]</f>
        <v>3493</v>
      </c>
      <c r="M166" s="32" t="s">
        <v>22</v>
      </c>
      <c r="N166" s="33" t="s">
        <v>27</v>
      </c>
      <c r="O166" s="33"/>
      <c r="P166" s="33"/>
    </row>
    <row r="167" spans="1:16" ht="14.25" customHeight="1" x14ac:dyDescent="0.35">
      <c r="A167" s="28" t="s">
        <v>249</v>
      </c>
      <c r="B167" s="29" t="s">
        <v>14</v>
      </c>
      <c r="C167" s="30">
        <v>45704</v>
      </c>
      <c r="D167" s="29" t="s">
        <v>16</v>
      </c>
      <c r="E167" s="28" t="s">
        <v>17</v>
      </c>
      <c r="F167" s="31">
        <v>1076</v>
      </c>
      <c r="G167" s="31">
        <v>313</v>
      </c>
      <c r="H167" s="31">
        <v>306</v>
      </c>
      <c r="I167" s="31">
        <v>11836</v>
      </c>
      <c r="J167" s="31">
        <v>11596</v>
      </c>
      <c r="K167" s="31">
        <v>104</v>
      </c>
      <c r="L167" s="31">
        <f>[1]!Posts_Table[[#This Row],[Likes]]+[1]!Posts_Table[[#This Row],[Shares]]+[1]!Posts_Table[[#This Row],[Comments]]</f>
        <v>1695</v>
      </c>
      <c r="M167" s="32" t="s">
        <v>18</v>
      </c>
      <c r="N167" s="33" t="s">
        <v>53</v>
      </c>
      <c r="O167" s="33"/>
      <c r="P167" s="33"/>
    </row>
    <row r="168" spans="1:16" ht="14.25" customHeight="1" x14ac:dyDescent="0.35">
      <c r="A168" s="28" t="s">
        <v>250</v>
      </c>
      <c r="B168" s="29" t="s">
        <v>30</v>
      </c>
      <c r="C168" s="30">
        <v>45624</v>
      </c>
      <c r="D168" s="29" t="s">
        <v>20</v>
      </c>
      <c r="E168" s="28" t="s">
        <v>89</v>
      </c>
      <c r="F168" s="31">
        <v>4771</v>
      </c>
      <c r="G168" s="31">
        <v>818</v>
      </c>
      <c r="H168" s="31">
        <v>56</v>
      </c>
      <c r="I168" s="31">
        <v>57252</v>
      </c>
      <c r="J168" s="31">
        <v>56378</v>
      </c>
      <c r="K168" s="31">
        <v>150</v>
      </c>
      <c r="L168" s="31">
        <f>[1]!Posts_Table[[#This Row],[Likes]]+[1]!Posts_Table[[#This Row],[Shares]]+[1]!Posts_Table[[#This Row],[Comments]]</f>
        <v>5645</v>
      </c>
      <c r="M168" s="32"/>
      <c r="N168" s="33" t="s">
        <v>53</v>
      </c>
      <c r="O168" s="33"/>
      <c r="P168" s="33"/>
    </row>
    <row r="169" spans="1:16" ht="14.25" customHeight="1" x14ac:dyDescent="0.35">
      <c r="A169" s="28" t="s">
        <v>251</v>
      </c>
      <c r="B169" s="29" t="s">
        <v>38</v>
      </c>
      <c r="C169" s="30">
        <v>45608</v>
      </c>
      <c r="D169" s="29" t="s">
        <v>20</v>
      </c>
      <c r="E169" s="28" t="s">
        <v>49</v>
      </c>
      <c r="F169" s="31">
        <v>2418</v>
      </c>
      <c r="G169" s="31">
        <v>754</v>
      </c>
      <c r="H169" s="31">
        <v>54</v>
      </c>
      <c r="I169" s="31">
        <v>43524</v>
      </c>
      <c r="J169" s="31">
        <v>42743</v>
      </c>
      <c r="K169" s="31">
        <v>182</v>
      </c>
      <c r="L169" s="31">
        <f>[1]!Posts_Table[[#This Row],[Likes]]+[1]!Posts_Table[[#This Row],[Shares]]+[1]!Posts_Table[[#This Row],[Comments]]</f>
        <v>3226</v>
      </c>
      <c r="M169" s="32" t="s">
        <v>18</v>
      </c>
      <c r="N169" s="33" t="s">
        <v>34</v>
      </c>
      <c r="O169" s="33"/>
      <c r="P169" s="33"/>
    </row>
    <row r="170" spans="1:16" ht="14.25" customHeight="1" x14ac:dyDescent="0.35">
      <c r="A170" s="28" t="s">
        <v>252</v>
      </c>
      <c r="B170" s="29" t="s">
        <v>24</v>
      </c>
      <c r="C170" s="30">
        <v>45629</v>
      </c>
      <c r="D170" s="29" t="s">
        <v>62</v>
      </c>
      <c r="E170" s="28" t="s">
        <v>157</v>
      </c>
      <c r="F170" s="31">
        <v>3809</v>
      </c>
      <c r="G170" s="31">
        <v>273</v>
      </c>
      <c r="H170" s="31">
        <v>200</v>
      </c>
      <c r="I170" s="31">
        <v>34281</v>
      </c>
      <c r="J170" s="31">
        <v>33534</v>
      </c>
      <c r="K170" s="31">
        <v>83</v>
      </c>
      <c r="L170" s="31">
        <f>[1]!Posts_Table[[#This Row],[Likes]]+[1]!Posts_Table[[#This Row],[Shares]]+[1]!Posts_Table[[#This Row],[Comments]]</f>
        <v>4282</v>
      </c>
      <c r="M170" s="32" t="s">
        <v>18</v>
      </c>
      <c r="N170" s="33" t="s">
        <v>34</v>
      </c>
      <c r="O170" s="33"/>
      <c r="P170" s="33"/>
    </row>
    <row r="171" spans="1:16" ht="14.25" customHeight="1" x14ac:dyDescent="0.35">
      <c r="A171" s="28" t="s">
        <v>253</v>
      </c>
      <c r="B171" s="29" t="s">
        <v>14</v>
      </c>
      <c r="C171" s="30">
        <v>45775</v>
      </c>
      <c r="D171" s="29" t="s">
        <v>20</v>
      </c>
      <c r="E171" s="28" t="s">
        <v>21</v>
      </c>
      <c r="F171" s="31">
        <v>3577</v>
      </c>
      <c r="G171" s="31">
        <v>596</v>
      </c>
      <c r="H171" s="31">
        <v>493</v>
      </c>
      <c r="I171" s="31">
        <v>67963</v>
      </c>
      <c r="J171" s="31">
        <v>67839</v>
      </c>
      <c r="K171" s="31">
        <v>53</v>
      </c>
      <c r="L171" s="31">
        <f>[1]!Posts_Table[[#This Row],[Likes]]+[1]!Posts_Table[[#This Row],[Shares]]+[1]!Posts_Table[[#This Row],[Comments]]</f>
        <v>4666</v>
      </c>
      <c r="M171" s="32" t="s">
        <v>28</v>
      </c>
      <c r="N171" s="33" t="s">
        <v>27</v>
      </c>
      <c r="O171" s="33"/>
      <c r="P171" s="33"/>
    </row>
    <row r="172" spans="1:16" ht="14.25" customHeight="1" x14ac:dyDescent="0.35">
      <c r="A172" s="28" t="s">
        <v>255</v>
      </c>
      <c r="B172" s="29" t="s">
        <v>24</v>
      </c>
      <c r="C172" s="30">
        <v>45657</v>
      </c>
      <c r="D172" s="29" t="s">
        <v>62</v>
      </c>
      <c r="E172" s="28" t="s">
        <v>157</v>
      </c>
      <c r="F172" s="31">
        <v>1018</v>
      </c>
      <c r="G172" s="31">
        <v>447</v>
      </c>
      <c r="H172" s="31">
        <v>332</v>
      </c>
      <c r="I172" s="31">
        <v>18324</v>
      </c>
      <c r="J172" s="31">
        <v>18164</v>
      </c>
      <c r="K172" s="31">
        <v>38</v>
      </c>
      <c r="L172" s="31">
        <f>[1]!Posts_Table[[#This Row],[Likes]]+[1]!Posts_Table[[#This Row],[Shares]]+[1]!Posts_Table[[#This Row],[Comments]]</f>
        <v>1797</v>
      </c>
      <c r="M172" s="32" t="s">
        <v>22</v>
      </c>
      <c r="N172" s="33" t="s">
        <v>53</v>
      </c>
      <c r="O172" s="33"/>
      <c r="P172" s="33"/>
    </row>
    <row r="173" spans="1:16" ht="14.25" customHeight="1" x14ac:dyDescent="0.35">
      <c r="A173" s="28" t="s">
        <v>256</v>
      </c>
      <c r="B173" s="29" t="s">
        <v>38</v>
      </c>
      <c r="C173" s="30">
        <v>45518</v>
      </c>
      <c r="D173" s="29" t="s">
        <v>40</v>
      </c>
      <c r="E173" s="28" t="s">
        <v>41</v>
      </c>
      <c r="F173" s="31">
        <v>3073</v>
      </c>
      <c r="G173" s="31">
        <v>553</v>
      </c>
      <c r="H173" s="31">
        <v>174</v>
      </c>
      <c r="I173" s="31">
        <v>52241</v>
      </c>
      <c r="J173" s="31">
        <v>51605</v>
      </c>
      <c r="K173" s="31">
        <v>246</v>
      </c>
      <c r="L173" s="31">
        <f>[1]!Posts_Table[[#This Row],[Likes]]+[1]!Posts_Table[[#This Row],[Shares]]+[1]!Posts_Table[[#This Row],[Comments]]</f>
        <v>3800</v>
      </c>
      <c r="M173" s="32" t="s">
        <v>28</v>
      </c>
      <c r="N173" s="33" t="s">
        <v>34</v>
      </c>
      <c r="O173" s="33"/>
      <c r="P173" s="33"/>
    </row>
    <row r="174" spans="1:16" ht="14.25" customHeight="1" x14ac:dyDescent="0.35">
      <c r="A174" s="28" t="s">
        <v>257</v>
      </c>
      <c r="B174" s="29" t="s">
        <v>14</v>
      </c>
      <c r="C174" s="30">
        <v>45631</v>
      </c>
      <c r="D174" s="29" t="s">
        <v>62</v>
      </c>
      <c r="E174" s="28" t="s">
        <v>109</v>
      </c>
      <c r="F174" s="31">
        <v>1330</v>
      </c>
      <c r="G174" s="31">
        <v>925</v>
      </c>
      <c r="H174" s="31">
        <v>35</v>
      </c>
      <c r="I174" s="31">
        <v>15960</v>
      </c>
      <c r="J174" s="31">
        <v>15379</v>
      </c>
      <c r="K174" s="31">
        <v>229</v>
      </c>
      <c r="L174" s="31">
        <f>[1]!Posts_Table[[#This Row],[Likes]]+[1]!Posts_Table[[#This Row],[Shares]]+[1]!Posts_Table[[#This Row],[Comments]]</f>
        <v>2290</v>
      </c>
      <c r="M174" s="32" t="s">
        <v>28</v>
      </c>
      <c r="N174" s="33" t="s">
        <v>53</v>
      </c>
      <c r="O174" s="33"/>
      <c r="P174" s="33"/>
    </row>
    <row r="175" spans="1:16" ht="14.25" customHeight="1" x14ac:dyDescent="0.35">
      <c r="A175" s="28" t="s">
        <v>258</v>
      </c>
      <c r="B175" s="29" t="s">
        <v>38</v>
      </c>
      <c r="C175" s="30">
        <v>45465</v>
      </c>
      <c r="D175" s="29" t="s">
        <v>20</v>
      </c>
      <c r="E175" s="28" t="s">
        <v>49</v>
      </c>
      <c r="F175" s="31">
        <v>3828</v>
      </c>
      <c r="G175" s="31">
        <v>148</v>
      </c>
      <c r="H175" s="31">
        <v>253</v>
      </c>
      <c r="I175" s="31">
        <v>30624</v>
      </c>
      <c r="J175" s="31">
        <v>30229</v>
      </c>
      <c r="K175" s="31">
        <v>235</v>
      </c>
      <c r="L175" s="31">
        <f>[1]!Posts_Table[[#This Row],[Likes]]+[1]!Posts_Table[[#This Row],[Shares]]+[1]!Posts_Table[[#This Row],[Comments]]</f>
        <v>4229</v>
      </c>
      <c r="M175" s="32"/>
      <c r="N175" s="33" t="s">
        <v>34</v>
      </c>
      <c r="O175" s="33"/>
      <c r="P175" s="33"/>
    </row>
    <row r="176" spans="1:16" ht="14.25" customHeight="1" x14ac:dyDescent="0.35">
      <c r="A176" s="28" t="s">
        <v>259</v>
      </c>
      <c r="B176" s="29" t="s">
        <v>30</v>
      </c>
      <c r="C176" s="30">
        <v>45674</v>
      </c>
      <c r="D176" s="29" t="s">
        <v>16</v>
      </c>
      <c r="E176" s="28" t="s">
        <v>70</v>
      </c>
      <c r="F176" s="31">
        <v>142</v>
      </c>
      <c r="G176" s="31">
        <v>784</v>
      </c>
      <c r="H176" s="31">
        <v>183</v>
      </c>
      <c r="I176" s="31">
        <v>1704</v>
      </c>
      <c r="J176" s="31">
        <v>995</v>
      </c>
      <c r="K176" s="31">
        <v>154</v>
      </c>
      <c r="L176" s="31">
        <f>[1]!Posts_Table[[#This Row],[Likes]]+[1]!Posts_Table[[#This Row],[Shares]]+[1]!Posts_Table[[#This Row],[Comments]]</f>
        <v>1109</v>
      </c>
      <c r="M176" s="32" t="s">
        <v>35</v>
      </c>
      <c r="N176" s="33" t="s">
        <v>53</v>
      </c>
      <c r="O176" s="33"/>
      <c r="P176" s="33"/>
    </row>
    <row r="177" spans="1:16" ht="14.25" customHeight="1" x14ac:dyDescent="0.35">
      <c r="A177" s="28" t="s">
        <v>260</v>
      </c>
      <c r="B177" s="29" t="s">
        <v>38</v>
      </c>
      <c r="C177" s="30">
        <v>45463</v>
      </c>
      <c r="D177" s="29" t="s">
        <v>62</v>
      </c>
      <c r="E177" s="28" t="s">
        <v>63</v>
      </c>
      <c r="F177" s="31">
        <v>3798</v>
      </c>
      <c r="G177" s="31">
        <v>31</v>
      </c>
      <c r="H177" s="31">
        <v>279</v>
      </c>
      <c r="I177" s="31">
        <v>75960</v>
      </c>
      <c r="J177" s="31">
        <v>75813</v>
      </c>
      <c r="K177" s="31">
        <v>266</v>
      </c>
      <c r="L177" s="31">
        <f>[1]!Posts_Table[[#This Row],[Likes]]+[1]!Posts_Table[[#This Row],[Shares]]+[1]!Posts_Table[[#This Row],[Comments]]</f>
        <v>4108</v>
      </c>
      <c r="M177" s="32" t="s">
        <v>18</v>
      </c>
      <c r="N177" s="33" t="s">
        <v>27</v>
      </c>
      <c r="O177" s="33"/>
      <c r="P177" s="33"/>
    </row>
    <row r="178" spans="1:16" ht="14.25" customHeight="1" x14ac:dyDescent="0.35">
      <c r="A178" s="28" t="s">
        <v>261</v>
      </c>
      <c r="B178" s="29" t="s">
        <v>30</v>
      </c>
      <c r="C178" s="30">
        <v>45483</v>
      </c>
      <c r="D178" s="29" t="s">
        <v>40</v>
      </c>
      <c r="E178" s="28" t="s">
        <v>75</v>
      </c>
      <c r="F178" s="31">
        <v>3099</v>
      </c>
      <c r="G178" s="31">
        <v>694</v>
      </c>
      <c r="H178" s="31">
        <v>171</v>
      </c>
      <c r="I178" s="31">
        <v>43386</v>
      </c>
      <c r="J178" s="31">
        <v>42921</v>
      </c>
      <c r="K178" s="31">
        <v>52</v>
      </c>
      <c r="L178" s="31">
        <f>[1]!Posts_Table[[#This Row],[Likes]]+[1]!Posts_Table[[#This Row],[Shares]]+[1]!Posts_Table[[#This Row],[Comments]]</f>
        <v>3964</v>
      </c>
      <c r="M178" s="32" t="s">
        <v>28</v>
      </c>
      <c r="N178" s="33" t="s">
        <v>27</v>
      </c>
      <c r="O178" s="33"/>
      <c r="P178" s="33"/>
    </row>
    <row r="179" spans="1:16" ht="14.25" customHeight="1" x14ac:dyDescent="0.35">
      <c r="A179" s="28" t="s">
        <v>262</v>
      </c>
      <c r="B179" s="29" t="s">
        <v>30</v>
      </c>
      <c r="C179" s="30">
        <v>45603</v>
      </c>
      <c r="D179" s="29" t="s">
        <v>62</v>
      </c>
      <c r="E179" s="28" t="s">
        <v>72</v>
      </c>
      <c r="F179" s="31">
        <v>129</v>
      </c>
      <c r="G179" s="31">
        <v>643</v>
      </c>
      <c r="H179" s="31">
        <v>136</v>
      </c>
      <c r="I179" s="31">
        <v>1290</v>
      </c>
      <c r="J179" s="31">
        <v>839</v>
      </c>
      <c r="K179" s="31">
        <v>238</v>
      </c>
      <c r="L179" s="31">
        <f>[1]!Posts_Table[[#This Row],[Likes]]+[1]!Posts_Table[[#This Row],[Shares]]+[1]!Posts_Table[[#This Row],[Comments]]</f>
        <v>908</v>
      </c>
      <c r="M179" s="32" t="s">
        <v>35</v>
      </c>
      <c r="N179" s="33" t="s">
        <v>27</v>
      </c>
      <c r="O179" s="33"/>
      <c r="P179" s="33"/>
    </row>
    <row r="180" spans="1:16" ht="14.25" customHeight="1" x14ac:dyDescent="0.35">
      <c r="A180" s="28" t="s">
        <v>263</v>
      </c>
      <c r="B180" s="29" t="s">
        <v>38</v>
      </c>
      <c r="C180" s="30">
        <v>45488</v>
      </c>
      <c r="D180" s="29" t="s">
        <v>40</v>
      </c>
      <c r="E180" s="28" t="s">
        <v>41</v>
      </c>
      <c r="F180" s="31">
        <v>3796</v>
      </c>
      <c r="G180" s="31">
        <v>667</v>
      </c>
      <c r="H180" s="31">
        <v>395</v>
      </c>
      <c r="I180" s="31">
        <v>64532</v>
      </c>
      <c r="J180" s="31">
        <v>63550</v>
      </c>
      <c r="K180" s="31">
        <v>292</v>
      </c>
      <c r="L180" s="31">
        <f>[1]!Posts_Table[[#This Row],[Likes]]+[1]!Posts_Table[[#This Row],[Shares]]+[1]!Posts_Table[[#This Row],[Comments]]</f>
        <v>4858</v>
      </c>
      <c r="M180" s="32"/>
      <c r="N180" s="33" t="s">
        <v>27</v>
      </c>
      <c r="O180" s="33"/>
      <c r="P180" s="33"/>
    </row>
    <row r="181" spans="1:16" ht="14.25" customHeight="1" x14ac:dyDescent="0.35">
      <c r="A181" s="28" t="s">
        <v>264</v>
      </c>
      <c r="B181" s="29" t="s">
        <v>24</v>
      </c>
      <c r="C181" s="30">
        <v>45629</v>
      </c>
      <c r="D181" s="29" t="s">
        <v>20</v>
      </c>
      <c r="E181" s="28" t="s">
        <v>83</v>
      </c>
      <c r="F181" s="31">
        <v>3711</v>
      </c>
      <c r="G181" s="31">
        <v>352</v>
      </c>
      <c r="H181" s="31">
        <v>290</v>
      </c>
      <c r="I181" s="31">
        <v>48243</v>
      </c>
      <c r="J181" s="31">
        <v>47579</v>
      </c>
      <c r="K181" s="31">
        <v>11</v>
      </c>
      <c r="L181" s="31">
        <f>[1]!Posts_Table[[#This Row],[Likes]]+[1]!Posts_Table[[#This Row],[Shares]]+[1]!Posts_Table[[#This Row],[Comments]]</f>
        <v>4353</v>
      </c>
      <c r="M181" s="32" t="s">
        <v>18</v>
      </c>
      <c r="N181" s="33" t="s">
        <v>27</v>
      </c>
      <c r="O181" s="33"/>
      <c r="P181" s="33"/>
    </row>
    <row r="182" spans="1:16" ht="14.25" customHeight="1" x14ac:dyDescent="0.35">
      <c r="A182" s="28" t="s">
        <v>265</v>
      </c>
      <c r="B182" s="29" t="s">
        <v>24</v>
      </c>
      <c r="C182" s="30">
        <v>45737</v>
      </c>
      <c r="D182" s="29" t="s">
        <v>46</v>
      </c>
      <c r="E182" s="28" t="s">
        <v>47</v>
      </c>
      <c r="F182" s="31">
        <v>606</v>
      </c>
      <c r="G182" s="31">
        <v>789</v>
      </c>
      <c r="H182" s="31">
        <v>470</v>
      </c>
      <c r="I182" s="31">
        <v>7878</v>
      </c>
      <c r="J182" s="31">
        <v>7389</v>
      </c>
      <c r="K182" s="31">
        <v>239</v>
      </c>
      <c r="L182" s="31">
        <f>[1]!Posts_Table[[#This Row],[Likes]]+[1]!Posts_Table[[#This Row],[Shares]]+[1]!Posts_Table[[#This Row],[Comments]]</f>
        <v>1865</v>
      </c>
      <c r="M182" s="32" t="s">
        <v>28</v>
      </c>
      <c r="N182" s="33" t="s">
        <v>34</v>
      </c>
      <c r="O182" s="33"/>
      <c r="P182" s="33"/>
    </row>
    <row r="183" spans="1:16" ht="14.25" customHeight="1" x14ac:dyDescent="0.35">
      <c r="A183" s="28" t="s">
        <v>266</v>
      </c>
      <c r="B183" s="29" t="s">
        <v>38</v>
      </c>
      <c r="C183" s="30">
        <v>45504</v>
      </c>
      <c r="D183" s="29" t="s">
        <v>46</v>
      </c>
      <c r="E183" s="28" t="s">
        <v>51</v>
      </c>
      <c r="F183" s="31">
        <v>4689</v>
      </c>
      <c r="G183" s="31">
        <v>134</v>
      </c>
      <c r="H183" s="31">
        <v>403</v>
      </c>
      <c r="I183" s="31">
        <v>51579</v>
      </c>
      <c r="J183" s="31">
        <v>50924</v>
      </c>
      <c r="K183" s="31">
        <v>173</v>
      </c>
      <c r="L183" s="31">
        <f>[1]!Posts_Table[[#This Row],[Likes]]+[1]!Posts_Table[[#This Row],[Shares]]+[1]!Posts_Table[[#This Row],[Comments]]</f>
        <v>5226</v>
      </c>
      <c r="M183" s="32" t="s">
        <v>35</v>
      </c>
      <c r="N183" s="33" t="s">
        <v>27</v>
      </c>
      <c r="O183" s="33"/>
      <c r="P183" s="33"/>
    </row>
    <row r="184" spans="1:16" ht="14.25" customHeight="1" x14ac:dyDescent="0.35">
      <c r="A184" s="28" t="s">
        <v>267</v>
      </c>
      <c r="B184" s="29" t="s">
        <v>30</v>
      </c>
      <c r="C184" s="30">
        <v>45643</v>
      </c>
      <c r="D184" s="29" t="s">
        <v>32</v>
      </c>
      <c r="E184" s="28" t="s">
        <v>33</v>
      </c>
      <c r="F184" s="31">
        <v>360</v>
      </c>
      <c r="G184" s="31">
        <v>590</v>
      </c>
      <c r="H184" s="31">
        <v>393</v>
      </c>
      <c r="I184" s="31">
        <v>4680</v>
      </c>
      <c r="J184" s="31">
        <v>4322</v>
      </c>
      <c r="K184" s="31">
        <v>208</v>
      </c>
      <c r="L184" s="31">
        <f>[1]!Posts_Table[[#This Row],[Likes]]+[1]!Posts_Table[[#This Row],[Shares]]+[1]!Posts_Table[[#This Row],[Comments]]</f>
        <v>1343</v>
      </c>
      <c r="M184" s="32" t="s">
        <v>22</v>
      </c>
      <c r="N184" s="33" t="s">
        <v>53</v>
      </c>
      <c r="O184" s="33"/>
      <c r="P184" s="33"/>
    </row>
    <row r="185" spans="1:16" ht="14.25" customHeight="1" x14ac:dyDescent="0.35">
      <c r="A185" s="28" t="s">
        <v>268</v>
      </c>
      <c r="B185" s="29" t="s">
        <v>14</v>
      </c>
      <c r="C185" s="30">
        <v>45501</v>
      </c>
      <c r="D185" s="29" t="s">
        <v>46</v>
      </c>
      <c r="E185" s="28" t="s">
        <v>102</v>
      </c>
      <c r="F185" s="31">
        <v>3215</v>
      </c>
      <c r="G185" s="31">
        <v>960</v>
      </c>
      <c r="H185" s="31">
        <v>202</v>
      </c>
      <c r="I185" s="31">
        <v>32150</v>
      </c>
      <c r="J185" s="31">
        <v>31404</v>
      </c>
      <c r="K185" s="31">
        <v>251</v>
      </c>
      <c r="L185" s="31">
        <f>[1]!Posts_Table[[#This Row],[Likes]]+[1]!Posts_Table[[#This Row],[Shares]]+[1]!Posts_Table[[#This Row],[Comments]]</f>
        <v>4377</v>
      </c>
      <c r="M185" s="32" t="s">
        <v>18</v>
      </c>
      <c r="N185" s="33" t="s">
        <v>34</v>
      </c>
      <c r="O185" s="33"/>
      <c r="P185" s="33"/>
    </row>
    <row r="186" spans="1:16" ht="14.25" customHeight="1" x14ac:dyDescent="0.35">
      <c r="A186" s="28" t="s">
        <v>269</v>
      </c>
      <c r="B186" s="29" t="s">
        <v>30</v>
      </c>
      <c r="C186" s="30">
        <v>45668</v>
      </c>
      <c r="D186" s="29" t="s">
        <v>40</v>
      </c>
      <c r="E186" s="28" t="s">
        <v>75</v>
      </c>
      <c r="F186" s="31">
        <v>4523</v>
      </c>
      <c r="G186" s="31">
        <v>61</v>
      </c>
      <c r="H186" s="31">
        <v>157</v>
      </c>
      <c r="I186" s="31">
        <v>49753</v>
      </c>
      <c r="J186" s="31">
        <v>49329</v>
      </c>
      <c r="K186" s="31">
        <v>71</v>
      </c>
      <c r="L186" s="31">
        <f>[1]!Posts_Table[[#This Row],[Likes]]+[1]!Posts_Table[[#This Row],[Shares]]+[1]!Posts_Table[[#This Row],[Comments]]</f>
        <v>4741</v>
      </c>
      <c r="M186" s="32"/>
      <c r="N186" s="33" t="s">
        <v>34</v>
      </c>
      <c r="O186" s="33"/>
      <c r="P186" s="33"/>
    </row>
    <row r="187" spans="1:16" ht="14.25" customHeight="1" x14ac:dyDescent="0.35">
      <c r="A187" s="28" t="s">
        <v>270</v>
      </c>
      <c r="B187" s="29" t="s">
        <v>38</v>
      </c>
      <c r="C187" s="30">
        <v>45528</v>
      </c>
      <c r="D187" s="29" t="s">
        <v>40</v>
      </c>
      <c r="E187" s="28" t="s">
        <v>41</v>
      </c>
      <c r="F187" s="31">
        <v>4292</v>
      </c>
      <c r="G187" s="31">
        <v>51</v>
      </c>
      <c r="H187" s="31">
        <v>392</v>
      </c>
      <c r="I187" s="31">
        <v>55796</v>
      </c>
      <c r="J187" s="31">
        <v>54826</v>
      </c>
      <c r="K187" s="31">
        <v>264</v>
      </c>
      <c r="L187" s="31">
        <f>[1]!Posts_Table[[#This Row],[Likes]]+[1]!Posts_Table[[#This Row],[Shares]]+[1]!Posts_Table[[#This Row],[Comments]]</f>
        <v>4735</v>
      </c>
      <c r="M187" s="32" t="s">
        <v>28</v>
      </c>
      <c r="N187" s="33" t="s">
        <v>34</v>
      </c>
      <c r="O187" s="33"/>
      <c r="P187" s="33"/>
    </row>
    <row r="188" spans="1:16" ht="14.25" customHeight="1" x14ac:dyDescent="0.35">
      <c r="A188" s="28" t="s">
        <v>271</v>
      </c>
      <c r="B188" s="29" t="s">
        <v>14</v>
      </c>
      <c r="C188" s="30">
        <v>45648</v>
      </c>
      <c r="D188" s="29" t="s">
        <v>16</v>
      </c>
      <c r="E188" s="28" t="s">
        <v>17</v>
      </c>
      <c r="F188" s="31">
        <v>1644</v>
      </c>
      <c r="G188" s="31">
        <v>546</v>
      </c>
      <c r="H188" s="31">
        <v>150</v>
      </c>
      <c r="I188" s="31">
        <v>27948</v>
      </c>
      <c r="J188" s="31">
        <v>27184</v>
      </c>
      <c r="K188" s="31">
        <v>300</v>
      </c>
      <c r="L188" s="31">
        <f>[1]!Posts_Table[[#This Row],[Likes]]+[1]!Posts_Table[[#This Row],[Shares]]+[1]!Posts_Table[[#This Row],[Comments]]</f>
        <v>2340</v>
      </c>
      <c r="M188" s="32" t="s">
        <v>28</v>
      </c>
      <c r="N188" s="33" t="s">
        <v>34</v>
      </c>
      <c r="O188" s="33"/>
      <c r="P188" s="33"/>
    </row>
    <row r="189" spans="1:16" ht="14.25" customHeight="1" x14ac:dyDescent="0.35">
      <c r="A189" s="28" t="s">
        <v>272</v>
      </c>
      <c r="B189" s="29" t="s">
        <v>24</v>
      </c>
      <c r="C189" s="30">
        <v>45449</v>
      </c>
      <c r="D189" s="29" t="s">
        <v>16</v>
      </c>
      <c r="E189" s="28" t="s">
        <v>26</v>
      </c>
      <c r="F189" s="31">
        <v>2728</v>
      </c>
      <c r="G189" s="31">
        <v>533</v>
      </c>
      <c r="H189" s="31">
        <v>215</v>
      </c>
      <c r="I189" s="31">
        <v>40920</v>
      </c>
      <c r="J189" s="31">
        <v>40816</v>
      </c>
      <c r="K189" s="31">
        <v>137</v>
      </c>
      <c r="L189" s="31">
        <f>[1]!Posts_Table[[#This Row],[Likes]]+[1]!Posts_Table[[#This Row],[Shares]]+[1]!Posts_Table[[#This Row],[Comments]]</f>
        <v>3476</v>
      </c>
      <c r="M189" s="32" t="s">
        <v>22</v>
      </c>
      <c r="N189" s="33" t="s">
        <v>53</v>
      </c>
      <c r="O189" s="33"/>
      <c r="P189" s="33"/>
    </row>
    <row r="190" spans="1:16" ht="14.25" customHeight="1" x14ac:dyDescent="0.35">
      <c r="A190" s="28" t="s">
        <v>273</v>
      </c>
      <c r="B190" s="29" t="s">
        <v>38</v>
      </c>
      <c r="C190" s="30">
        <v>45740</v>
      </c>
      <c r="D190" s="29" t="s">
        <v>16</v>
      </c>
      <c r="E190" s="28" t="s">
        <v>55</v>
      </c>
      <c r="F190" s="31">
        <v>3360</v>
      </c>
      <c r="G190" s="31">
        <v>525</v>
      </c>
      <c r="H190" s="31">
        <v>500</v>
      </c>
      <c r="I190" s="31">
        <v>60480</v>
      </c>
      <c r="J190" s="31">
        <v>59610</v>
      </c>
      <c r="K190" s="31">
        <v>192</v>
      </c>
      <c r="L190" s="31">
        <f>[1]!Posts_Table[[#This Row],[Likes]]+[1]!Posts_Table[[#This Row],[Shares]]+[1]!Posts_Table[[#This Row],[Comments]]</f>
        <v>4385</v>
      </c>
      <c r="M190" s="32" t="s">
        <v>18</v>
      </c>
      <c r="N190" s="33" t="s">
        <v>27</v>
      </c>
      <c r="O190" s="33"/>
      <c r="P190" s="33"/>
    </row>
    <row r="191" spans="1:16" ht="14.25" customHeight="1" x14ac:dyDescent="0.35">
      <c r="A191" s="28" t="s">
        <v>274</v>
      </c>
      <c r="B191" s="29" t="s">
        <v>24</v>
      </c>
      <c r="C191" s="30">
        <v>45569</v>
      </c>
      <c r="D191" s="29" t="s">
        <v>20</v>
      </c>
      <c r="E191" s="28" t="s">
        <v>83</v>
      </c>
      <c r="F191" s="31">
        <v>1963</v>
      </c>
      <c r="G191" s="31">
        <v>213</v>
      </c>
      <c r="H191" s="31">
        <v>19</v>
      </c>
      <c r="I191" s="31">
        <v>39260</v>
      </c>
      <c r="J191" s="31">
        <v>38771</v>
      </c>
      <c r="K191" s="31">
        <v>145</v>
      </c>
      <c r="L191" s="31">
        <f>[1]!Posts_Table[[#This Row],[Likes]]+[1]!Posts_Table[[#This Row],[Shares]]+[1]!Posts_Table[[#This Row],[Comments]]</f>
        <v>2195</v>
      </c>
      <c r="M191" s="32"/>
      <c r="N191" s="33" t="s">
        <v>53</v>
      </c>
      <c r="O191" s="33"/>
      <c r="P191" s="33"/>
    </row>
    <row r="192" spans="1:16" ht="14.25" customHeight="1" x14ac:dyDescent="0.35">
      <c r="A192" s="28" t="s">
        <v>275</v>
      </c>
      <c r="B192" s="29" t="s">
        <v>24</v>
      </c>
      <c r="C192" s="30">
        <v>45629</v>
      </c>
      <c r="D192" s="29" t="s">
        <v>32</v>
      </c>
      <c r="E192" s="28" t="s">
        <v>117</v>
      </c>
      <c r="F192" s="31">
        <v>4285</v>
      </c>
      <c r="G192" s="31">
        <v>886</v>
      </c>
      <c r="H192" s="31">
        <v>376</v>
      </c>
      <c r="I192" s="31">
        <v>55705</v>
      </c>
      <c r="J192" s="31">
        <v>55556</v>
      </c>
      <c r="K192" s="31">
        <v>51</v>
      </c>
      <c r="L192" s="31">
        <f>[1]!Posts_Table[[#This Row],[Likes]]+[1]!Posts_Table[[#This Row],[Shares]]+[1]!Posts_Table[[#This Row],[Comments]]</f>
        <v>5547</v>
      </c>
      <c r="M192" s="32" t="s">
        <v>28</v>
      </c>
      <c r="N192" s="33" t="s">
        <v>53</v>
      </c>
      <c r="O192" s="33"/>
      <c r="P192" s="33"/>
    </row>
    <row r="193" spans="1:16" ht="14.25" customHeight="1" x14ac:dyDescent="0.35">
      <c r="A193" s="28" t="s">
        <v>276</v>
      </c>
      <c r="B193" s="29" t="s">
        <v>30</v>
      </c>
      <c r="C193" s="30">
        <v>45625</v>
      </c>
      <c r="D193" s="29" t="s">
        <v>62</v>
      </c>
      <c r="E193" s="28" t="s">
        <v>72</v>
      </c>
      <c r="F193" s="31">
        <v>1176</v>
      </c>
      <c r="G193" s="31">
        <v>464</v>
      </c>
      <c r="H193" s="31">
        <v>394</v>
      </c>
      <c r="I193" s="31">
        <v>14112</v>
      </c>
      <c r="J193" s="31">
        <v>13588</v>
      </c>
      <c r="K193" s="31">
        <v>272</v>
      </c>
      <c r="L193" s="31">
        <f>[1]!Posts_Table[[#This Row],[Likes]]+[1]!Posts_Table[[#This Row],[Shares]]+[1]!Posts_Table[[#This Row],[Comments]]</f>
        <v>2034</v>
      </c>
      <c r="M193" s="32"/>
      <c r="N193" s="33" t="s">
        <v>34</v>
      </c>
      <c r="O193" s="33"/>
      <c r="P193" s="33"/>
    </row>
    <row r="194" spans="1:16" ht="14.25" customHeight="1" x14ac:dyDescent="0.35">
      <c r="A194" s="28" t="s">
        <v>277</v>
      </c>
      <c r="B194" s="29" t="s">
        <v>14</v>
      </c>
      <c r="C194" s="30">
        <v>45546</v>
      </c>
      <c r="D194" s="29" t="s">
        <v>46</v>
      </c>
      <c r="E194" s="28" t="s">
        <v>102</v>
      </c>
      <c r="F194" s="31">
        <v>4858</v>
      </c>
      <c r="G194" s="31">
        <v>317</v>
      </c>
      <c r="H194" s="31">
        <v>129</v>
      </c>
      <c r="I194" s="31">
        <v>53438</v>
      </c>
      <c r="J194" s="31">
        <v>52687</v>
      </c>
      <c r="K194" s="31">
        <v>223</v>
      </c>
      <c r="L194" s="31">
        <f>[1]!Posts_Table[[#This Row],[Likes]]+[1]!Posts_Table[[#This Row],[Shares]]+[1]!Posts_Table[[#This Row],[Comments]]</f>
        <v>5304</v>
      </c>
      <c r="M194" s="32" t="s">
        <v>28</v>
      </c>
      <c r="N194" s="33" t="s">
        <v>34</v>
      </c>
      <c r="O194" s="33"/>
      <c r="P194" s="33"/>
    </row>
    <row r="195" spans="1:16" ht="14.25" customHeight="1" x14ac:dyDescent="0.35">
      <c r="A195" s="28" t="s">
        <v>278</v>
      </c>
      <c r="B195" s="29" t="s">
        <v>24</v>
      </c>
      <c r="C195" s="30">
        <v>45567</v>
      </c>
      <c r="D195" s="29" t="s">
        <v>32</v>
      </c>
      <c r="E195" s="28" t="s">
        <v>117</v>
      </c>
      <c r="F195" s="31">
        <v>4350</v>
      </c>
      <c r="G195" s="31">
        <v>771</v>
      </c>
      <c r="H195" s="31">
        <v>7</v>
      </c>
      <c r="I195" s="31">
        <v>60900</v>
      </c>
      <c r="J195" s="31">
        <v>60592</v>
      </c>
      <c r="K195" s="31">
        <v>195</v>
      </c>
      <c r="L195" s="31">
        <f>[1]!Posts_Table[[#This Row],[Likes]]+[1]!Posts_Table[[#This Row],[Shares]]+[1]!Posts_Table[[#This Row],[Comments]]</f>
        <v>5128</v>
      </c>
      <c r="M195" s="32" t="s">
        <v>18</v>
      </c>
      <c r="N195" s="33" t="s">
        <v>34</v>
      </c>
      <c r="O195" s="33"/>
      <c r="P195" s="33"/>
    </row>
    <row r="196" spans="1:16" ht="14.25" customHeight="1" x14ac:dyDescent="0.35">
      <c r="A196" s="28" t="s">
        <v>279</v>
      </c>
      <c r="B196" s="29" t="s">
        <v>30</v>
      </c>
      <c r="C196" s="30">
        <v>45519</v>
      </c>
      <c r="D196" s="29" t="s">
        <v>40</v>
      </c>
      <c r="E196" s="28" t="s">
        <v>75</v>
      </c>
      <c r="F196" s="31">
        <v>914</v>
      </c>
      <c r="G196" s="31">
        <v>464</v>
      </c>
      <c r="H196" s="31">
        <v>246</v>
      </c>
      <c r="I196" s="31">
        <v>11882</v>
      </c>
      <c r="J196" s="31">
        <v>11500</v>
      </c>
      <c r="K196" s="31">
        <v>282</v>
      </c>
      <c r="L196" s="31">
        <f>[1]!Posts_Table[[#This Row],[Likes]]+[1]!Posts_Table[[#This Row],[Shares]]+[1]!Posts_Table[[#This Row],[Comments]]</f>
        <v>1624</v>
      </c>
      <c r="M196" s="32" t="s">
        <v>35</v>
      </c>
      <c r="N196" s="33" t="s">
        <v>53</v>
      </c>
      <c r="O196" s="33" t="s">
        <v>27</v>
      </c>
      <c r="P196" s="33" t="s">
        <v>431</v>
      </c>
    </row>
    <row r="197" spans="1:16" ht="14.25" customHeight="1" x14ac:dyDescent="0.35">
      <c r="A197" s="28" t="s">
        <v>280</v>
      </c>
      <c r="B197" s="29" t="s">
        <v>30</v>
      </c>
      <c r="C197" s="30">
        <v>45645</v>
      </c>
      <c r="D197" s="29" t="s">
        <v>20</v>
      </c>
      <c r="E197" s="28" t="s">
        <v>89</v>
      </c>
      <c r="F197" s="31">
        <v>1813</v>
      </c>
      <c r="G197" s="31">
        <v>623</v>
      </c>
      <c r="H197" s="31">
        <v>72</v>
      </c>
      <c r="I197" s="31">
        <v>19943</v>
      </c>
      <c r="J197" s="31">
        <v>18959</v>
      </c>
      <c r="K197" s="31">
        <v>85</v>
      </c>
      <c r="L197" s="31">
        <f>[1]!Posts_Table[[#This Row],[Likes]]+[1]!Posts_Table[[#This Row],[Shares]]+[1]!Posts_Table[[#This Row],[Comments]]</f>
        <v>2508</v>
      </c>
      <c r="M197" s="32" t="s">
        <v>28</v>
      </c>
      <c r="N197" s="33" t="s">
        <v>34</v>
      </c>
      <c r="O197" s="33"/>
      <c r="P197" s="33"/>
    </row>
    <row r="198" spans="1:16" ht="14.25" customHeight="1" x14ac:dyDescent="0.35">
      <c r="A198" s="28" t="s">
        <v>281</v>
      </c>
      <c r="B198" s="29" t="s">
        <v>14</v>
      </c>
      <c r="C198" s="30">
        <v>45587</v>
      </c>
      <c r="D198" s="29" t="s">
        <v>16</v>
      </c>
      <c r="E198" s="28" t="s">
        <v>17</v>
      </c>
      <c r="F198" s="31">
        <v>4782</v>
      </c>
      <c r="G198" s="31">
        <v>721</v>
      </c>
      <c r="H198" s="31">
        <v>82</v>
      </c>
      <c r="I198" s="31">
        <v>86076</v>
      </c>
      <c r="J198" s="31">
        <v>85339</v>
      </c>
      <c r="K198" s="31">
        <v>19</v>
      </c>
      <c r="L198" s="31">
        <f>[1]!Posts_Table[[#This Row],[Likes]]+[1]!Posts_Table[[#This Row],[Shares]]+[1]!Posts_Table[[#This Row],[Comments]]</f>
        <v>5585</v>
      </c>
      <c r="M198" s="32" t="s">
        <v>18</v>
      </c>
      <c r="N198" s="33" t="s">
        <v>34</v>
      </c>
      <c r="O198" s="33"/>
      <c r="P198" s="33"/>
    </row>
    <row r="199" spans="1:16" ht="14.25" customHeight="1" x14ac:dyDescent="0.35">
      <c r="A199" s="28" t="s">
        <v>282</v>
      </c>
      <c r="B199" s="29" t="s">
        <v>14</v>
      </c>
      <c r="C199" s="30">
        <v>45549</v>
      </c>
      <c r="D199" s="29" t="s">
        <v>46</v>
      </c>
      <c r="E199" s="28" t="s">
        <v>102</v>
      </c>
      <c r="F199" s="31">
        <v>1048</v>
      </c>
      <c r="G199" s="31">
        <v>374</v>
      </c>
      <c r="H199" s="31">
        <v>450</v>
      </c>
      <c r="I199" s="31">
        <v>9432</v>
      </c>
      <c r="J199" s="31">
        <v>8882</v>
      </c>
      <c r="K199" s="31">
        <v>158</v>
      </c>
      <c r="L199" s="31">
        <f>[1]!Posts_Table[[#This Row],[Likes]]+[1]!Posts_Table[[#This Row],[Shares]]+[1]!Posts_Table[[#This Row],[Comments]]</f>
        <v>1872</v>
      </c>
      <c r="M199" s="32" t="s">
        <v>28</v>
      </c>
      <c r="N199" s="33" t="s">
        <v>27</v>
      </c>
      <c r="O199" s="33"/>
      <c r="P199" s="33"/>
    </row>
    <row r="200" spans="1:16" ht="14.25" customHeight="1" x14ac:dyDescent="0.35">
      <c r="A200" s="28" t="s">
        <v>283</v>
      </c>
      <c r="B200" s="29" t="s">
        <v>24</v>
      </c>
      <c r="C200" s="30">
        <v>45626</v>
      </c>
      <c r="D200" s="29" t="s">
        <v>40</v>
      </c>
      <c r="E200" s="28" t="s">
        <v>58</v>
      </c>
      <c r="F200" s="31">
        <v>2509</v>
      </c>
      <c r="G200" s="31">
        <v>324</v>
      </c>
      <c r="H200" s="31">
        <v>171</v>
      </c>
      <c r="I200" s="31">
        <v>35126</v>
      </c>
      <c r="J200" s="31">
        <v>34685</v>
      </c>
      <c r="K200" s="31">
        <v>277</v>
      </c>
      <c r="L200" s="31">
        <f>[1]!Posts_Table[[#This Row],[Likes]]+[1]!Posts_Table[[#This Row],[Shares]]+[1]!Posts_Table[[#This Row],[Comments]]</f>
        <v>3004</v>
      </c>
      <c r="M200" s="32" t="s">
        <v>22</v>
      </c>
      <c r="N200" s="33" t="s">
        <v>27</v>
      </c>
      <c r="O200" s="33"/>
      <c r="P200" s="33"/>
    </row>
    <row r="201" spans="1:16" ht="14.25" customHeight="1" x14ac:dyDescent="0.35">
      <c r="A201" s="28" t="s">
        <v>284</v>
      </c>
      <c r="B201" s="29" t="s">
        <v>38</v>
      </c>
      <c r="C201" s="30">
        <v>45754</v>
      </c>
      <c r="D201" s="29" t="s">
        <v>16</v>
      </c>
      <c r="E201" s="28" t="s">
        <v>55</v>
      </c>
      <c r="F201" s="31">
        <v>3718</v>
      </c>
      <c r="G201" s="31">
        <v>385</v>
      </c>
      <c r="H201" s="31">
        <v>310</v>
      </c>
      <c r="I201" s="31">
        <v>70642</v>
      </c>
      <c r="J201" s="31">
        <v>69749</v>
      </c>
      <c r="K201" s="31">
        <v>233</v>
      </c>
      <c r="L201" s="31">
        <f>[1]!Posts_Table[[#This Row],[Likes]]+[1]!Posts_Table[[#This Row],[Shares]]+[1]!Posts_Table[[#This Row],[Comments]]</f>
        <v>4413</v>
      </c>
      <c r="M201" s="32" t="s">
        <v>22</v>
      </c>
      <c r="N201" s="33" t="s">
        <v>27</v>
      </c>
      <c r="O201" s="33"/>
      <c r="P201" s="33"/>
    </row>
    <row r="202" spans="1:16" ht="14.25" customHeight="1" x14ac:dyDescent="0.35">
      <c r="A202" s="28" t="s">
        <v>286</v>
      </c>
      <c r="B202" s="29" t="s">
        <v>14</v>
      </c>
      <c r="C202" s="30">
        <v>45672</v>
      </c>
      <c r="D202" s="29" t="s">
        <v>16</v>
      </c>
      <c r="E202" s="28" t="s">
        <v>17</v>
      </c>
      <c r="F202" s="31">
        <v>802</v>
      </c>
      <c r="G202" s="31">
        <v>262</v>
      </c>
      <c r="H202" s="31">
        <v>244</v>
      </c>
      <c r="I202" s="31">
        <v>14436</v>
      </c>
      <c r="J202" s="31">
        <v>14280</v>
      </c>
      <c r="K202" s="31">
        <v>49</v>
      </c>
      <c r="L202" s="31">
        <f>[1]!Posts_Table[[#This Row],[Likes]]+[1]!Posts_Table[[#This Row],[Shares]]+[1]!Posts_Table[[#This Row],[Comments]]</f>
        <v>1308</v>
      </c>
      <c r="M202" s="32" t="s">
        <v>18</v>
      </c>
      <c r="N202" s="33" t="s">
        <v>34</v>
      </c>
      <c r="O202" s="33"/>
      <c r="P202" s="33"/>
    </row>
    <row r="203" spans="1:16" ht="14.25" customHeight="1" x14ac:dyDescent="0.35">
      <c r="A203" s="28" t="s">
        <v>287</v>
      </c>
      <c r="B203" s="29" t="s">
        <v>38</v>
      </c>
      <c r="C203" s="30">
        <v>45445</v>
      </c>
      <c r="D203" s="29" t="s">
        <v>46</v>
      </c>
      <c r="E203" s="28" t="s">
        <v>51</v>
      </c>
      <c r="F203" s="31">
        <v>1871</v>
      </c>
      <c r="G203" s="31">
        <v>252</v>
      </c>
      <c r="H203" s="31">
        <v>335</v>
      </c>
      <c r="I203" s="31">
        <v>29936</v>
      </c>
      <c r="J203" s="31">
        <v>29576</v>
      </c>
      <c r="K203" s="31">
        <v>288</v>
      </c>
      <c r="L203" s="31">
        <f>[1]!Posts_Table[[#This Row],[Likes]]+[1]!Posts_Table[[#This Row],[Shares]]+[1]!Posts_Table[[#This Row],[Comments]]</f>
        <v>2458</v>
      </c>
      <c r="M203" s="32" t="s">
        <v>28</v>
      </c>
      <c r="N203" s="33" t="s">
        <v>34</v>
      </c>
      <c r="O203" s="33"/>
      <c r="P203" s="33"/>
    </row>
    <row r="204" spans="1:16" ht="14.25" customHeight="1" x14ac:dyDescent="0.35">
      <c r="A204" s="28" t="s">
        <v>288</v>
      </c>
      <c r="B204" s="29" t="s">
        <v>30</v>
      </c>
      <c r="C204" s="30">
        <v>45617</v>
      </c>
      <c r="D204" s="29" t="s">
        <v>40</v>
      </c>
      <c r="E204" s="28" t="s">
        <v>75</v>
      </c>
      <c r="F204" s="31">
        <v>3773</v>
      </c>
      <c r="G204" s="31">
        <v>299</v>
      </c>
      <c r="H204" s="31">
        <v>38</v>
      </c>
      <c r="I204" s="31">
        <v>71687</v>
      </c>
      <c r="J204" s="31">
        <v>71447</v>
      </c>
      <c r="K204" s="31">
        <v>286</v>
      </c>
      <c r="L204" s="31">
        <f>[1]!Posts_Table[[#This Row],[Likes]]+[1]!Posts_Table[[#This Row],[Shares]]+[1]!Posts_Table[[#This Row],[Comments]]</f>
        <v>4110</v>
      </c>
      <c r="M204" s="32" t="s">
        <v>18</v>
      </c>
      <c r="N204" s="33" t="s">
        <v>53</v>
      </c>
      <c r="O204" s="33"/>
      <c r="P204" s="33"/>
    </row>
    <row r="205" spans="1:16" ht="14.25" customHeight="1" x14ac:dyDescent="0.35">
      <c r="A205" s="28" t="s">
        <v>289</v>
      </c>
      <c r="B205" s="29" t="s">
        <v>30</v>
      </c>
      <c r="C205" s="30">
        <v>45658</v>
      </c>
      <c r="D205" s="29" t="s">
        <v>40</v>
      </c>
      <c r="E205" s="28" t="s">
        <v>75</v>
      </c>
      <c r="F205" s="31">
        <v>2234</v>
      </c>
      <c r="G205" s="31">
        <v>653</v>
      </c>
      <c r="H205" s="31">
        <v>432</v>
      </c>
      <c r="I205" s="31">
        <v>11170</v>
      </c>
      <c r="J205" s="31">
        <v>10569</v>
      </c>
      <c r="K205" s="31">
        <v>198</v>
      </c>
      <c r="L205" s="31">
        <f>[1]!Posts_Table[[#This Row],[Likes]]+[1]!Posts_Table[[#This Row],[Shares]]+[1]!Posts_Table[[#This Row],[Comments]]</f>
        <v>3319</v>
      </c>
      <c r="M205" s="32" t="s">
        <v>28</v>
      </c>
      <c r="N205" s="33" t="s">
        <v>53</v>
      </c>
      <c r="O205" s="33"/>
      <c r="P205" s="33"/>
    </row>
    <row r="206" spans="1:16" ht="14.25" customHeight="1" x14ac:dyDescent="0.35">
      <c r="A206" s="28" t="s">
        <v>290</v>
      </c>
      <c r="B206" s="29" t="s">
        <v>14</v>
      </c>
      <c r="C206" s="30">
        <v>45771</v>
      </c>
      <c r="D206" s="29" t="s">
        <v>62</v>
      </c>
      <c r="E206" s="28" t="s">
        <v>109</v>
      </c>
      <c r="F206" s="31">
        <v>3820</v>
      </c>
      <c r="G206" s="31">
        <v>697</v>
      </c>
      <c r="H206" s="31">
        <v>268</v>
      </c>
      <c r="I206" s="31">
        <v>45840</v>
      </c>
      <c r="J206" s="31">
        <v>45631</v>
      </c>
      <c r="K206" s="31">
        <v>171</v>
      </c>
      <c r="L206" s="31">
        <f>[1]!Posts_Table[[#This Row],[Likes]]+[1]!Posts_Table[[#This Row],[Shares]]+[1]!Posts_Table[[#This Row],[Comments]]</f>
        <v>4785</v>
      </c>
      <c r="M206" s="32" t="s">
        <v>35</v>
      </c>
      <c r="N206" s="33" t="s">
        <v>27</v>
      </c>
      <c r="O206" s="33" t="s">
        <v>427</v>
      </c>
      <c r="P206" s="33"/>
    </row>
    <row r="207" spans="1:16" ht="14.25" customHeight="1" x14ac:dyDescent="0.35">
      <c r="A207" s="28" t="s">
        <v>291</v>
      </c>
      <c r="B207" s="29" t="s">
        <v>14</v>
      </c>
      <c r="C207" s="30">
        <v>45467</v>
      </c>
      <c r="D207" s="29" t="s">
        <v>20</v>
      </c>
      <c r="E207" s="28" t="s">
        <v>21</v>
      </c>
      <c r="F207" s="31">
        <v>941</v>
      </c>
      <c r="G207" s="31">
        <v>121</v>
      </c>
      <c r="H207" s="31">
        <v>458</v>
      </c>
      <c r="I207" s="31">
        <v>14115</v>
      </c>
      <c r="J207" s="31">
        <v>13838</v>
      </c>
      <c r="K207" s="31">
        <v>87</v>
      </c>
      <c r="L207" s="31">
        <f>[1]!Posts_Table[[#This Row],[Likes]]+[1]!Posts_Table[[#This Row],[Shares]]+[1]!Posts_Table[[#This Row],[Comments]]</f>
        <v>1520</v>
      </c>
      <c r="M207" s="32" t="s">
        <v>18</v>
      </c>
      <c r="N207" s="33" t="s">
        <v>34</v>
      </c>
      <c r="O207" s="33"/>
      <c r="P207" s="33"/>
    </row>
    <row r="208" spans="1:16" ht="14.25" customHeight="1" x14ac:dyDescent="0.35">
      <c r="A208" s="28" t="s">
        <v>292</v>
      </c>
      <c r="B208" s="29" t="s">
        <v>14</v>
      </c>
      <c r="C208" s="30">
        <v>45655</v>
      </c>
      <c r="D208" s="29" t="s">
        <v>40</v>
      </c>
      <c r="E208" s="28" t="s">
        <v>44</v>
      </c>
      <c r="F208" s="31">
        <v>4274</v>
      </c>
      <c r="G208" s="31">
        <v>340</v>
      </c>
      <c r="H208" s="31">
        <v>281</v>
      </c>
      <c r="I208" s="31">
        <v>34192</v>
      </c>
      <c r="J208" s="31">
        <v>33446</v>
      </c>
      <c r="K208" s="31">
        <v>129</v>
      </c>
      <c r="L208" s="31">
        <f>[1]!Posts_Table[[#This Row],[Likes]]+[1]!Posts_Table[[#This Row],[Shares]]+[1]!Posts_Table[[#This Row],[Comments]]</f>
        <v>4895</v>
      </c>
      <c r="M208" s="32" t="s">
        <v>28</v>
      </c>
      <c r="N208" s="33" t="s">
        <v>27</v>
      </c>
      <c r="O208" s="33" t="s">
        <v>427</v>
      </c>
      <c r="P208" s="33"/>
    </row>
    <row r="209" spans="1:16" ht="14.25" customHeight="1" x14ac:dyDescent="0.35">
      <c r="A209" s="28" t="s">
        <v>293</v>
      </c>
      <c r="B209" s="29" t="s">
        <v>24</v>
      </c>
      <c r="C209" s="30">
        <v>45467</v>
      </c>
      <c r="D209" s="29" t="s">
        <v>62</v>
      </c>
      <c r="E209" s="28" t="s">
        <v>157</v>
      </c>
      <c r="F209" s="31">
        <v>2949</v>
      </c>
      <c r="G209" s="31">
        <v>476</v>
      </c>
      <c r="H209" s="31">
        <v>403</v>
      </c>
      <c r="I209" s="31">
        <v>44235</v>
      </c>
      <c r="J209" s="31">
        <v>43705</v>
      </c>
      <c r="K209" s="31">
        <v>135</v>
      </c>
      <c r="L209" s="31">
        <f>[1]!Posts_Table[[#This Row],[Likes]]+[1]!Posts_Table[[#This Row],[Shares]]+[1]!Posts_Table[[#This Row],[Comments]]</f>
        <v>3828</v>
      </c>
      <c r="M209" s="32" t="s">
        <v>22</v>
      </c>
      <c r="N209" s="33" t="s">
        <v>27</v>
      </c>
      <c r="O209" s="33"/>
      <c r="P209" s="33"/>
    </row>
    <row r="210" spans="1:16" ht="14.25" customHeight="1" x14ac:dyDescent="0.35">
      <c r="A210" s="28" t="s">
        <v>294</v>
      </c>
      <c r="B210" s="29" t="s">
        <v>14</v>
      </c>
      <c r="C210" s="30">
        <v>45735</v>
      </c>
      <c r="D210" s="29" t="s">
        <v>62</v>
      </c>
      <c r="E210" s="28" t="s">
        <v>109</v>
      </c>
      <c r="F210" s="31">
        <v>3160</v>
      </c>
      <c r="G210" s="31">
        <v>204</v>
      </c>
      <c r="H210" s="31">
        <v>297</v>
      </c>
      <c r="I210" s="31">
        <v>44240</v>
      </c>
      <c r="J210" s="31">
        <v>43666</v>
      </c>
      <c r="K210" s="31">
        <v>49</v>
      </c>
      <c r="L210" s="31">
        <f>[1]!Posts_Table[[#This Row],[Likes]]+[1]!Posts_Table[[#This Row],[Shares]]+[1]!Posts_Table[[#This Row],[Comments]]</f>
        <v>3661</v>
      </c>
      <c r="M210" s="32" t="s">
        <v>35</v>
      </c>
      <c r="N210" s="33" t="s">
        <v>53</v>
      </c>
      <c r="O210" s="33" t="s">
        <v>431</v>
      </c>
      <c r="P210" s="33"/>
    </row>
    <row r="211" spans="1:16" ht="14.25" customHeight="1" x14ac:dyDescent="0.35">
      <c r="A211" s="28" t="s">
        <v>295</v>
      </c>
      <c r="B211" s="29" t="s">
        <v>24</v>
      </c>
      <c r="C211" s="30">
        <v>45707</v>
      </c>
      <c r="D211" s="29" t="s">
        <v>46</v>
      </c>
      <c r="E211" s="28" t="s">
        <v>47</v>
      </c>
      <c r="F211" s="31">
        <v>257</v>
      </c>
      <c r="G211" s="31">
        <v>966</v>
      </c>
      <c r="H211" s="31">
        <v>398</v>
      </c>
      <c r="I211" s="31">
        <v>3341</v>
      </c>
      <c r="J211" s="31">
        <v>2753</v>
      </c>
      <c r="K211" s="31">
        <v>287</v>
      </c>
      <c r="L211" s="31">
        <f>[1]!Posts_Table[[#This Row],[Likes]]+[1]!Posts_Table[[#This Row],[Shares]]+[1]!Posts_Table[[#This Row],[Comments]]</f>
        <v>1621</v>
      </c>
      <c r="M211" s="32" t="s">
        <v>18</v>
      </c>
      <c r="N211" s="33" t="s">
        <v>53</v>
      </c>
      <c r="O211" s="33"/>
      <c r="P211" s="33"/>
    </row>
    <row r="212" spans="1:16" ht="14.25" customHeight="1" x14ac:dyDescent="0.35">
      <c r="A212" s="28" t="s">
        <v>296</v>
      </c>
      <c r="B212" s="29" t="s">
        <v>14</v>
      </c>
      <c r="C212" s="30">
        <v>45491</v>
      </c>
      <c r="D212" s="29" t="s">
        <v>40</v>
      </c>
      <c r="E212" s="28" t="s">
        <v>44</v>
      </c>
      <c r="F212" s="31">
        <v>2120</v>
      </c>
      <c r="G212" s="31">
        <v>38</v>
      </c>
      <c r="H212" s="31">
        <v>212</v>
      </c>
      <c r="I212" s="31">
        <v>12720</v>
      </c>
      <c r="J212" s="31">
        <v>12564</v>
      </c>
      <c r="K212" s="31">
        <v>21</v>
      </c>
      <c r="L212" s="31">
        <f>[1]!Posts_Table[[#This Row],[Likes]]+[1]!Posts_Table[[#This Row],[Shares]]+[1]!Posts_Table[[#This Row],[Comments]]</f>
        <v>2370</v>
      </c>
      <c r="M212" s="32" t="s">
        <v>35</v>
      </c>
      <c r="N212" s="33" t="s">
        <v>53</v>
      </c>
      <c r="O212" s="33"/>
      <c r="P212" s="33"/>
    </row>
    <row r="213" spans="1:16" ht="14.25" customHeight="1" x14ac:dyDescent="0.35">
      <c r="A213" s="28" t="s">
        <v>297</v>
      </c>
      <c r="B213" s="29" t="s">
        <v>24</v>
      </c>
      <c r="C213" s="30">
        <v>45719</v>
      </c>
      <c r="D213" s="29" t="s">
        <v>62</v>
      </c>
      <c r="E213" s="28" t="s">
        <v>157</v>
      </c>
      <c r="F213" s="31">
        <v>3874</v>
      </c>
      <c r="G213" s="31">
        <v>884</v>
      </c>
      <c r="H213" s="31">
        <v>19</v>
      </c>
      <c r="I213" s="31">
        <v>38740</v>
      </c>
      <c r="J213" s="31">
        <v>38552</v>
      </c>
      <c r="K213" s="31">
        <v>219</v>
      </c>
      <c r="L213" s="31">
        <f>[1]!Posts_Table[[#This Row],[Likes]]+[1]!Posts_Table[[#This Row],[Shares]]+[1]!Posts_Table[[#This Row],[Comments]]</f>
        <v>4777</v>
      </c>
      <c r="M213" s="32" t="s">
        <v>22</v>
      </c>
      <c r="N213" s="33" t="s">
        <v>27</v>
      </c>
      <c r="O213" s="33"/>
      <c r="P213" s="33"/>
    </row>
    <row r="214" spans="1:16" ht="14.25" customHeight="1" x14ac:dyDescent="0.35">
      <c r="A214" s="28" t="s">
        <v>298</v>
      </c>
      <c r="B214" s="29" t="s">
        <v>38</v>
      </c>
      <c r="C214" s="30">
        <v>45778</v>
      </c>
      <c r="D214" s="29" t="s">
        <v>40</v>
      </c>
      <c r="E214" s="28" t="s">
        <v>41</v>
      </c>
      <c r="F214" s="31">
        <v>2696</v>
      </c>
      <c r="G214" s="31">
        <v>628</v>
      </c>
      <c r="H214" s="31">
        <v>443</v>
      </c>
      <c r="I214" s="31">
        <v>45832</v>
      </c>
      <c r="J214" s="31">
        <v>45632</v>
      </c>
      <c r="K214" s="31">
        <v>248</v>
      </c>
      <c r="L214" s="31">
        <f>[1]!Posts_Table[[#This Row],[Likes]]+[1]!Posts_Table[[#This Row],[Shares]]+[1]!Posts_Table[[#This Row],[Comments]]</f>
        <v>3767</v>
      </c>
      <c r="M214" s="32" t="s">
        <v>35</v>
      </c>
      <c r="N214" s="33" t="s">
        <v>34</v>
      </c>
      <c r="O214" s="33"/>
      <c r="P214" s="33"/>
    </row>
    <row r="215" spans="1:16" ht="14.25" customHeight="1" x14ac:dyDescent="0.35">
      <c r="A215" s="28" t="s">
        <v>299</v>
      </c>
      <c r="B215" s="29" t="s">
        <v>30</v>
      </c>
      <c r="C215" s="30">
        <v>45649</v>
      </c>
      <c r="D215" s="29" t="s">
        <v>46</v>
      </c>
      <c r="E215" s="28" t="s">
        <v>155</v>
      </c>
      <c r="F215" s="31">
        <v>521</v>
      </c>
      <c r="G215" s="31">
        <v>746</v>
      </c>
      <c r="H215" s="31">
        <v>315</v>
      </c>
      <c r="I215" s="31">
        <v>4168</v>
      </c>
      <c r="J215" s="31">
        <v>3399</v>
      </c>
      <c r="K215" s="31">
        <v>282</v>
      </c>
      <c r="L215" s="31">
        <f>[1]!Posts_Table[[#This Row],[Likes]]+[1]!Posts_Table[[#This Row],[Shares]]+[1]!Posts_Table[[#This Row],[Comments]]</f>
        <v>1582</v>
      </c>
      <c r="M215" s="32" t="s">
        <v>22</v>
      </c>
      <c r="N215" s="33" t="s">
        <v>53</v>
      </c>
      <c r="O215" s="33"/>
      <c r="P215" s="33"/>
    </row>
    <row r="216" spans="1:16" ht="14.25" customHeight="1" x14ac:dyDescent="0.35">
      <c r="A216" s="28" t="s">
        <v>300</v>
      </c>
      <c r="B216" s="29" t="s">
        <v>38</v>
      </c>
      <c r="C216" s="30">
        <v>45783</v>
      </c>
      <c r="D216" s="29" t="s">
        <v>46</v>
      </c>
      <c r="E216" s="28" t="s">
        <v>51</v>
      </c>
      <c r="F216" s="31">
        <v>4872</v>
      </c>
      <c r="G216" s="31">
        <v>925</v>
      </c>
      <c r="H216" s="31">
        <v>176</v>
      </c>
      <c r="I216" s="31">
        <v>82824</v>
      </c>
      <c r="J216" s="31">
        <v>82543</v>
      </c>
      <c r="K216" s="31">
        <v>89</v>
      </c>
      <c r="L216" s="31">
        <f>[1]!Posts_Table[[#This Row],[Likes]]+[1]!Posts_Table[[#This Row],[Shares]]+[1]!Posts_Table[[#This Row],[Comments]]</f>
        <v>5973</v>
      </c>
      <c r="M216" s="32" t="s">
        <v>22</v>
      </c>
      <c r="N216" s="33" t="s">
        <v>34</v>
      </c>
      <c r="O216" s="33"/>
      <c r="P216" s="33"/>
    </row>
    <row r="217" spans="1:16" ht="14.25" customHeight="1" x14ac:dyDescent="0.35">
      <c r="A217" s="28" t="s">
        <v>301</v>
      </c>
      <c r="B217" s="29" t="s">
        <v>24</v>
      </c>
      <c r="C217" s="30">
        <v>45502</v>
      </c>
      <c r="D217" s="29" t="s">
        <v>32</v>
      </c>
      <c r="E217" s="28" t="s">
        <v>117</v>
      </c>
      <c r="F217" s="31">
        <v>1509</v>
      </c>
      <c r="G217" s="31">
        <v>88</v>
      </c>
      <c r="H217" s="31">
        <v>163</v>
      </c>
      <c r="I217" s="31">
        <v>30180</v>
      </c>
      <c r="J217" s="31">
        <v>29689</v>
      </c>
      <c r="K217" s="31">
        <v>119</v>
      </c>
      <c r="L217" s="31">
        <f>[1]!Posts_Table[[#This Row],[Likes]]+[1]!Posts_Table[[#This Row],[Shares]]+[1]!Posts_Table[[#This Row],[Comments]]</f>
        <v>1760</v>
      </c>
      <c r="M217" s="32" t="s">
        <v>22</v>
      </c>
      <c r="N217" s="33" t="s">
        <v>34</v>
      </c>
      <c r="O217" s="33"/>
      <c r="P217" s="33"/>
    </row>
    <row r="218" spans="1:16" ht="14.25" customHeight="1" x14ac:dyDescent="0.35">
      <c r="A218" s="28" t="s">
        <v>302</v>
      </c>
      <c r="B218" s="29" t="s">
        <v>38</v>
      </c>
      <c r="C218" s="30">
        <v>45629</v>
      </c>
      <c r="D218" s="29" t="s">
        <v>46</v>
      </c>
      <c r="E218" s="28" t="s">
        <v>51</v>
      </c>
      <c r="F218" s="31">
        <v>4606</v>
      </c>
      <c r="G218" s="31">
        <v>931</v>
      </c>
      <c r="H218" s="31">
        <v>230</v>
      </c>
      <c r="I218" s="31">
        <v>92120</v>
      </c>
      <c r="J218" s="31">
        <v>91440</v>
      </c>
      <c r="K218" s="31">
        <v>56</v>
      </c>
      <c r="L218" s="31">
        <f>[1]!Posts_Table[[#This Row],[Likes]]+[1]!Posts_Table[[#This Row],[Shares]]+[1]!Posts_Table[[#This Row],[Comments]]</f>
        <v>5767</v>
      </c>
      <c r="M218" s="32"/>
      <c r="N218" s="33" t="s">
        <v>27</v>
      </c>
      <c r="O218" s="33"/>
      <c r="P218" s="33"/>
    </row>
    <row r="219" spans="1:16" ht="14.25" customHeight="1" x14ac:dyDescent="0.35">
      <c r="A219" s="28" t="s">
        <v>303</v>
      </c>
      <c r="B219" s="29" t="s">
        <v>38</v>
      </c>
      <c r="C219" s="30">
        <v>45454</v>
      </c>
      <c r="D219" s="29" t="s">
        <v>40</v>
      </c>
      <c r="E219" s="28" t="s">
        <v>41</v>
      </c>
      <c r="F219" s="31">
        <v>1869</v>
      </c>
      <c r="G219" s="31">
        <v>453</v>
      </c>
      <c r="H219" s="31">
        <v>490</v>
      </c>
      <c r="I219" s="31">
        <v>14952</v>
      </c>
      <c r="J219" s="31">
        <v>14309</v>
      </c>
      <c r="K219" s="31">
        <v>275</v>
      </c>
      <c r="L219" s="31">
        <f>[1]!Posts_Table[[#This Row],[Likes]]+[1]!Posts_Table[[#This Row],[Shares]]+[1]!Posts_Table[[#This Row],[Comments]]</f>
        <v>2812</v>
      </c>
      <c r="M219" s="32" t="s">
        <v>35</v>
      </c>
      <c r="N219" s="33" t="s">
        <v>27</v>
      </c>
      <c r="O219" s="33"/>
      <c r="P219" s="33"/>
    </row>
    <row r="220" spans="1:16" ht="14.25" customHeight="1" x14ac:dyDescent="0.35">
      <c r="A220" s="28" t="s">
        <v>304</v>
      </c>
      <c r="B220" s="29" t="s">
        <v>14</v>
      </c>
      <c r="C220" s="30">
        <v>45685</v>
      </c>
      <c r="D220" s="29" t="s">
        <v>16</v>
      </c>
      <c r="E220" s="28" t="s">
        <v>17</v>
      </c>
      <c r="F220" s="31">
        <v>1188</v>
      </c>
      <c r="G220" s="31">
        <v>470</v>
      </c>
      <c r="H220" s="31">
        <v>174</v>
      </c>
      <c r="I220" s="31">
        <v>7128</v>
      </c>
      <c r="J220" s="31">
        <v>6145</v>
      </c>
      <c r="K220" s="31">
        <v>270</v>
      </c>
      <c r="L220" s="31">
        <f>[1]!Posts_Table[[#This Row],[Likes]]+[1]!Posts_Table[[#This Row],[Shares]]+[1]!Posts_Table[[#This Row],[Comments]]</f>
        <v>1832</v>
      </c>
      <c r="M220" s="32" t="s">
        <v>35</v>
      </c>
      <c r="N220" s="33" t="s">
        <v>27</v>
      </c>
      <c r="O220" s="33"/>
      <c r="P220" s="33"/>
    </row>
    <row r="221" spans="1:16" ht="14.25" customHeight="1" x14ac:dyDescent="0.35">
      <c r="A221" s="28" t="s">
        <v>305</v>
      </c>
      <c r="B221" s="29" t="s">
        <v>30</v>
      </c>
      <c r="C221" s="30">
        <v>45445</v>
      </c>
      <c r="D221" s="29" t="s">
        <v>32</v>
      </c>
      <c r="E221" s="28" t="s">
        <v>33</v>
      </c>
      <c r="F221" s="31">
        <v>84</v>
      </c>
      <c r="G221" s="31">
        <v>897</v>
      </c>
      <c r="H221" s="31">
        <v>85</v>
      </c>
      <c r="I221" s="31">
        <v>588</v>
      </c>
      <c r="J221" s="31">
        <v>8</v>
      </c>
      <c r="K221" s="31">
        <v>12</v>
      </c>
      <c r="L221" s="31">
        <f>[1]!Posts_Table[[#This Row],[Likes]]+[1]!Posts_Table[[#This Row],[Shares]]+[1]!Posts_Table[[#This Row],[Comments]]</f>
        <v>1066</v>
      </c>
      <c r="M221" s="32"/>
      <c r="N221" s="33" t="s">
        <v>34</v>
      </c>
      <c r="O221" s="33"/>
      <c r="P221" s="33"/>
    </row>
    <row r="222" spans="1:16" ht="14.25" customHeight="1" x14ac:dyDescent="0.35">
      <c r="A222" s="28" t="s">
        <v>306</v>
      </c>
      <c r="B222" s="29" t="s">
        <v>38</v>
      </c>
      <c r="C222" s="30">
        <v>45739</v>
      </c>
      <c r="D222" s="29" t="s">
        <v>62</v>
      </c>
      <c r="E222" s="28" t="s">
        <v>63</v>
      </c>
      <c r="F222" s="31">
        <v>4453</v>
      </c>
      <c r="G222" s="31">
        <v>111</v>
      </c>
      <c r="H222" s="31">
        <v>420</v>
      </c>
      <c r="I222" s="31">
        <v>31171</v>
      </c>
      <c r="J222" s="31">
        <v>30565</v>
      </c>
      <c r="K222" s="31">
        <v>23</v>
      </c>
      <c r="L222" s="31">
        <f>[1]!Posts_Table[[#This Row],[Likes]]+[1]!Posts_Table[[#This Row],[Shares]]+[1]!Posts_Table[[#This Row],[Comments]]</f>
        <v>4984</v>
      </c>
      <c r="M222" s="32"/>
      <c r="N222" s="33" t="s">
        <v>27</v>
      </c>
      <c r="O222" s="33"/>
      <c r="P222" s="33"/>
    </row>
    <row r="223" spans="1:16" ht="14.25" customHeight="1" x14ac:dyDescent="0.35">
      <c r="A223" s="28" t="s">
        <v>307</v>
      </c>
      <c r="B223" s="29" t="s">
        <v>38</v>
      </c>
      <c r="C223" s="30">
        <v>45573</v>
      </c>
      <c r="D223" s="29" t="s">
        <v>16</v>
      </c>
      <c r="E223" s="28" t="s">
        <v>55</v>
      </c>
      <c r="F223" s="31">
        <v>1814</v>
      </c>
      <c r="G223" s="31">
        <v>653</v>
      </c>
      <c r="H223" s="31">
        <v>363</v>
      </c>
      <c r="I223" s="31">
        <v>25396</v>
      </c>
      <c r="J223" s="31">
        <v>25286</v>
      </c>
      <c r="K223" s="31">
        <v>39</v>
      </c>
      <c r="L223" s="31">
        <f>[1]!Posts_Table[[#This Row],[Likes]]+[1]!Posts_Table[[#This Row],[Shares]]+[1]!Posts_Table[[#This Row],[Comments]]</f>
        <v>2830</v>
      </c>
      <c r="M223" s="32" t="s">
        <v>18</v>
      </c>
      <c r="N223" s="33" t="s">
        <v>53</v>
      </c>
      <c r="O223" s="33" t="s">
        <v>427</v>
      </c>
      <c r="P223" s="33"/>
    </row>
    <row r="224" spans="1:16" ht="14.25" customHeight="1" x14ac:dyDescent="0.35">
      <c r="A224" s="28" t="s">
        <v>308</v>
      </c>
      <c r="B224" s="29" t="s">
        <v>14</v>
      </c>
      <c r="C224" s="30">
        <v>45608</v>
      </c>
      <c r="D224" s="29" t="s">
        <v>46</v>
      </c>
      <c r="E224" s="28" t="s">
        <v>102</v>
      </c>
      <c r="F224" s="31">
        <v>3338</v>
      </c>
      <c r="G224" s="31">
        <v>277</v>
      </c>
      <c r="H224" s="31">
        <v>118</v>
      </c>
      <c r="I224" s="31">
        <v>60084</v>
      </c>
      <c r="J224" s="31">
        <v>59842</v>
      </c>
      <c r="K224" s="31">
        <v>252</v>
      </c>
      <c r="L224" s="31">
        <f>[1]!Posts_Table[[#This Row],[Likes]]+[1]!Posts_Table[[#This Row],[Shares]]+[1]!Posts_Table[[#This Row],[Comments]]</f>
        <v>3733</v>
      </c>
      <c r="M224" s="32"/>
      <c r="N224" s="33" t="s">
        <v>27</v>
      </c>
      <c r="O224" s="33"/>
      <c r="P224" s="33"/>
    </row>
    <row r="225" spans="1:16" ht="14.25" customHeight="1" x14ac:dyDescent="0.35">
      <c r="A225" s="28" t="s">
        <v>309</v>
      </c>
      <c r="B225" s="29" t="s">
        <v>38</v>
      </c>
      <c r="C225" s="30">
        <v>45790</v>
      </c>
      <c r="D225" s="29" t="s">
        <v>46</v>
      </c>
      <c r="E225" s="28" t="s">
        <v>51</v>
      </c>
      <c r="F225" s="31">
        <v>602</v>
      </c>
      <c r="G225" s="31">
        <v>594</v>
      </c>
      <c r="H225" s="31">
        <v>156</v>
      </c>
      <c r="I225" s="31">
        <v>4214</v>
      </c>
      <c r="J225" s="31">
        <v>3363</v>
      </c>
      <c r="K225" s="31">
        <v>164</v>
      </c>
      <c r="L225" s="31">
        <f>[1]!Posts_Table[[#This Row],[Likes]]+[1]!Posts_Table[[#This Row],[Shares]]+[1]!Posts_Table[[#This Row],[Comments]]</f>
        <v>1352</v>
      </c>
      <c r="M225" s="32" t="s">
        <v>28</v>
      </c>
      <c r="N225" s="33" t="s">
        <v>27</v>
      </c>
      <c r="O225" s="33"/>
      <c r="P225" s="33"/>
    </row>
    <row r="226" spans="1:16" ht="14.25" customHeight="1" x14ac:dyDescent="0.35">
      <c r="A226" s="28" t="s">
        <v>310</v>
      </c>
      <c r="B226" s="29" t="s">
        <v>14</v>
      </c>
      <c r="C226" s="30">
        <v>45463</v>
      </c>
      <c r="D226" s="29" t="s">
        <v>40</v>
      </c>
      <c r="E226" s="28" t="s">
        <v>44</v>
      </c>
      <c r="F226" s="31">
        <v>4672</v>
      </c>
      <c r="G226" s="31">
        <v>325</v>
      </c>
      <c r="H226" s="31">
        <v>32</v>
      </c>
      <c r="I226" s="31">
        <v>88768</v>
      </c>
      <c r="J226" s="31">
        <v>87833</v>
      </c>
      <c r="K226" s="31">
        <v>118</v>
      </c>
      <c r="L226" s="31">
        <f>[1]!Posts_Table[[#This Row],[Likes]]+[1]!Posts_Table[[#This Row],[Shares]]+[1]!Posts_Table[[#This Row],[Comments]]</f>
        <v>5029</v>
      </c>
      <c r="M226" s="32"/>
      <c r="N226" s="33" t="s">
        <v>34</v>
      </c>
      <c r="O226" s="33"/>
      <c r="P226" s="33"/>
    </row>
    <row r="227" spans="1:16" ht="14.25" customHeight="1" x14ac:dyDescent="0.35">
      <c r="A227" s="28" t="s">
        <v>311</v>
      </c>
      <c r="B227" s="29" t="s">
        <v>30</v>
      </c>
      <c r="C227" s="30">
        <v>45511</v>
      </c>
      <c r="D227" s="29" t="s">
        <v>40</v>
      </c>
      <c r="E227" s="28" t="s">
        <v>75</v>
      </c>
      <c r="F227" s="31">
        <v>1741</v>
      </c>
      <c r="G227" s="31">
        <v>164</v>
      </c>
      <c r="H227" s="31">
        <v>318</v>
      </c>
      <c r="I227" s="31">
        <v>8705</v>
      </c>
      <c r="J227" s="31">
        <v>8272</v>
      </c>
      <c r="K227" s="31">
        <v>121</v>
      </c>
      <c r="L227" s="31">
        <f>[1]!Posts_Table[[#This Row],[Likes]]+[1]!Posts_Table[[#This Row],[Shares]]+[1]!Posts_Table[[#This Row],[Comments]]</f>
        <v>2223</v>
      </c>
      <c r="M227" s="32"/>
      <c r="N227" s="33" t="s">
        <v>27</v>
      </c>
      <c r="O227" s="33"/>
      <c r="P227" s="33"/>
    </row>
    <row r="228" spans="1:16" ht="14.25" customHeight="1" x14ac:dyDescent="0.35">
      <c r="A228" s="28" t="s">
        <v>312</v>
      </c>
      <c r="B228" s="29" t="s">
        <v>30</v>
      </c>
      <c r="C228" s="30">
        <v>45455</v>
      </c>
      <c r="D228" s="29" t="s">
        <v>20</v>
      </c>
      <c r="E228" s="28" t="s">
        <v>89</v>
      </c>
      <c r="F228" s="31">
        <v>246</v>
      </c>
      <c r="G228" s="31">
        <v>149</v>
      </c>
      <c r="H228" s="31">
        <v>130</v>
      </c>
      <c r="I228" s="31">
        <v>4674</v>
      </c>
      <c r="J228" s="31">
        <v>4390</v>
      </c>
      <c r="K228" s="31">
        <v>217</v>
      </c>
      <c r="L228" s="31">
        <f>[1]!Posts_Table[[#This Row],[Likes]]+[1]!Posts_Table[[#This Row],[Shares]]+[1]!Posts_Table[[#This Row],[Comments]]</f>
        <v>525</v>
      </c>
      <c r="M228" s="32" t="s">
        <v>28</v>
      </c>
      <c r="N228" s="33" t="s">
        <v>53</v>
      </c>
      <c r="O228" s="33"/>
      <c r="P228" s="33"/>
    </row>
    <row r="229" spans="1:16" ht="14.25" customHeight="1" x14ac:dyDescent="0.35">
      <c r="A229" s="28" t="s">
        <v>313</v>
      </c>
      <c r="B229" s="29" t="s">
        <v>30</v>
      </c>
      <c r="C229" s="30">
        <v>45474</v>
      </c>
      <c r="D229" s="29" t="s">
        <v>32</v>
      </c>
      <c r="E229" s="28" t="s">
        <v>33</v>
      </c>
      <c r="F229" s="31">
        <v>4808</v>
      </c>
      <c r="G229" s="31">
        <v>772</v>
      </c>
      <c r="H229" s="31">
        <v>320</v>
      </c>
      <c r="I229" s="31">
        <v>72120</v>
      </c>
      <c r="J229" s="31">
        <v>71696</v>
      </c>
      <c r="K229" s="31">
        <v>195</v>
      </c>
      <c r="L229" s="31">
        <f>[1]!Posts_Table[[#This Row],[Likes]]+[1]!Posts_Table[[#This Row],[Shares]]+[1]!Posts_Table[[#This Row],[Comments]]</f>
        <v>5900</v>
      </c>
      <c r="M229" s="32" t="s">
        <v>18</v>
      </c>
      <c r="N229" s="33" t="s">
        <v>34</v>
      </c>
      <c r="O229" s="33"/>
      <c r="P229" s="33"/>
    </row>
    <row r="230" spans="1:16" ht="14.25" customHeight="1" x14ac:dyDescent="0.35">
      <c r="A230" s="28" t="s">
        <v>315</v>
      </c>
      <c r="B230" s="29" t="s">
        <v>30</v>
      </c>
      <c r="C230" s="30">
        <v>45476</v>
      </c>
      <c r="D230" s="29" t="s">
        <v>40</v>
      </c>
      <c r="E230" s="28" t="s">
        <v>75</v>
      </c>
      <c r="F230" s="31">
        <v>4799</v>
      </c>
      <c r="G230" s="31">
        <v>694</v>
      </c>
      <c r="H230" s="31">
        <v>289</v>
      </c>
      <c r="I230" s="31">
        <v>43191</v>
      </c>
      <c r="J230" s="31">
        <v>42228</v>
      </c>
      <c r="K230" s="31">
        <v>118</v>
      </c>
      <c r="L230" s="31">
        <f>[1]!Posts_Table[[#This Row],[Likes]]+[1]!Posts_Table[[#This Row],[Shares]]+[1]!Posts_Table[[#This Row],[Comments]]</f>
        <v>5782</v>
      </c>
      <c r="M230" s="32"/>
      <c r="N230" s="33" t="s">
        <v>27</v>
      </c>
      <c r="O230" s="33"/>
      <c r="P230" s="33"/>
    </row>
    <row r="231" spans="1:16" ht="14.25" customHeight="1" x14ac:dyDescent="0.35">
      <c r="A231" s="28" t="s">
        <v>316</v>
      </c>
      <c r="B231" s="29" t="s">
        <v>38</v>
      </c>
      <c r="C231" s="30">
        <v>45488</v>
      </c>
      <c r="D231" s="29" t="s">
        <v>16</v>
      </c>
      <c r="E231" s="28" t="s">
        <v>55</v>
      </c>
      <c r="F231" s="31">
        <v>3663</v>
      </c>
      <c r="G231" s="31">
        <v>17</v>
      </c>
      <c r="H231" s="31">
        <v>295</v>
      </c>
      <c r="I231" s="31">
        <v>51282</v>
      </c>
      <c r="J231" s="31">
        <v>50567</v>
      </c>
      <c r="K231" s="31">
        <v>84</v>
      </c>
      <c r="L231" s="31">
        <f>[1]!Posts_Table[[#This Row],[Likes]]+[1]!Posts_Table[[#This Row],[Shares]]+[1]!Posts_Table[[#This Row],[Comments]]</f>
        <v>3975</v>
      </c>
      <c r="M231" s="32" t="s">
        <v>28</v>
      </c>
      <c r="N231" s="33" t="s">
        <v>34</v>
      </c>
      <c r="O231" s="33"/>
      <c r="P231" s="33"/>
    </row>
    <row r="232" spans="1:16" ht="14.25" customHeight="1" x14ac:dyDescent="0.35">
      <c r="A232" s="28" t="s">
        <v>317</v>
      </c>
      <c r="B232" s="29" t="s">
        <v>30</v>
      </c>
      <c r="C232" s="30">
        <v>45778</v>
      </c>
      <c r="D232" s="29" t="s">
        <v>20</v>
      </c>
      <c r="E232" s="28" t="s">
        <v>89</v>
      </c>
      <c r="F232" s="31">
        <v>1430</v>
      </c>
      <c r="G232" s="31">
        <v>376</v>
      </c>
      <c r="H232" s="31">
        <v>33</v>
      </c>
      <c r="I232" s="31">
        <v>21450</v>
      </c>
      <c r="J232" s="31">
        <v>20509</v>
      </c>
      <c r="K232" s="31">
        <v>251</v>
      </c>
      <c r="L232" s="31">
        <f>[1]!Posts_Table[[#This Row],[Likes]]+[1]!Posts_Table[[#This Row],[Shares]]+[1]!Posts_Table[[#This Row],[Comments]]</f>
        <v>1839</v>
      </c>
      <c r="M232" s="32" t="s">
        <v>18</v>
      </c>
      <c r="N232" s="33" t="s">
        <v>53</v>
      </c>
      <c r="O232" s="33"/>
      <c r="P232" s="33"/>
    </row>
    <row r="233" spans="1:16" ht="14.25" customHeight="1" x14ac:dyDescent="0.35">
      <c r="A233" s="28" t="s">
        <v>318</v>
      </c>
      <c r="B233" s="29" t="s">
        <v>14</v>
      </c>
      <c r="C233" s="30">
        <v>45776</v>
      </c>
      <c r="D233" s="29" t="s">
        <v>32</v>
      </c>
      <c r="E233" s="28" t="s">
        <v>113</v>
      </c>
      <c r="F233" s="31">
        <v>249</v>
      </c>
      <c r="G233" s="31">
        <v>592</v>
      </c>
      <c r="H233" s="31">
        <v>230</v>
      </c>
      <c r="I233" s="31">
        <v>1494</v>
      </c>
      <c r="J233" s="31">
        <v>1044</v>
      </c>
      <c r="K233" s="31">
        <v>201</v>
      </c>
      <c r="L233" s="31">
        <f>[1]!Posts_Table[[#This Row],[Likes]]+[1]!Posts_Table[[#This Row],[Shares]]+[1]!Posts_Table[[#This Row],[Comments]]</f>
        <v>1071</v>
      </c>
      <c r="M233" s="32" t="s">
        <v>35</v>
      </c>
      <c r="N233" s="33" t="s">
        <v>34</v>
      </c>
      <c r="O233" s="33"/>
      <c r="P233" s="33"/>
    </row>
    <row r="234" spans="1:16" ht="14.25" customHeight="1" x14ac:dyDescent="0.35">
      <c r="A234" s="28" t="s">
        <v>319</v>
      </c>
      <c r="B234" s="29" t="s">
        <v>38</v>
      </c>
      <c r="C234" s="30">
        <v>45724</v>
      </c>
      <c r="D234" s="29" t="s">
        <v>46</v>
      </c>
      <c r="E234" s="28" t="s">
        <v>51</v>
      </c>
      <c r="F234" s="31">
        <v>2382</v>
      </c>
      <c r="G234" s="31">
        <v>265</v>
      </c>
      <c r="H234" s="31">
        <v>134</v>
      </c>
      <c r="I234" s="31">
        <v>38112</v>
      </c>
      <c r="J234" s="31">
        <v>37437</v>
      </c>
      <c r="K234" s="31">
        <v>249</v>
      </c>
      <c r="L234" s="31">
        <f>[1]!Posts_Table[[#This Row],[Likes]]+[1]!Posts_Table[[#This Row],[Shares]]+[1]!Posts_Table[[#This Row],[Comments]]</f>
        <v>2781</v>
      </c>
      <c r="M234" s="32" t="s">
        <v>35</v>
      </c>
      <c r="N234" s="33" t="s">
        <v>53</v>
      </c>
      <c r="O234" s="33"/>
      <c r="P234" s="33"/>
    </row>
    <row r="235" spans="1:16" ht="14.25" customHeight="1" x14ac:dyDescent="0.35">
      <c r="A235" s="28" t="s">
        <v>320</v>
      </c>
      <c r="B235" s="29" t="s">
        <v>38</v>
      </c>
      <c r="C235" s="30">
        <v>45444</v>
      </c>
      <c r="D235" s="29" t="s">
        <v>20</v>
      </c>
      <c r="E235" s="28" t="s">
        <v>49</v>
      </c>
      <c r="F235" s="31">
        <v>1272</v>
      </c>
      <c r="G235" s="31">
        <v>465</v>
      </c>
      <c r="H235" s="31">
        <v>99</v>
      </c>
      <c r="I235" s="31">
        <v>24168</v>
      </c>
      <c r="J235" s="31">
        <v>23719</v>
      </c>
      <c r="K235" s="31">
        <v>42</v>
      </c>
      <c r="L235" s="31">
        <f>[1]!Posts_Table[[#This Row],[Likes]]+[1]!Posts_Table[[#This Row],[Shares]]+[1]!Posts_Table[[#This Row],[Comments]]</f>
        <v>1836</v>
      </c>
      <c r="M235" s="32"/>
      <c r="N235" s="33" t="s">
        <v>27</v>
      </c>
      <c r="O235" s="33"/>
      <c r="P235" s="33"/>
    </row>
    <row r="236" spans="1:16" ht="14.25" customHeight="1" x14ac:dyDescent="0.35">
      <c r="A236" s="28" t="s">
        <v>321</v>
      </c>
      <c r="B236" s="29" t="s">
        <v>38</v>
      </c>
      <c r="C236" s="30">
        <v>45648</v>
      </c>
      <c r="D236" s="29" t="s">
        <v>46</v>
      </c>
      <c r="E236" s="28" t="s">
        <v>51</v>
      </c>
      <c r="F236" s="31">
        <v>3196</v>
      </c>
      <c r="G236" s="31">
        <v>941</v>
      </c>
      <c r="H236" s="31">
        <v>376</v>
      </c>
      <c r="I236" s="31">
        <v>35156</v>
      </c>
      <c r="J236" s="31">
        <v>34444</v>
      </c>
      <c r="K236" s="31">
        <v>241</v>
      </c>
      <c r="L236" s="31">
        <f>[1]!Posts_Table[[#This Row],[Likes]]+[1]!Posts_Table[[#This Row],[Shares]]+[1]!Posts_Table[[#This Row],[Comments]]</f>
        <v>4513</v>
      </c>
      <c r="M236" s="32" t="s">
        <v>28</v>
      </c>
      <c r="N236" s="33" t="s">
        <v>27</v>
      </c>
      <c r="O236" s="33"/>
      <c r="P236" s="33"/>
    </row>
    <row r="237" spans="1:16" ht="14.25" customHeight="1" x14ac:dyDescent="0.35">
      <c r="A237" s="28" t="s">
        <v>322</v>
      </c>
      <c r="B237" s="29" t="s">
        <v>38</v>
      </c>
      <c r="C237" s="30">
        <v>45523</v>
      </c>
      <c r="D237" s="29" t="s">
        <v>20</v>
      </c>
      <c r="E237" s="28" t="s">
        <v>49</v>
      </c>
      <c r="F237" s="31">
        <v>1257</v>
      </c>
      <c r="G237" s="31">
        <v>19</v>
      </c>
      <c r="H237" s="31">
        <v>351</v>
      </c>
      <c r="I237" s="31">
        <v>12570</v>
      </c>
      <c r="J237" s="31">
        <v>11660</v>
      </c>
      <c r="K237" s="31">
        <v>194</v>
      </c>
      <c r="L237" s="31">
        <f>[1]!Posts_Table[[#This Row],[Likes]]+[1]!Posts_Table[[#This Row],[Shares]]+[1]!Posts_Table[[#This Row],[Comments]]</f>
        <v>1627</v>
      </c>
      <c r="M237" s="32" t="s">
        <v>22</v>
      </c>
      <c r="N237" s="33" t="s">
        <v>53</v>
      </c>
      <c r="O237" s="33" t="s">
        <v>431</v>
      </c>
      <c r="P237" s="33" t="s">
        <v>34</v>
      </c>
    </row>
    <row r="238" spans="1:16" ht="14.25" customHeight="1" x14ac:dyDescent="0.35">
      <c r="A238" s="28" t="s">
        <v>323</v>
      </c>
      <c r="B238" s="29" t="s">
        <v>30</v>
      </c>
      <c r="C238" s="30">
        <v>45587</v>
      </c>
      <c r="D238" s="29" t="s">
        <v>32</v>
      </c>
      <c r="E238" s="28" t="s">
        <v>33</v>
      </c>
      <c r="F238" s="31">
        <v>3770</v>
      </c>
      <c r="G238" s="31">
        <v>917</v>
      </c>
      <c r="H238" s="31">
        <v>129</v>
      </c>
      <c r="I238" s="31">
        <v>71630</v>
      </c>
      <c r="J238" s="31">
        <v>71322</v>
      </c>
      <c r="K238" s="31">
        <v>76</v>
      </c>
      <c r="L238" s="31">
        <f>[1]!Posts_Table[[#This Row],[Likes]]+[1]!Posts_Table[[#This Row],[Shares]]+[1]!Posts_Table[[#This Row],[Comments]]</f>
        <v>4816</v>
      </c>
      <c r="M238" s="32" t="s">
        <v>18</v>
      </c>
      <c r="N238" s="33" t="s">
        <v>53</v>
      </c>
      <c r="O238" s="33"/>
      <c r="P238" s="33"/>
    </row>
    <row r="239" spans="1:16" ht="14.25" customHeight="1" x14ac:dyDescent="0.35">
      <c r="A239" s="28" t="s">
        <v>324</v>
      </c>
      <c r="B239" s="29" t="s">
        <v>14</v>
      </c>
      <c r="C239" s="30">
        <v>45489</v>
      </c>
      <c r="D239" s="29" t="s">
        <v>20</v>
      </c>
      <c r="E239" s="28" t="s">
        <v>21</v>
      </c>
      <c r="F239" s="31">
        <v>4725</v>
      </c>
      <c r="G239" s="31">
        <v>400</v>
      </c>
      <c r="H239" s="31">
        <v>362</v>
      </c>
      <c r="I239" s="31">
        <v>75600</v>
      </c>
      <c r="J239" s="31">
        <v>74927</v>
      </c>
      <c r="K239" s="31">
        <v>43</v>
      </c>
      <c r="L239" s="31">
        <f>[1]!Posts_Table[[#This Row],[Likes]]+[1]!Posts_Table[[#This Row],[Shares]]+[1]!Posts_Table[[#This Row],[Comments]]</f>
        <v>5487</v>
      </c>
      <c r="M239" s="32" t="s">
        <v>35</v>
      </c>
      <c r="N239" s="33" t="s">
        <v>53</v>
      </c>
      <c r="O239" s="33"/>
      <c r="P239" s="33"/>
    </row>
    <row r="240" spans="1:16" ht="14.25" customHeight="1" x14ac:dyDescent="0.35">
      <c r="A240" s="28" t="s">
        <v>325</v>
      </c>
      <c r="B240" s="29" t="s">
        <v>24</v>
      </c>
      <c r="C240" s="30">
        <v>45712</v>
      </c>
      <c r="D240" s="29" t="s">
        <v>20</v>
      </c>
      <c r="E240" s="28" t="s">
        <v>83</v>
      </c>
      <c r="F240" s="31">
        <v>4188</v>
      </c>
      <c r="G240" s="31">
        <v>942</v>
      </c>
      <c r="H240" s="31">
        <v>118</v>
      </c>
      <c r="I240" s="31">
        <v>20940</v>
      </c>
      <c r="J240" s="31">
        <v>20471</v>
      </c>
      <c r="K240" s="31">
        <v>102</v>
      </c>
      <c r="L240" s="31">
        <f>[1]!Posts_Table[[#This Row],[Likes]]+[1]!Posts_Table[[#This Row],[Shares]]+[1]!Posts_Table[[#This Row],[Comments]]</f>
        <v>5248</v>
      </c>
      <c r="M240" s="32"/>
      <c r="N240" s="33" t="s">
        <v>53</v>
      </c>
      <c r="O240" s="33"/>
      <c r="P240" s="33"/>
    </row>
    <row r="241" spans="1:16" ht="14.25" customHeight="1" x14ac:dyDescent="0.35">
      <c r="A241" s="28" t="s">
        <v>326</v>
      </c>
      <c r="B241" s="29" t="s">
        <v>14</v>
      </c>
      <c r="C241" s="30">
        <v>45530</v>
      </c>
      <c r="D241" s="29" t="s">
        <v>40</v>
      </c>
      <c r="E241" s="28" t="s">
        <v>44</v>
      </c>
      <c r="F241" s="31">
        <v>929</v>
      </c>
      <c r="G241" s="31">
        <v>192</v>
      </c>
      <c r="H241" s="31">
        <v>322</v>
      </c>
      <c r="I241" s="31">
        <v>16722</v>
      </c>
      <c r="J241" s="31">
        <v>15996</v>
      </c>
      <c r="K241" s="31">
        <v>145</v>
      </c>
      <c r="L241" s="31">
        <f>[1]!Posts_Table[[#This Row],[Likes]]+[1]!Posts_Table[[#This Row],[Shares]]+[1]!Posts_Table[[#This Row],[Comments]]</f>
        <v>1443</v>
      </c>
      <c r="M241" s="32" t="s">
        <v>28</v>
      </c>
      <c r="N241" s="33" t="s">
        <v>34</v>
      </c>
      <c r="O241" s="33" t="s">
        <v>27</v>
      </c>
      <c r="P241" s="33" t="s">
        <v>431</v>
      </c>
    </row>
    <row r="242" spans="1:16" ht="14.25" customHeight="1" x14ac:dyDescent="0.35">
      <c r="A242" s="28" t="s">
        <v>327</v>
      </c>
      <c r="B242" s="29" t="s">
        <v>38</v>
      </c>
      <c r="C242" s="30">
        <v>45675</v>
      </c>
      <c r="D242" s="29" t="s">
        <v>32</v>
      </c>
      <c r="E242" s="28" t="s">
        <v>60</v>
      </c>
      <c r="F242" s="31">
        <v>4321</v>
      </c>
      <c r="G242" s="31">
        <v>874</v>
      </c>
      <c r="H242" s="31">
        <v>172</v>
      </c>
      <c r="I242" s="31">
        <v>30247</v>
      </c>
      <c r="J242" s="31">
        <v>29254</v>
      </c>
      <c r="K242" s="31">
        <v>122</v>
      </c>
      <c r="L242" s="31">
        <f>[1]!Posts_Table[[#This Row],[Likes]]+[1]!Posts_Table[[#This Row],[Shares]]+[1]!Posts_Table[[#This Row],[Comments]]</f>
        <v>5367</v>
      </c>
      <c r="M242" s="32" t="s">
        <v>35</v>
      </c>
      <c r="N242" s="33" t="s">
        <v>27</v>
      </c>
      <c r="O242" s="33"/>
      <c r="P242" s="33"/>
    </row>
    <row r="243" spans="1:16" ht="14.25" customHeight="1" x14ac:dyDescent="0.35">
      <c r="A243" s="28" t="s">
        <v>328</v>
      </c>
      <c r="B243" s="29" t="s">
        <v>38</v>
      </c>
      <c r="C243" s="30">
        <v>45480</v>
      </c>
      <c r="D243" s="29" t="s">
        <v>16</v>
      </c>
      <c r="E243" s="28" t="s">
        <v>55</v>
      </c>
      <c r="F243" s="31">
        <v>4767</v>
      </c>
      <c r="G243" s="31">
        <v>190</v>
      </c>
      <c r="H243" s="31">
        <v>340</v>
      </c>
      <c r="I243" s="31">
        <v>28602</v>
      </c>
      <c r="J243" s="31">
        <v>28044</v>
      </c>
      <c r="K243" s="31">
        <v>210</v>
      </c>
      <c r="L243" s="31">
        <f>[1]!Posts_Table[[#This Row],[Likes]]+[1]!Posts_Table[[#This Row],[Shares]]+[1]!Posts_Table[[#This Row],[Comments]]</f>
        <v>5297</v>
      </c>
      <c r="M243" s="32" t="s">
        <v>28</v>
      </c>
      <c r="N243" s="33" t="s">
        <v>34</v>
      </c>
      <c r="O243" s="33"/>
      <c r="P243" s="33"/>
    </row>
    <row r="244" spans="1:16" ht="14.25" customHeight="1" x14ac:dyDescent="0.35">
      <c r="A244" s="28" t="s">
        <v>329</v>
      </c>
      <c r="B244" s="29" t="s">
        <v>14</v>
      </c>
      <c r="C244" s="30">
        <v>45722</v>
      </c>
      <c r="D244" s="29" t="s">
        <v>46</v>
      </c>
      <c r="E244" s="28" t="s">
        <v>102</v>
      </c>
      <c r="F244" s="31">
        <v>3592</v>
      </c>
      <c r="G244" s="31">
        <v>911</v>
      </c>
      <c r="H244" s="31">
        <v>375</v>
      </c>
      <c r="I244" s="31">
        <v>50288</v>
      </c>
      <c r="J244" s="31">
        <v>49490</v>
      </c>
      <c r="K244" s="31">
        <v>32</v>
      </c>
      <c r="L244" s="31">
        <f>[1]!Posts_Table[[#This Row],[Likes]]+[1]!Posts_Table[[#This Row],[Shares]]+[1]!Posts_Table[[#This Row],[Comments]]</f>
        <v>4878</v>
      </c>
      <c r="M244" s="32" t="s">
        <v>35</v>
      </c>
      <c r="N244" s="33" t="s">
        <v>53</v>
      </c>
      <c r="O244" s="33"/>
      <c r="P244" s="33"/>
    </row>
    <row r="245" spans="1:16" ht="14.25" customHeight="1" x14ac:dyDescent="0.35">
      <c r="A245" s="28" t="s">
        <v>330</v>
      </c>
      <c r="B245" s="29" t="s">
        <v>24</v>
      </c>
      <c r="C245" s="30">
        <v>45590</v>
      </c>
      <c r="D245" s="29" t="s">
        <v>62</v>
      </c>
      <c r="E245" s="28" t="s">
        <v>157</v>
      </c>
      <c r="F245" s="31">
        <v>4661</v>
      </c>
      <c r="G245" s="31">
        <v>935</v>
      </c>
      <c r="H245" s="31">
        <v>433</v>
      </c>
      <c r="I245" s="31">
        <v>23305</v>
      </c>
      <c r="J245" s="31">
        <v>22583</v>
      </c>
      <c r="K245" s="31">
        <v>63</v>
      </c>
      <c r="L245" s="31">
        <f>[1]!Posts_Table[[#This Row],[Likes]]+[1]!Posts_Table[[#This Row],[Shares]]+[1]!Posts_Table[[#This Row],[Comments]]</f>
        <v>6029</v>
      </c>
      <c r="M245" s="32" t="s">
        <v>28</v>
      </c>
      <c r="N245" s="33" t="s">
        <v>53</v>
      </c>
      <c r="O245" s="33"/>
      <c r="P245" s="33"/>
    </row>
    <row r="246" spans="1:16" ht="14.25" customHeight="1" x14ac:dyDescent="0.35">
      <c r="A246" s="28" t="s">
        <v>331</v>
      </c>
      <c r="B246" s="29" t="s">
        <v>38</v>
      </c>
      <c r="C246" s="30">
        <v>45669</v>
      </c>
      <c r="D246" s="29" t="s">
        <v>16</v>
      </c>
      <c r="E246" s="28" t="s">
        <v>55</v>
      </c>
      <c r="F246" s="31">
        <v>4134</v>
      </c>
      <c r="G246" s="31">
        <v>824</v>
      </c>
      <c r="H246" s="31">
        <v>99</v>
      </c>
      <c r="I246" s="31">
        <v>41340</v>
      </c>
      <c r="J246" s="31">
        <v>41050</v>
      </c>
      <c r="K246" s="31">
        <v>177</v>
      </c>
      <c r="L246" s="31">
        <f>[1]!Posts_Table[[#This Row],[Likes]]+[1]!Posts_Table[[#This Row],[Shares]]+[1]!Posts_Table[[#This Row],[Comments]]</f>
        <v>5057</v>
      </c>
      <c r="M246" s="32" t="s">
        <v>18</v>
      </c>
      <c r="N246" s="33" t="s">
        <v>34</v>
      </c>
      <c r="O246" s="33"/>
      <c r="P246" s="33"/>
    </row>
    <row r="247" spans="1:16" ht="14.25" customHeight="1" x14ac:dyDescent="0.35">
      <c r="A247" s="28" t="s">
        <v>332</v>
      </c>
      <c r="B247" s="29" t="s">
        <v>38</v>
      </c>
      <c r="C247" s="30">
        <v>45576</v>
      </c>
      <c r="D247" s="29" t="s">
        <v>46</v>
      </c>
      <c r="E247" s="28" t="s">
        <v>51</v>
      </c>
      <c r="F247" s="31">
        <v>400</v>
      </c>
      <c r="G247" s="31">
        <v>680</v>
      </c>
      <c r="H247" s="31">
        <v>434</v>
      </c>
      <c r="I247" s="31">
        <v>6400</v>
      </c>
      <c r="J247" s="31">
        <v>5472</v>
      </c>
      <c r="K247" s="31">
        <v>160</v>
      </c>
      <c r="L247" s="31">
        <f>[1]!Posts_Table[[#This Row],[Likes]]+[1]!Posts_Table[[#This Row],[Shares]]+[1]!Posts_Table[[#This Row],[Comments]]</f>
        <v>1514</v>
      </c>
      <c r="M247" s="32" t="s">
        <v>22</v>
      </c>
      <c r="N247" s="33" t="s">
        <v>53</v>
      </c>
      <c r="O247" s="33"/>
      <c r="P247" s="33"/>
    </row>
    <row r="248" spans="1:16" ht="14.25" customHeight="1" x14ac:dyDescent="0.35">
      <c r="A248" s="28" t="s">
        <v>333</v>
      </c>
      <c r="B248" s="29" t="s">
        <v>38</v>
      </c>
      <c r="C248" s="30">
        <v>45531</v>
      </c>
      <c r="D248" s="29" t="s">
        <v>16</v>
      </c>
      <c r="E248" s="28" t="s">
        <v>55</v>
      </c>
      <c r="F248" s="31">
        <v>3960</v>
      </c>
      <c r="G248" s="31">
        <v>266</v>
      </c>
      <c r="H248" s="31">
        <v>8</v>
      </c>
      <c r="I248" s="31">
        <v>35640</v>
      </c>
      <c r="J248" s="31">
        <v>34850</v>
      </c>
      <c r="K248" s="31">
        <v>208</v>
      </c>
      <c r="L248" s="31">
        <f>[1]!Posts_Table[[#This Row],[Likes]]+[1]!Posts_Table[[#This Row],[Shares]]+[1]!Posts_Table[[#This Row],[Comments]]</f>
        <v>4234</v>
      </c>
      <c r="M248" s="32"/>
      <c r="N248" s="33" t="s">
        <v>53</v>
      </c>
      <c r="O248" s="33" t="s">
        <v>34</v>
      </c>
      <c r="P248" s="33" t="s">
        <v>432</v>
      </c>
    </row>
    <row r="249" spans="1:16" ht="14.25" customHeight="1" x14ac:dyDescent="0.35">
      <c r="A249" s="28" t="s">
        <v>334</v>
      </c>
      <c r="B249" s="29" t="s">
        <v>38</v>
      </c>
      <c r="C249" s="30">
        <v>45690</v>
      </c>
      <c r="D249" s="29" t="s">
        <v>32</v>
      </c>
      <c r="E249" s="28" t="s">
        <v>60</v>
      </c>
      <c r="F249" s="31">
        <v>886</v>
      </c>
      <c r="G249" s="31">
        <v>126</v>
      </c>
      <c r="H249" s="31">
        <v>153</v>
      </c>
      <c r="I249" s="31">
        <v>4430</v>
      </c>
      <c r="J249" s="31">
        <v>4037</v>
      </c>
      <c r="K249" s="31">
        <v>212</v>
      </c>
      <c r="L249" s="31">
        <f>[1]!Posts_Table[[#This Row],[Likes]]+[1]!Posts_Table[[#This Row],[Shares]]+[1]!Posts_Table[[#This Row],[Comments]]</f>
        <v>1165</v>
      </c>
      <c r="M249" s="32"/>
      <c r="N249" s="33" t="s">
        <v>34</v>
      </c>
      <c r="O249" s="33"/>
      <c r="P249" s="33"/>
    </row>
    <row r="250" spans="1:16" ht="14.25" customHeight="1" x14ac:dyDescent="0.35">
      <c r="A250" s="28" t="s">
        <v>335</v>
      </c>
      <c r="B250" s="29" t="s">
        <v>14</v>
      </c>
      <c r="C250" s="30">
        <v>45491</v>
      </c>
      <c r="D250" s="29" t="s">
        <v>46</v>
      </c>
      <c r="E250" s="28" t="s">
        <v>102</v>
      </c>
      <c r="F250" s="31">
        <v>827</v>
      </c>
      <c r="G250" s="31">
        <v>77</v>
      </c>
      <c r="H250" s="31">
        <v>402</v>
      </c>
      <c r="I250" s="31">
        <v>14886</v>
      </c>
      <c r="J250" s="31">
        <v>14129</v>
      </c>
      <c r="K250" s="31">
        <v>254</v>
      </c>
      <c r="L250" s="31">
        <f>[1]!Posts_Table[[#This Row],[Likes]]+[1]!Posts_Table[[#This Row],[Shares]]+[1]!Posts_Table[[#This Row],[Comments]]</f>
        <v>1306</v>
      </c>
      <c r="M250" s="32" t="s">
        <v>22</v>
      </c>
      <c r="N250" s="33" t="s">
        <v>34</v>
      </c>
      <c r="O250" s="33"/>
      <c r="P250" s="33"/>
    </row>
    <row r="251" spans="1:16" ht="14.25" customHeight="1" x14ac:dyDescent="0.35">
      <c r="A251" s="28" t="s">
        <v>336</v>
      </c>
      <c r="B251" s="29" t="s">
        <v>38</v>
      </c>
      <c r="C251" s="30">
        <v>45465</v>
      </c>
      <c r="D251" s="29" t="s">
        <v>16</v>
      </c>
      <c r="E251" s="28" t="s">
        <v>55</v>
      </c>
      <c r="F251" s="31">
        <v>3813</v>
      </c>
      <c r="G251" s="31">
        <v>935</v>
      </c>
      <c r="H251" s="31">
        <v>274</v>
      </c>
      <c r="I251" s="31">
        <v>68634</v>
      </c>
      <c r="J251" s="31">
        <v>68488</v>
      </c>
      <c r="K251" s="31">
        <v>251</v>
      </c>
      <c r="L251" s="31">
        <f>[1]!Posts_Table[[#This Row],[Likes]]+[1]!Posts_Table[[#This Row],[Shares]]+[1]!Posts_Table[[#This Row],[Comments]]</f>
        <v>5022</v>
      </c>
      <c r="M251" s="32"/>
      <c r="N251" s="33" t="s">
        <v>53</v>
      </c>
      <c r="O251" s="33"/>
      <c r="P251" s="33"/>
    </row>
    <row r="252" spans="1:16" ht="14.25" customHeight="1" x14ac:dyDescent="0.35">
      <c r="A252" s="28" t="s">
        <v>337</v>
      </c>
      <c r="B252" s="29" t="s">
        <v>30</v>
      </c>
      <c r="C252" s="30">
        <v>45743</v>
      </c>
      <c r="D252" s="29" t="s">
        <v>40</v>
      </c>
      <c r="E252" s="28" t="s">
        <v>75</v>
      </c>
      <c r="F252" s="31">
        <v>1377</v>
      </c>
      <c r="G252" s="31">
        <v>796</v>
      </c>
      <c r="H252" s="31">
        <v>387</v>
      </c>
      <c r="I252" s="31">
        <v>22032</v>
      </c>
      <c r="J252" s="31">
        <v>21869</v>
      </c>
      <c r="K252" s="31">
        <v>189</v>
      </c>
      <c r="L252" s="31">
        <f>[1]!Posts_Table[[#This Row],[Likes]]+[1]!Posts_Table[[#This Row],[Shares]]+[1]!Posts_Table[[#This Row],[Comments]]</f>
        <v>2560</v>
      </c>
      <c r="M252" s="32"/>
      <c r="N252" s="33" t="s">
        <v>53</v>
      </c>
      <c r="O252" s="33"/>
      <c r="P252" s="33"/>
    </row>
    <row r="253" spans="1:16" ht="14.25" customHeight="1" x14ac:dyDescent="0.35">
      <c r="A253" s="28" t="s">
        <v>338</v>
      </c>
      <c r="B253" s="29" t="s">
        <v>38</v>
      </c>
      <c r="C253" s="30">
        <v>45775</v>
      </c>
      <c r="D253" s="29" t="s">
        <v>40</v>
      </c>
      <c r="E253" s="28" t="s">
        <v>41</v>
      </c>
      <c r="F253" s="31">
        <v>2089</v>
      </c>
      <c r="G253" s="31">
        <v>476</v>
      </c>
      <c r="H253" s="31">
        <v>69</v>
      </c>
      <c r="I253" s="31">
        <v>16712</v>
      </c>
      <c r="J253" s="31">
        <v>16309</v>
      </c>
      <c r="K253" s="31">
        <v>64</v>
      </c>
      <c r="L253" s="31">
        <f>[1]!Posts_Table[[#This Row],[Likes]]+[1]!Posts_Table[[#This Row],[Shares]]+[1]!Posts_Table[[#This Row],[Comments]]</f>
        <v>2634</v>
      </c>
      <c r="M253" s="32" t="s">
        <v>28</v>
      </c>
      <c r="N253" s="33" t="s">
        <v>53</v>
      </c>
      <c r="O253" s="33"/>
      <c r="P253" s="33"/>
    </row>
    <row r="254" spans="1:16" ht="14.25" customHeight="1" x14ac:dyDescent="0.35">
      <c r="A254" s="28" t="s">
        <v>339</v>
      </c>
      <c r="B254" s="29" t="s">
        <v>14</v>
      </c>
      <c r="C254" s="30">
        <v>45507</v>
      </c>
      <c r="D254" s="29" t="s">
        <v>16</v>
      </c>
      <c r="E254" s="28" t="s">
        <v>17</v>
      </c>
      <c r="F254" s="31">
        <v>3791</v>
      </c>
      <c r="G254" s="31">
        <v>593</v>
      </c>
      <c r="H254" s="31">
        <v>228</v>
      </c>
      <c r="I254" s="31">
        <v>53074</v>
      </c>
      <c r="J254" s="31">
        <v>52613</v>
      </c>
      <c r="K254" s="31">
        <v>205</v>
      </c>
      <c r="L254" s="31">
        <f>[1]!Posts_Table[[#This Row],[Likes]]+[1]!Posts_Table[[#This Row],[Shares]]+[1]!Posts_Table[[#This Row],[Comments]]</f>
        <v>4612</v>
      </c>
      <c r="M254" s="32"/>
      <c r="N254" s="33" t="s">
        <v>34</v>
      </c>
      <c r="O254" s="33"/>
      <c r="P254" s="33"/>
    </row>
    <row r="255" spans="1:16" ht="14.25" customHeight="1" x14ac:dyDescent="0.35">
      <c r="A255" s="28" t="s">
        <v>340</v>
      </c>
      <c r="B255" s="29" t="s">
        <v>14</v>
      </c>
      <c r="C255" s="30">
        <v>45671</v>
      </c>
      <c r="D255" s="29" t="s">
        <v>46</v>
      </c>
      <c r="E255" s="28" t="s">
        <v>102</v>
      </c>
      <c r="F255" s="31">
        <v>2692</v>
      </c>
      <c r="G255" s="31">
        <v>115</v>
      </c>
      <c r="H255" s="31">
        <v>64</v>
      </c>
      <c r="I255" s="31">
        <v>21536</v>
      </c>
      <c r="J255" s="31">
        <v>21120</v>
      </c>
      <c r="K255" s="31">
        <v>224</v>
      </c>
      <c r="L255" s="31">
        <f>[1]!Posts_Table[[#This Row],[Likes]]+[1]!Posts_Table[[#This Row],[Shares]]+[1]!Posts_Table[[#This Row],[Comments]]</f>
        <v>2871</v>
      </c>
      <c r="M255" s="32" t="s">
        <v>22</v>
      </c>
      <c r="N255" s="33" t="s">
        <v>53</v>
      </c>
      <c r="O255" s="33"/>
      <c r="P255" s="33"/>
    </row>
    <row r="256" spans="1:16" ht="14.25" customHeight="1" x14ac:dyDescent="0.35">
      <c r="A256" s="28" t="s">
        <v>341</v>
      </c>
      <c r="B256" s="29" t="s">
        <v>38</v>
      </c>
      <c r="C256" s="30">
        <v>45750</v>
      </c>
      <c r="D256" s="29" t="s">
        <v>32</v>
      </c>
      <c r="E256" s="28" t="s">
        <v>60</v>
      </c>
      <c r="F256" s="31">
        <v>3767</v>
      </c>
      <c r="G256" s="31">
        <v>514</v>
      </c>
      <c r="H256" s="31">
        <v>238</v>
      </c>
      <c r="I256" s="31">
        <v>37670</v>
      </c>
      <c r="J256" s="31">
        <v>36807</v>
      </c>
      <c r="K256" s="31">
        <v>226</v>
      </c>
      <c r="L256" s="31">
        <f>[1]!Posts_Table[[#This Row],[Likes]]+[1]!Posts_Table[[#This Row],[Shares]]+[1]!Posts_Table[[#This Row],[Comments]]</f>
        <v>4519</v>
      </c>
      <c r="M256" s="32" t="s">
        <v>35</v>
      </c>
      <c r="N256" s="33" t="s">
        <v>53</v>
      </c>
      <c r="O256" s="33"/>
      <c r="P256" s="33"/>
    </row>
    <row r="257" spans="1:16" ht="14.25" customHeight="1" x14ac:dyDescent="0.35">
      <c r="A257" s="28" t="s">
        <v>342</v>
      </c>
      <c r="B257" s="29" t="s">
        <v>24</v>
      </c>
      <c r="C257" s="30">
        <v>45553</v>
      </c>
      <c r="D257" s="29" t="s">
        <v>40</v>
      </c>
      <c r="E257" s="28" t="s">
        <v>58</v>
      </c>
      <c r="F257" s="31">
        <v>2143</v>
      </c>
      <c r="G257" s="31">
        <v>12</v>
      </c>
      <c r="H257" s="31">
        <v>204</v>
      </c>
      <c r="I257" s="31">
        <v>40717</v>
      </c>
      <c r="J257" s="31">
        <v>40125</v>
      </c>
      <c r="K257" s="31">
        <v>248</v>
      </c>
      <c r="L257" s="31">
        <f>[1]!Posts_Table[[#This Row],[Likes]]+[1]!Posts_Table[[#This Row],[Shares]]+[1]!Posts_Table[[#This Row],[Comments]]</f>
        <v>2359</v>
      </c>
      <c r="M257" s="32" t="s">
        <v>22</v>
      </c>
      <c r="N257" s="33" t="s">
        <v>34</v>
      </c>
      <c r="O257" s="33"/>
      <c r="P257" s="33"/>
    </row>
    <row r="258" spans="1:16" ht="14.25" customHeight="1" x14ac:dyDescent="0.35">
      <c r="A258" s="28" t="s">
        <v>343</v>
      </c>
      <c r="B258" s="29" t="s">
        <v>38</v>
      </c>
      <c r="C258" s="30">
        <v>45753</v>
      </c>
      <c r="D258" s="29" t="s">
        <v>46</v>
      </c>
      <c r="E258" s="28" t="s">
        <v>51</v>
      </c>
      <c r="F258" s="31">
        <v>3090</v>
      </c>
      <c r="G258" s="31">
        <v>697</v>
      </c>
      <c r="H258" s="31">
        <v>164</v>
      </c>
      <c r="I258" s="31">
        <v>49440</v>
      </c>
      <c r="J258" s="31">
        <v>48524</v>
      </c>
      <c r="K258" s="31">
        <v>25</v>
      </c>
      <c r="L258" s="31">
        <f>[1]!Posts_Table[[#This Row],[Likes]]+[1]!Posts_Table[[#This Row],[Shares]]+[1]!Posts_Table[[#This Row],[Comments]]</f>
        <v>3951</v>
      </c>
      <c r="M258" s="32" t="s">
        <v>22</v>
      </c>
      <c r="N258" s="33" t="s">
        <v>34</v>
      </c>
      <c r="O258" s="33" t="s">
        <v>34</v>
      </c>
      <c r="P258" s="33" t="s">
        <v>432</v>
      </c>
    </row>
    <row r="259" spans="1:16" ht="14.25" customHeight="1" x14ac:dyDescent="0.35">
      <c r="A259" s="28" t="s">
        <v>344</v>
      </c>
      <c r="B259" s="29" t="s">
        <v>30</v>
      </c>
      <c r="C259" s="30">
        <v>45509</v>
      </c>
      <c r="D259" s="29" t="s">
        <v>32</v>
      </c>
      <c r="E259" s="28" t="s">
        <v>33</v>
      </c>
      <c r="F259" s="31">
        <v>3601</v>
      </c>
      <c r="G259" s="31">
        <v>695</v>
      </c>
      <c r="H259" s="31">
        <v>75</v>
      </c>
      <c r="I259" s="31">
        <v>21606</v>
      </c>
      <c r="J259" s="31">
        <v>21454</v>
      </c>
      <c r="K259" s="31">
        <v>172</v>
      </c>
      <c r="L259" s="31">
        <f>[1]!Posts_Table[[#This Row],[Likes]]+[1]!Posts_Table[[#This Row],[Shares]]+[1]!Posts_Table[[#This Row],[Comments]]</f>
        <v>4371</v>
      </c>
      <c r="M259" s="32" t="s">
        <v>22</v>
      </c>
      <c r="N259" s="33" t="s">
        <v>34</v>
      </c>
      <c r="O259" s="33"/>
      <c r="P259" s="33"/>
    </row>
    <row r="260" spans="1:16" ht="14.25" customHeight="1" x14ac:dyDescent="0.35">
      <c r="A260" s="28" t="s">
        <v>346</v>
      </c>
      <c r="B260" s="29" t="s">
        <v>38</v>
      </c>
      <c r="C260" s="30">
        <v>45698</v>
      </c>
      <c r="D260" s="29" t="s">
        <v>20</v>
      </c>
      <c r="E260" s="28" t="s">
        <v>49</v>
      </c>
      <c r="F260" s="31">
        <v>562</v>
      </c>
      <c r="G260" s="31">
        <v>158</v>
      </c>
      <c r="H260" s="31">
        <v>149</v>
      </c>
      <c r="I260" s="31">
        <v>3372</v>
      </c>
      <c r="J260" s="31">
        <v>2940</v>
      </c>
      <c r="K260" s="31">
        <v>93</v>
      </c>
      <c r="L260" s="31">
        <f>[1]!Posts_Table[[#This Row],[Likes]]+[1]!Posts_Table[[#This Row],[Shares]]+[1]!Posts_Table[[#This Row],[Comments]]</f>
        <v>869</v>
      </c>
      <c r="M260" s="32" t="s">
        <v>18</v>
      </c>
      <c r="N260" s="33" t="s">
        <v>27</v>
      </c>
      <c r="O260" s="33"/>
      <c r="P260" s="33"/>
    </row>
    <row r="261" spans="1:16" ht="14.25" customHeight="1" x14ac:dyDescent="0.35">
      <c r="A261" s="28" t="s">
        <v>347</v>
      </c>
      <c r="B261" s="29" t="s">
        <v>30</v>
      </c>
      <c r="C261" s="30">
        <v>45700</v>
      </c>
      <c r="D261" s="29" t="s">
        <v>32</v>
      </c>
      <c r="E261" s="28" t="s">
        <v>33</v>
      </c>
      <c r="F261" s="31">
        <v>4332</v>
      </c>
      <c r="G261" s="31">
        <v>771</v>
      </c>
      <c r="H261" s="31">
        <v>219</v>
      </c>
      <c r="I261" s="31">
        <v>60648</v>
      </c>
      <c r="J261" s="31">
        <v>60397</v>
      </c>
      <c r="K261" s="31">
        <v>10</v>
      </c>
      <c r="L261" s="31">
        <f>[1]!Posts_Table[[#This Row],[Likes]]+[1]!Posts_Table[[#This Row],[Shares]]+[1]!Posts_Table[[#This Row],[Comments]]</f>
        <v>5322</v>
      </c>
      <c r="M261" s="32" t="s">
        <v>28</v>
      </c>
      <c r="N261" s="33" t="s">
        <v>27</v>
      </c>
      <c r="O261" s="33" t="s">
        <v>34</v>
      </c>
      <c r="P261" s="33" t="s">
        <v>432</v>
      </c>
    </row>
    <row r="262" spans="1:16" ht="14.25" customHeight="1" x14ac:dyDescent="0.35">
      <c r="A262" s="28" t="s">
        <v>348</v>
      </c>
      <c r="B262" s="29" t="s">
        <v>30</v>
      </c>
      <c r="C262" s="30">
        <v>45592</v>
      </c>
      <c r="D262" s="29" t="s">
        <v>46</v>
      </c>
      <c r="E262" s="28" t="s">
        <v>155</v>
      </c>
      <c r="F262" s="31">
        <v>4853</v>
      </c>
      <c r="G262" s="31">
        <v>837</v>
      </c>
      <c r="H262" s="31">
        <v>340</v>
      </c>
      <c r="I262" s="31">
        <v>72795</v>
      </c>
      <c r="J262" s="31">
        <v>72237</v>
      </c>
      <c r="K262" s="31">
        <v>170</v>
      </c>
      <c r="L262" s="31">
        <f>[1]!Posts_Table[[#This Row],[Likes]]+[1]!Posts_Table[[#This Row],[Shares]]+[1]!Posts_Table[[#This Row],[Comments]]</f>
        <v>6030</v>
      </c>
      <c r="M262" s="32" t="s">
        <v>18</v>
      </c>
      <c r="N262" s="33" t="s">
        <v>34</v>
      </c>
      <c r="O262" s="33"/>
      <c r="P262" s="33"/>
    </row>
    <row r="263" spans="1:16" ht="14.25" customHeight="1" x14ac:dyDescent="0.35">
      <c r="A263" s="28" t="s">
        <v>349</v>
      </c>
      <c r="B263" s="29" t="s">
        <v>24</v>
      </c>
      <c r="C263" s="30">
        <v>45675</v>
      </c>
      <c r="D263" s="29" t="s">
        <v>46</v>
      </c>
      <c r="E263" s="28" t="s">
        <v>47</v>
      </c>
      <c r="F263" s="31">
        <v>1206</v>
      </c>
      <c r="G263" s="31">
        <v>238</v>
      </c>
      <c r="H263" s="31">
        <v>36</v>
      </c>
      <c r="I263" s="31">
        <v>9648</v>
      </c>
      <c r="J263" s="31">
        <v>9417</v>
      </c>
      <c r="K263" s="31">
        <v>237</v>
      </c>
      <c r="L263" s="31">
        <f>[1]!Posts_Table[[#This Row],[Likes]]+[1]!Posts_Table[[#This Row],[Shares]]+[1]!Posts_Table[[#This Row],[Comments]]</f>
        <v>1480</v>
      </c>
      <c r="M263" s="32"/>
      <c r="N263" s="33" t="s">
        <v>27</v>
      </c>
      <c r="O263" s="33"/>
      <c r="P263" s="33"/>
    </row>
    <row r="264" spans="1:16" ht="14.25" customHeight="1" x14ac:dyDescent="0.35">
      <c r="A264" s="28" t="s">
        <v>350</v>
      </c>
      <c r="B264" s="29" t="s">
        <v>30</v>
      </c>
      <c r="C264" s="30">
        <v>45524</v>
      </c>
      <c r="D264" s="29" t="s">
        <v>16</v>
      </c>
      <c r="E264" s="28" t="s">
        <v>70</v>
      </c>
      <c r="F264" s="31">
        <v>2603</v>
      </c>
      <c r="G264" s="31">
        <v>690</v>
      </c>
      <c r="H264" s="31">
        <v>205</v>
      </c>
      <c r="I264" s="31">
        <v>13015</v>
      </c>
      <c r="J264" s="31">
        <v>12130</v>
      </c>
      <c r="K264" s="31">
        <v>20</v>
      </c>
      <c r="L264" s="31">
        <f>[1]!Posts_Table[[#This Row],[Likes]]+[1]!Posts_Table[[#This Row],[Shares]]+[1]!Posts_Table[[#This Row],[Comments]]</f>
        <v>3498</v>
      </c>
      <c r="M264" s="32" t="s">
        <v>22</v>
      </c>
      <c r="N264" s="33" t="s">
        <v>53</v>
      </c>
      <c r="O264" s="33"/>
      <c r="P264" s="33"/>
    </row>
    <row r="265" spans="1:16" ht="14.25" customHeight="1" x14ac:dyDescent="0.35">
      <c r="A265" s="28" t="s">
        <v>351</v>
      </c>
      <c r="B265" s="29" t="s">
        <v>14</v>
      </c>
      <c r="C265" s="30">
        <v>45687</v>
      </c>
      <c r="D265" s="29" t="s">
        <v>46</v>
      </c>
      <c r="E265" s="28" t="s">
        <v>102</v>
      </c>
      <c r="F265" s="31">
        <v>59</v>
      </c>
      <c r="G265" s="31">
        <v>163</v>
      </c>
      <c r="H265" s="31">
        <v>93</v>
      </c>
      <c r="I265" s="31">
        <v>590</v>
      </c>
      <c r="J265" s="31">
        <v>475</v>
      </c>
      <c r="K265" s="31">
        <v>293</v>
      </c>
      <c r="L265" s="31">
        <f>[1]!Posts_Table[[#This Row],[Likes]]+[1]!Posts_Table[[#This Row],[Shares]]+[1]!Posts_Table[[#This Row],[Comments]]</f>
        <v>315</v>
      </c>
      <c r="M265" s="32" t="s">
        <v>22</v>
      </c>
      <c r="N265" s="33" t="s">
        <v>27</v>
      </c>
      <c r="O265" s="33"/>
      <c r="P265" s="33"/>
    </row>
    <row r="266" spans="1:16" ht="14.25" customHeight="1" x14ac:dyDescent="0.35">
      <c r="A266" s="28" t="s">
        <v>352</v>
      </c>
      <c r="B266" s="29" t="s">
        <v>14</v>
      </c>
      <c r="C266" s="30">
        <v>45708</v>
      </c>
      <c r="D266" s="29" t="s">
        <v>40</v>
      </c>
      <c r="E266" s="28" t="s">
        <v>44</v>
      </c>
      <c r="F266" s="31">
        <v>1877</v>
      </c>
      <c r="G266" s="31">
        <v>745</v>
      </c>
      <c r="H266" s="31">
        <v>225</v>
      </c>
      <c r="I266" s="31">
        <v>11262</v>
      </c>
      <c r="J266" s="31">
        <v>10967</v>
      </c>
      <c r="K266" s="31">
        <v>41</v>
      </c>
      <c r="L266" s="31">
        <f>[1]!Posts_Table[[#This Row],[Likes]]+[1]!Posts_Table[[#This Row],[Shares]]+[1]!Posts_Table[[#This Row],[Comments]]</f>
        <v>2847</v>
      </c>
      <c r="M266" s="32" t="s">
        <v>35</v>
      </c>
      <c r="N266" s="33" t="s">
        <v>34</v>
      </c>
      <c r="O266" s="33"/>
      <c r="P266" s="33"/>
    </row>
    <row r="267" spans="1:16" ht="14.25" customHeight="1" x14ac:dyDescent="0.35">
      <c r="A267" s="28" t="s">
        <v>353</v>
      </c>
      <c r="B267" s="29" t="s">
        <v>38</v>
      </c>
      <c r="C267" s="30">
        <v>45621</v>
      </c>
      <c r="D267" s="29" t="s">
        <v>32</v>
      </c>
      <c r="E267" s="28" t="s">
        <v>60</v>
      </c>
      <c r="F267" s="31">
        <v>4182</v>
      </c>
      <c r="G267" s="31">
        <v>640</v>
      </c>
      <c r="H267" s="31">
        <v>240</v>
      </c>
      <c r="I267" s="31">
        <v>50184</v>
      </c>
      <c r="J267" s="31">
        <v>49351</v>
      </c>
      <c r="K267" s="31">
        <v>10</v>
      </c>
      <c r="L267" s="31">
        <f>[1]!Posts_Table[[#This Row],[Likes]]+[1]!Posts_Table[[#This Row],[Shares]]+[1]!Posts_Table[[#This Row],[Comments]]</f>
        <v>5062</v>
      </c>
      <c r="M267" s="32" t="s">
        <v>28</v>
      </c>
      <c r="N267" s="33" t="s">
        <v>27</v>
      </c>
      <c r="O267" s="33"/>
      <c r="P267" s="33"/>
    </row>
    <row r="268" spans="1:16" ht="14.25" customHeight="1" x14ac:dyDescent="0.35">
      <c r="A268" s="28" t="s">
        <v>354</v>
      </c>
      <c r="B268" s="29" t="s">
        <v>14</v>
      </c>
      <c r="C268" s="30">
        <v>45569</v>
      </c>
      <c r="D268" s="29" t="s">
        <v>16</v>
      </c>
      <c r="E268" s="28" t="s">
        <v>17</v>
      </c>
      <c r="F268" s="31">
        <v>4187</v>
      </c>
      <c r="G268" s="31">
        <v>66</v>
      </c>
      <c r="H268" s="31">
        <v>31</v>
      </c>
      <c r="I268" s="31">
        <v>66992</v>
      </c>
      <c r="J268" s="31">
        <v>66614</v>
      </c>
      <c r="K268" s="31">
        <v>62</v>
      </c>
      <c r="L268" s="31">
        <f>[1]!Posts_Table[[#This Row],[Likes]]+[1]!Posts_Table[[#This Row],[Shares]]+[1]!Posts_Table[[#This Row],[Comments]]</f>
        <v>4284</v>
      </c>
      <c r="M268" s="32"/>
      <c r="N268" s="33" t="s">
        <v>53</v>
      </c>
      <c r="O268" s="33"/>
      <c r="P268" s="33"/>
    </row>
    <row r="269" spans="1:16" ht="14.25" customHeight="1" x14ac:dyDescent="0.35">
      <c r="A269" s="28" t="s">
        <v>355</v>
      </c>
      <c r="B269" s="29" t="s">
        <v>30</v>
      </c>
      <c r="C269" s="30">
        <v>45760</v>
      </c>
      <c r="D269" s="29" t="s">
        <v>16</v>
      </c>
      <c r="E269" s="28" t="s">
        <v>70</v>
      </c>
      <c r="F269" s="31">
        <v>4579</v>
      </c>
      <c r="G269" s="31">
        <v>125</v>
      </c>
      <c r="H269" s="31">
        <v>300</v>
      </c>
      <c r="I269" s="31">
        <v>59527</v>
      </c>
      <c r="J269" s="31">
        <v>59400</v>
      </c>
      <c r="K269" s="31">
        <v>269</v>
      </c>
      <c r="L269" s="31">
        <f>[1]!Posts_Table[[#This Row],[Likes]]+[1]!Posts_Table[[#This Row],[Shares]]+[1]!Posts_Table[[#This Row],[Comments]]</f>
        <v>5004</v>
      </c>
      <c r="M269" s="32" t="s">
        <v>18</v>
      </c>
      <c r="N269" s="33" t="s">
        <v>34</v>
      </c>
      <c r="O269" s="33"/>
      <c r="P269" s="33"/>
    </row>
    <row r="270" spans="1:16" ht="14.25" customHeight="1" x14ac:dyDescent="0.35">
      <c r="A270" s="28" t="s">
        <v>356</v>
      </c>
      <c r="B270" s="29" t="s">
        <v>30</v>
      </c>
      <c r="C270" s="30">
        <v>45601</v>
      </c>
      <c r="D270" s="29" t="s">
        <v>62</v>
      </c>
      <c r="E270" s="28" t="s">
        <v>72</v>
      </c>
      <c r="F270" s="31">
        <v>4561</v>
      </c>
      <c r="G270" s="31">
        <v>51</v>
      </c>
      <c r="H270" s="31">
        <v>441</v>
      </c>
      <c r="I270" s="31">
        <v>22805</v>
      </c>
      <c r="J270" s="31">
        <v>21890</v>
      </c>
      <c r="K270" s="31">
        <v>45</v>
      </c>
      <c r="L270" s="31">
        <f>[1]!Posts_Table[[#This Row],[Likes]]+[1]!Posts_Table[[#This Row],[Shares]]+[1]!Posts_Table[[#This Row],[Comments]]</f>
        <v>5053</v>
      </c>
      <c r="M270" s="32" t="s">
        <v>22</v>
      </c>
      <c r="N270" s="33" t="s">
        <v>27</v>
      </c>
      <c r="O270" s="33"/>
      <c r="P270" s="33"/>
    </row>
    <row r="271" spans="1:16" ht="14.25" customHeight="1" x14ac:dyDescent="0.35">
      <c r="A271" s="28" t="s">
        <v>357</v>
      </c>
      <c r="B271" s="29" t="s">
        <v>24</v>
      </c>
      <c r="C271" s="30">
        <v>45672</v>
      </c>
      <c r="D271" s="29" t="s">
        <v>16</v>
      </c>
      <c r="E271" s="28" t="s">
        <v>26</v>
      </c>
      <c r="F271" s="31">
        <v>3774</v>
      </c>
      <c r="G271" s="31">
        <v>239</v>
      </c>
      <c r="H271" s="31">
        <v>39</v>
      </c>
      <c r="I271" s="31">
        <v>60384</v>
      </c>
      <c r="J271" s="31">
        <v>59490</v>
      </c>
      <c r="K271" s="31">
        <v>241</v>
      </c>
      <c r="L271" s="31">
        <f>[1]!Posts_Table[[#This Row],[Likes]]+[1]!Posts_Table[[#This Row],[Shares]]+[1]!Posts_Table[[#This Row],[Comments]]</f>
        <v>4052</v>
      </c>
      <c r="M271" s="32" t="s">
        <v>28</v>
      </c>
      <c r="N271" s="33" t="s">
        <v>27</v>
      </c>
      <c r="O271" s="33"/>
      <c r="P271" s="33"/>
    </row>
    <row r="272" spans="1:16" ht="14.25" customHeight="1" x14ac:dyDescent="0.35">
      <c r="A272" s="28" t="s">
        <v>358</v>
      </c>
      <c r="B272" s="29" t="s">
        <v>30</v>
      </c>
      <c r="C272" s="30">
        <v>45582</v>
      </c>
      <c r="D272" s="29" t="s">
        <v>62</v>
      </c>
      <c r="E272" s="28" t="s">
        <v>72</v>
      </c>
      <c r="F272" s="31">
        <v>3575</v>
      </c>
      <c r="G272" s="31">
        <v>749</v>
      </c>
      <c r="H272" s="31">
        <v>111</v>
      </c>
      <c r="I272" s="31">
        <v>21450</v>
      </c>
      <c r="J272" s="31">
        <v>20785</v>
      </c>
      <c r="K272" s="31">
        <v>195</v>
      </c>
      <c r="L272" s="31">
        <f>[1]!Posts_Table[[#This Row],[Likes]]+[1]!Posts_Table[[#This Row],[Shares]]+[1]!Posts_Table[[#This Row],[Comments]]</f>
        <v>4435</v>
      </c>
      <c r="M272" s="32" t="s">
        <v>22</v>
      </c>
      <c r="N272" s="33" t="s">
        <v>34</v>
      </c>
      <c r="O272" s="33"/>
      <c r="P272" s="33"/>
    </row>
    <row r="273" spans="1:16" ht="14.25" customHeight="1" x14ac:dyDescent="0.35">
      <c r="A273" s="28" t="s">
        <v>359</v>
      </c>
      <c r="B273" s="29" t="s">
        <v>30</v>
      </c>
      <c r="C273" s="30">
        <v>45743</v>
      </c>
      <c r="D273" s="29" t="s">
        <v>20</v>
      </c>
      <c r="E273" s="28" t="s">
        <v>89</v>
      </c>
      <c r="F273" s="31">
        <v>4941</v>
      </c>
      <c r="G273" s="31">
        <v>414</v>
      </c>
      <c r="H273" s="31">
        <v>266</v>
      </c>
      <c r="I273" s="31">
        <v>39528</v>
      </c>
      <c r="J273" s="31">
        <v>39154</v>
      </c>
      <c r="K273" s="31">
        <v>217</v>
      </c>
      <c r="L273" s="31">
        <f>[1]!Posts_Table[[#This Row],[Likes]]+[1]!Posts_Table[[#This Row],[Shares]]+[1]!Posts_Table[[#This Row],[Comments]]</f>
        <v>5621</v>
      </c>
      <c r="M273" s="32" t="s">
        <v>28</v>
      </c>
      <c r="N273" s="33" t="s">
        <v>27</v>
      </c>
      <c r="O273" s="33"/>
      <c r="P273" s="33"/>
    </row>
    <row r="274" spans="1:16" ht="14.25" customHeight="1" x14ac:dyDescent="0.35">
      <c r="A274" s="28" t="s">
        <v>360</v>
      </c>
      <c r="B274" s="29" t="s">
        <v>24</v>
      </c>
      <c r="C274" s="30">
        <v>45577</v>
      </c>
      <c r="D274" s="29" t="s">
        <v>32</v>
      </c>
      <c r="E274" s="28" t="s">
        <v>117</v>
      </c>
      <c r="F274" s="31">
        <v>3641</v>
      </c>
      <c r="G274" s="31">
        <v>226</v>
      </c>
      <c r="H274" s="31">
        <v>46</v>
      </c>
      <c r="I274" s="31">
        <v>40051</v>
      </c>
      <c r="J274" s="31">
        <v>39319</v>
      </c>
      <c r="K274" s="31">
        <v>296</v>
      </c>
      <c r="L274" s="31">
        <f>[1]!Posts_Table[[#This Row],[Likes]]+[1]!Posts_Table[[#This Row],[Shares]]+[1]!Posts_Table[[#This Row],[Comments]]</f>
        <v>3913</v>
      </c>
      <c r="M274" s="32" t="s">
        <v>35</v>
      </c>
      <c r="N274" s="33" t="s">
        <v>34</v>
      </c>
      <c r="O274" s="33"/>
      <c r="P274" s="33"/>
    </row>
    <row r="275" spans="1:16" ht="14.25" customHeight="1" x14ac:dyDescent="0.35">
      <c r="A275" s="28" t="s">
        <v>361</v>
      </c>
      <c r="B275" s="29" t="s">
        <v>14</v>
      </c>
      <c r="C275" s="30">
        <v>45658</v>
      </c>
      <c r="D275" s="29" t="s">
        <v>40</v>
      </c>
      <c r="E275" s="28" t="s">
        <v>44</v>
      </c>
      <c r="F275" s="31">
        <v>3535</v>
      </c>
      <c r="G275" s="31">
        <v>494</v>
      </c>
      <c r="H275" s="31">
        <v>152</v>
      </c>
      <c r="I275" s="31">
        <v>53025</v>
      </c>
      <c r="J275" s="31">
        <v>52791</v>
      </c>
      <c r="K275" s="31">
        <v>44</v>
      </c>
      <c r="L275" s="31">
        <f>[1]!Posts_Table[[#This Row],[Likes]]+[1]!Posts_Table[[#This Row],[Shares]]+[1]!Posts_Table[[#This Row],[Comments]]</f>
        <v>4181</v>
      </c>
      <c r="M275" s="32" t="s">
        <v>35</v>
      </c>
      <c r="N275" s="33" t="s">
        <v>27</v>
      </c>
      <c r="O275" s="33"/>
      <c r="P275" s="33"/>
    </row>
    <row r="276" spans="1:16" ht="14.25" customHeight="1" x14ac:dyDescent="0.35">
      <c r="A276" s="28" t="s">
        <v>362</v>
      </c>
      <c r="B276" s="29" t="s">
        <v>38</v>
      </c>
      <c r="C276" s="30">
        <v>45509</v>
      </c>
      <c r="D276" s="29" t="s">
        <v>16</v>
      </c>
      <c r="E276" s="28" t="s">
        <v>55</v>
      </c>
      <c r="F276" s="31">
        <v>1741</v>
      </c>
      <c r="G276" s="31">
        <v>831</v>
      </c>
      <c r="H276" s="31">
        <v>345</v>
      </c>
      <c r="I276" s="31">
        <v>17410</v>
      </c>
      <c r="J276" s="31">
        <v>16844</v>
      </c>
      <c r="K276" s="31">
        <v>58</v>
      </c>
      <c r="L276" s="31">
        <f>[1]!Posts_Table[[#This Row],[Likes]]+[1]!Posts_Table[[#This Row],[Shares]]+[1]!Posts_Table[[#This Row],[Comments]]</f>
        <v>2917</v>
      </c>
      <c r="M276" s="32" t="s">
        <v>28</v>
      </c>
      <c r="N276" s="33" t="s">
        <v>34</v>
      </c>
      <c r="O276" s="33"/>
      <c r="P276" s="33"/>
    </row>
    <row r="277" spans="1:16" ht="14.25" customHeight="1" x14ac:dyDescent="0.35">
      <c r="A277" s="28" t="s">
        <v>363</v>
      </c>
      <c r="B277" s="29" t="s">
        <v>14</v>
      </c>
      <c r="C277" s="30">
        <v>45450</v>
      </c>
      <c r="D277" s="29" t="s">
        <v>40</v>
      </c>
      <c r="E277" s="28" t="s">
        <v>44</v>
      </c>
      <c r="F277" s="31">
        <v>1556</v>
      </c>
      <c r="G277" s="31">
        <v>195</v>
      </c>
      <c r="H277" s="31">
        <v>131</v>
      </c>
      <c r="I277" s="31">
        <v>9336</v>
      </c>
      <c r="J277" s="31">
        <v>8875</v>
      </c>
      <c r="K277" s="31">
        <v>137</v>
      </c>
      <c r="L277" s="31">
        <f>[1]!Posts_Table[[#This Row],[Likes]]+[1]!Posts_Table[[#This Row],[Shares]]+[1]!Posts_Table[[#This Row],[Comments]]</f>
        <v>1882</v>
      </c>
      <c r="M277" s="32" t="s">
        <v>22</v>
      </c>
      <c r="N277" s="33" t="s">
        <v>27</v>
      </c>
      <c r="O277" s="33"/>
      <c r="P277" s="33"/>
    </row>
    <row r="278" spans="1:16" ht="14.25" customHeight="1" x14ac:dyDescent="0.35">
      <c r="A278" s="28" t="s">
        <v>364</v>
      </c>
      <c r="B278" s="29" t="s">
        <v>38</v>
      </c>
      <c r="C278" s="30">
        <v>45753</v>
      </c>
      <c r="D278" s="29" t="s">
        <v>46</v>
      </c>
      <c r="E278" s="28" t="s">
        <v>51</v>
      </c>
      <c r="F278" s="31">
        <v>4236</v>
      </c>
      <c r="G278" s="31">
        <v>711</v>
      </c>
      <c r="H278" s="31">
        <v>298</v>
      </c>
      <c r="I278" s="31">
        <v>21180</v>
      </c>
      <c r="J278" s="31">
        <v>20516</v>
      </c>
      <c r="K278" s="31">
        <v>238</v>
      </c>
      <c r="L278" s="31">
        <f>[1]!Posts_Table[[#This Row],[Likes]]+[1]!Posts_Table[[#This Row],[Shares]]+[1]!Posts_Table[[#This Row],[Comments]]</f>
        <v>5245</v>
      </c>
      <c r="M278" s="32" t="s">
        <v>18</v>
      </c>
      <c r="N278" s="33" t="s">
        <v>53</v>
      </c>
      <c r="O278" s="33"/>
      <c r="P278" s="33"/>
    </row>
    <row r="279" spans="1:16" ht="14.25" customHeight="1" x14ac:dyDescent="0.35">
      <c r="A279" s="28" t="s">
        <v>365</v>
      </c>
      <c r="B279" s="29" t="s">
        <v>14</v>
      </c>
      <c r="C279" s="30">
        <v>45622</v>
      </c>
      <c r="D279" s="29" t="s">
        <v>20</v>
      </c>
      <c r="E279" s="28" t="s">
        <v>21</v>
      </c>
      <c r="F279" s="31">
        <v>4516</v>
      </c>
      <c r="G279" s="31">
        <v>836</v>
      </c>
      <c r="H279" s="31">
        <v>169</v>
      </c>
      <c r="I279" s="31">
        <v>49676</v>
      </c>
      <c r="J279" s="31">
        <v>49257</v>
      </c>
      <c r="K279" s="31">
        <v>282</v>
      </c>
      <c r="L279" s="31">
        <f>[1]!Posts_Table[[#This Row],[Likes]]+[1]!Posts_Table[[#This Row],[Shares]]+[1]!Posts_Table[[#This Row],[Comments]]</f>
        <v>5521</v>
      </c>
      <c r="M279" s="32" t="s">
        <v>35</v>
      </c>
      <c r="N279" s="33" t="s">
        <v>34</v>
      </c>
      <c r="O279" s="33"/>
      <c r="P279" s="33"/>
    </row>
    <row r="280" spans="1:16" ht="14.25" customHeight="1" x14ac:dyDescent="0.35">
      <c r="A280" s="28" t="s">
        <v>366</v>
      </c>
      <c r="B280" s="29" t="s">
        <v>24</v>
      </c>
      <c r="C280" s="30">
        <v>45537</v>
      </c>
      <c r="D280" s="29" t="s">
        <v>46</v>
      </c>
      <c r="E280" s="28" t="s">
        <v>47</v>
      </c>
      <c r="F280" s="31">
        <v>4905</v>
      </c>
      <c r="G280" s="31">
        <v>845</v>
      </c>
      <c r="H280" s="31">
        <v>129</v>
      </c>
      <c r="I280" s="31">
        <v>98100</v>
      </c>
      <c r="J280" s="31">
        <v>97772</v>
      </c>
      <c r="K280" s="31">
        <v>279</v>
      </c>
      <c r="L280" s="31">
        <f>[1]!Posts_Table[[#This Row],[Likes]]+[1]!Posts_Table[[#This Row],[Shares]]+[1]!Posts_Table[[#This Row],[Comments]]</f>
        <v>5879</v>
      </c>
      <c r="M280" s="32" t="s">
        <v>22</v>
      </c>
      <c r="N280" s="33" t="s">
        <v>27</v>
      </c>
      <c r="O280" s="33"/>
      <c r="P280" s="33"/>
    </row>
    <row r="281" spans="1:16" ht="14.25" customHeight="1" x14ac:dyDescent="0.35">
      <c r="A281" s="28" t="s">
        <v>367</v>
      </c>
      <c r="B281" s="29" t="s">
        <v>24</v>
      </c>
      <c r="C281" s="30">
        <v>45586</v>
      </c>
      <c r="D281" s="29" t="s">
        <v>62</v>
      </c>
      <c r="E281" s="28" t="s">
        <v>157</v>
      </c>
      <c r="F281" s="31">
        <v>4275</v>
      </c>
      <c r="G281" s="31">
        <v>680</v>
      </c>
      <c r="H281" s="31">
        <v>385</v>
      </c>
      <c r="I281" s="31">
        <v>64125</v>
      </c>
      <c r="J281" s="31">
        <v>63650</v>
      </c>
      <c r="K281" s="31">
        <v>104</v>
      </c>
      <c r="L281" s="31">
        <f>[1]!Posts_Table[[#This Row],[Likes]]+[1]!Posts_Table[[#This Row],[Shares]]+[1]!Posts_Table[[#This Row],[Comments]]</f>
        <v>5340</v>
      </c>
      <c r="M281" s="32" t="s">
        <v>35</v>
      </c>
      <c r="N281" s="33" t="s">
        <v>34</v>
      </c>
      <c r="O281" s="33" t="s">
        <v>27</v>
      </c>
      <c r="P281" s="33" t="s">
        <v>431</v>
      </c>
    </row>
    <row r="282" spans="1:16" ht="14.25" customHeight="1" x14ac:dyDescent="0.35">
      <c r="A282" s="28" t="s">
        <v>368</v>
      </c>
      <c r="B282" s="29" t="s">
        <v>24</v>
      </c>
      <c r="C282" s="30">
        <v>45738</v>
      </c>
      <c r="D282" s="29" t="s">
        <v>46</v>
      </c>
      <c r="E282" s="28" t="s">
        <v>47</v>
      </c>
      <c r="F282" s="31">
        <v>3166</v>
      </c>
      <c r="G282" s="31">
        <v>90</v>
      </c>
      <c r="H282" s="31">
        <v>341</v>
      </c>
      <c r="I282" s="31">
        <v>56988</v>
      </c>
      <c r="J282" s="31">
        <v>56125</v>
      </c>
      <c r="K282" s="31">
        <v>135</v>
      </c>
      <c r="L282" s="31">
        <f>[1]!Posts_Table[[#This Row],[Likes]]+[1]!Posts_Table[[#This Row],[Shares]]+[1]!Posts_Table[[#This Row],[Comments]]</f>
        <v>3597</v>
      </c>
      <c r="M282" s="32" t="s">
        <v>22</v>
      </c>
      <c r="N282" s="33" t="s">
        <v>34</v>
      </c>
      <c r="O282" s="33"/>
      <c r="P282" s="33"/>
    </row>
    <row r="283" spans="1:16" ht="14.25" customHeight="1" x14ac:dyDescent="0.35">
      <c r="A283" s="28" t="s">
        <v>369</v>
      </c>
      <c r="B283" s="29" t="s">
        <v>30</v>
      </c>
      <c r="C283" s="30">
        <v>45568</v>
      </c>
      <c r="D283" s="29" t="s">
        <v>62</v>
      </c>
      <c r="E283" s="28" t="s">
        <v>72</v>
      </c>
      <c r="F283" s="31">
        <v>1488</v>
      </c>
      <c r="G283" s="31">
        <v>417</v>
      </c>
      <c r="H283" s="31">
        <v>168</v>
      </c>
      <c r="I283" s="31">
        <v>19344</v>
      </c>
      <c r="J283" s="31">
        <v>18395</v>
      </c>
      <c r="K283" s="31">
        <v>30</v>
      </c>
      <c r="L283" s="31">
        <f>[1]!Posts_Table[[#This Row],[Likes]]+[1]!Posts_Table[[#This Row],[Shares]]+[1]!Posts_Table[[#This Row],[Comments]]</f>
        <v>2073</v>
      </c>
      <c r="M283" s="32" t="s">
        <v>28</v>
      </c>
      <c r="N283" s="33" t="s">
        <v>53</v>
      </c>
      <c r="O283" s="33"/>
      <c r="P283" s="33"/>
    </row>
    <row r="284" spans="1:16" ht="14.25" customHeight="1" x14ac:dyDescent="0.35">
      <c r="A284" s="28" t="s">
        <v>370</v>
      </c>
      <c r="B284" s="29" t="s">
        <v>14</v>
      </c>
      <c r="C284" s="30">
        <v>45786</v>
      </c>
      <c r="D284" s="29" t="s">
        <v>16</v>
      </c>
      <c r="E284" s="28" t="s">
        <v>17</v>
      </c>
      <c r="F284" s="31">
        <v>3367</v>
      </c>
      <c r="G284" s="31">
        <v>302</v>
      </c>
      <c r="H284" s="31">
        <v>57</v>
      </c>
      <c r="I284" s="31">
        <v>63973</v>
      </c>
      <c r="J284" s="31">
        <v>63789</v>
      </c>
      <c r="K284" s="31">
        <v>157</v>
      </c>
      <c r="L284" s="31">
        <f>[1]!Posts_Table[[#This Row],[Likes]]+[1]!Posts_Table[[#This Row],[Shares]]+[1]!Posts_Table[[#This Row],[Comments]]</f>
        <v>3726</v>
      </c>
      <c r="M284" s="32" t="s">
        <v>22</v>
      </c>
      <c r="N284" s="33" t="s">
        <v>53</v>
      </c>
      <c r="O284" s="33"/>
      <c r="P284" s="33"/>
    </row>
    <row r="285" spans="1:16" ht="14.25" customHeight="1" x14ac:dyDescent="0.35">
      <c r="A285" s="28" t="s">
        <v>371</v>
      </c>
      <c r="B285" s="29" t="s">
        <v>14</v>
      </c>
      <c r="C285" s="30">
        <v>45552</v>
      </c>
      <c r="D285" s="29" t="s">
        <v>20</v>
      </c>
      <c r="E285" s="28" t="s">
        <v>21</v>
      </c>
      <c r="F285" s="31">
        <v>571</v>
      </c>
      <c r="G285" s="31">
        <v>190</v>
      </c>
      <c r="H285" s="31">
        <v>352</v>
      </c>
      <c r="I285" s="31">
        <v>9707</v>
      </c>
      <c r="J285" s="31">
        <v>9418</v>
      </c>
      <c r="K285" s="31">
        <v>231</v>
      </c>
      <c r="L285" s="31">
        <f>[1]!Posts_Table[[#This Row],[Likes]]+[1]!Posts_Table[[#This Row],[Shares]]+[1]!Posts_Table[[#This Row],[Comments]]</f>
        <v>1113</v>
      </c>
      <c r="M285" s="32" t="s">
        <v>35</v>
      </c>
      <c r="N285" s="33" t="s">
        <v>27</v>
      </c>
      <c r="O285" s="33"/>
      <c r="P285" s="33"/>
    </row>
    <row r="286" spans="1:16" ht="14.25" customHeight="1" x14ac:dyDescent="0.35">
      <c r="A286" s="28" t="s">
        <v>372</v>
      </c>
      <c r="B286" s="29" t="s">
        <v>24</v>
      </c>
      <c r="C286" s="30">
        <v>45491</v>
      </c>
      <c r="D286" s="29" t="s">
        <v>20</v>
      </c>
      <c r="E286" s="28" t="s">
        <v>83</v>
      </c>
      <c r="F286" s="31">
        <v>4021</v>
      </c>
      <c r="G286" s="31">
        <v>794</v>
      </c>
      <c r="H286" s="31">
        <v>77</v>
      </c>
      <c r="I286" s="31">
        <v>36189</v>
      </c>
      <c r="J286" s="31">
        <v>35505</v>
      </c>
      <c r="K286" s="31">
        <v>174</v>
      </c>
      <c r="L286" s="31">
        <f>[1]!Posts_Table[[#This Row],[Likes]]+[1]!Posts_Table[[#This Row],[Shares]]+[1]!Posts_Table[[#This Row],[Comments]]</f>
        <v>4892</v>
      </c>
      <c r="M286" s="32"/>
      <c r="N286" s="33" t="s">
        <v>34</v>
      </c>
      <c r="O286" s="33"/>
      <c r="P286" s="33"/>
    </row>
    <row r="287" spans="1:16" ht="14.25" customHeight="1" x14ac:dyDescent="0.35">
      <c r="A287" s="28" t="s">
        <v>373</v>
      </c>
      <c r="B287" s="29" t="s">
        <v>24</v>
      </c>
      <c r="C287" s="30">
        <v>45560</v>
      </c>
      <c r="D287" s="29" t="s">
        <v>62</v>
      </c>
      <c r="E287" s="28" t="s">
        <v>157</v>
      </c>
      <c r="F287" s="31">
        <v>3389</v>
      </c>
      <c r="G287" s="31">
        <v>344</v>
      </c>
      <c r="H287" s="31">
        <v>229</v>
      </c>
      <c r="I287" s="31">
        <v>20334</v>
      </c>
      <c r="J287" s="31">
        <v>19443</v>
      </c>
      <c r="K287" s="31">
        <v>228</v>
      </c>
      <c r="L287" s="31">
        <f>[1]!Posts_Table[[#This Row],[Likes]]+[1]!Posts_Table[[#This Row],[Shares]]+[1]!Posts_Table[[#This Row],[Comments]]</f>
        <v>3962</v>
      </c>
      <c r="M287" s="32" t="s">
        <v>28</v>
      </c>
      <c r="N287" s="33" t="s">
        <v>53</v>
      </c>
      <c r="O287" s="33"/>
      <c r="P287" s="33"/>
    </row>
    <row r="288" spans="1:16" ht="14.25" customHeight="1" x14ac:dyDescent="0.35">
      <c r="A288" s="28" t="s">
        <v>374</v>
      </c>
      <c r="B288" s="29" t="s">
        <v>30</v>
      </c>
      <c r="C288" s="30">
        <v>45519</v>
      </c>
      <c r="D288" s="29" t="s">
        <v>16</v>
      </c>
      <c r="E288" s="28" t="s">
        <v>70</v>
      </c>
      <c r="F288" s="31">
        <v>1164</v>
      </c>
      <c r="G288" s="31">
        <v>616</v>
      </c>
      <c r="H288" s="31">
        <v>324</v>
      </c>
      <c r="I288" s="31">
        <v>6984</v>
      </c>
      <c r="J288" s="31">
        <v>6636</v>
      </c>
      <c r="K288" s="31">
        <v>82</v>
      </c>
      <c r="L288" s="31">
        <f>[1]!Posts_Table[[#This Row],[Likes]]+[1]!Posts_Table[[#This Row],[Shares]]+[1]!Posts_Table[[#This Row],[Comments]]</f>
        <v>2104</v>
      </c>
      <c r="M288" s="32" t="s">
        <v>18</v>
      </c>
      <c r="N288" s="33" t="s">
        <v>34</v>
      </c>
      <c r="O288" s="33"/>
      <c r="P288" s="33"/>
    </row>
    <row r="289" spans="1:16" ht="14.25" customHeight="1" x14ac:dyDescent="0.35">
      <c r="A289" s="28" t="s">
        <v>375</v>
      </c>
      <c r="B289" s="29" t="s">
        <v>24</v>
      </c>
      <c r="C289" s="30">
        <v>45764</v>
      </c>
      <c r="D289" s="29" t="s">
        <v>40</v>
      </c>
      <c r="E289" s="28" t="s">
        <v>58</v>
      </c>
      <c r="F289" s="31">
        <v>4780</v>
      </c>
      <c r="G289" s="31">
        <v>691</v>
      </c>
      <c r="H289" s="31">
        <v>380</v>
      </c>
      <c r="I289" s="31">
        <v>86040</v>
      </c>
      <c r="J289" s="31">
        <v>85743</v>
      </c>
      <c r="K289" s="31">
        <v>262</v>
      </c>
      <c r="L289" s="31">
        <f>[1]!Posts_Table[[#This Row],[Likes]]+[1]!Posts_Table[[#This Row],[Shares]]+[1]!Posts_Table[[#This Row],[Comments]]</f>
        <v>5851</v>
      </c>
      <c r="M289" s="32" t="s">
        <v>28</v>
      </c>
      <c r="N289" s="33" t="s">
        <v>53</v>
      </c>
      <c r="O289" s="33"/>
      <c r="P289" s="33"/>
    </row>
    <row r="290" spans="1:16" ht="14.25" customHeight="1" x14ac:dyDescent="0.35">
      <c r="A290" s="28" t="s">
        <v>376</v>
      </c>
      <c r="B290" s="29" t="s">
        <v>38</v>
      </c>
      <c r="C290" s="30">
        <v>45624</v>
      </c>
      <c r="D290" s="29" t="s">
        <v>40</v>
      </c>
      <c r="E290" s="28" t="s">
        <v>41</v>
      </c>
      <c r="F290" s="31">
        <v>2751</v>
      </c>
      <c r="G290" s="31">
        <v>33</v>
      </c>
      <c r="H290" s="31">
        <v>430</v>
      </c>
      <c r="I290" s="31">
        <v>44016</v>
      </c>
      <c r="J290" s="31">
        <v>43415</v>
      </c>
      <c r="K290" s="31">
        <v>129</v>
      </c>
      <c r="L290" s="31">
        <f>[1]!Posts_Table[[#This Row],[Likes]]+[1]!Posts_Table[[#This Row],[Shares]]+[1]!Posts_Table[[#This Row],[Comments]]</f>
        <v>3214</v>
      </c>
      <c r="M290" s="32"/>
      <c r="N290" s="33" t="s">
        <v>53</v>
      </c>
      <c r="O290" s="33"/>
      <c r="P290" s="33"/>
    </row>
    <row r="291" spans="1:16" ht="14.25" customHeight="1" x14ac:dyDescent="0.35">
      <c r="A291" s="28" t="s">
        <v>377</v>
      </c>
      <c r="B291" s="29" t="s">
        <v>30</v>
      </c>
      <c r="C291" s="30">
        <v>45646</v>
      </c>
      <c r="D291" s="29" t="s">
        <v>40</v>
      </c>
      <c r="E291" s="28" t="s">
        <v>75</v>
      </c>
      <c r="F291" s="31">
        <v>2107</v>
      </c>
      <c r="G291" s="31">
        <v>550</v>
      </c>
      <c r="H291" s="31">
        <v>349</v>
      </c>
      <c r="I291" s="31">
        <v>35819</v>
      </c>
      <c r="J291" s="31">
        <v>35340</v>
      </c>
      <c r="K291" s="31">
        <v>191</v>
      </c>
      <c r="L291" s="31">
        <f>[1]!Posts_Table[[#This Row],[Likes]]+[1]!Posts_Table[[#This Row],[Shares]]+[1]!Posts_Table[[#This Row],[Comments]]</f>
        <v>3006</v>
      </c>
      <c r="M291" s="32" t="s">
        <v>35</v>
      </c>
      <c r="N291" s="33" t="s">
        <v>34</v>
      </c>
      <c r="O291" s="33"/>
      <c r="P291" s="33"/>
    </row>
    <row r="292" spans="1:16" ht="14.25" customHeight="1" x14ac:dyDescent="0.35">
      <c r="A292" s="28" t="s">
        <v>378</v>
      </c>
      <c r="B292" s="29" t="s">
        <v>38</v>
      </c>
      <c r="C292" s="30">
        <v>45602</v>
      </c>
      <c r="D292" s="29" t="s">
        <v>62</v>
      </c>
      <c r="E292" s="28" t="s">
        <v>63</v>
      </c>
      <c r="F292" s="31">
        <v>4663</v>
      </c>
      <c r="G292" s="31">
        <v>145</v>
      </c>
      <c r="H292" s="31">
        <v>225</v>
      </c>
      <c r="I292" s="31">
        <v>69945</v>
      </c>
      <c r="J292" s="31">
        <v>69596</v>
      </c>
      <c r="K292" s="31">
        <v>35</v>
      </c>
      <c r="L292" s="31">
        <f>[1]!Posts_Table[[#This Row],[Likes]]+[1]!Posts_Table[[#This Row],[Shares]]+[1]!Posts_Table[[#This Row],[Comments]]</f>
        <v>5033</v>
      </c>
      <c r="M292" s="32" t="s">
        <v>35</v>
      </c>
      <c r="N292" s="33" t="s">
        <v>34</v>
      </c>
      <c r="O292" s="33"/>
      <c r="P292" s="33"/>
    </row>
    <row r="293" spans="1:16" ht="14.25" customHeight="1" x14ac:dyDescent="0.35">
      <c r="A293" s="28" t="s">
        <v>379</v>
      </c>
      <c r="B293" s="29" t="s">
        <v>38</v>
      </c>
      <c r="C293" s="30">
        <v>45613</v>
      </c>
      <c r="D293" s="29" t="s">
        <v>20</v>
      </c>
      <c r="E293" s="28" t="s">
        <v>49</v>
      </c>
      <c r="F293" s="31">
        <v>880</v>
      </c>
      <c r="G293" s="31">
        <v>297</v>
      </c>
      <c r="H293" s="31">
        <v>345</v>
      </c>
      <c r="I293" s="31">
        <v>12320</v>
      </c>
      <c r="J293" s="31">
        <v>11978</v>
      </c>
      <c r="K293" s="31">
        <v>238</v>
      </c>
      <c r="L293" s="31">
        <f>[1]!Posts_Table[[#This Row],[Likes]]+[1]!Posts_Table[[#This Row],[Shares]]+[1]!Posts_Table[[#This Row],[Comments]]</f>
        <v>1522</v>
      </c>
      <c r="M293" s="32"/>
      <c r="N293" s="33" t="s">
        <v>27</v>
      </c>
      <c r="O293" s="33" t="s">
        <v>431</v>
      </c>
      <c r="P293" s="33"/>
    </row>
    <row r="294" spans="1:16" ht="14.25" customHeight="1" x14ac:dyDescent="0.35">
      <c r="A294" s="28" t="s">
        <v>380</v>
      </c>
      <c r="B294" s="29" t="s">
        <v>38</v>
      </c>
      <c r="C294" s="30">
        <v>45791</v>
      </c>
      <c r="D294" s="29" t="s">
        <v>20</v>
      </c>
      <c r="E294" s="28" t="s">
        <v>49</v>
      </c>
      <c r="F294" s="31">
        <v>2634</v>
      </c>
      <c r="G294" s="31">
        <v>726</v>
      </c>
      <c r="H294" s="31">
        <v>241</v>
      </c>
      <c r="I294" s="31">
        <v>28974</v>
      </c>
      <c r="J294" s="31">
        <v>28102</v>
      </c>
      <c r="K294" s="31">
        <v>277</v>
      </c>
      <c r="L294" s="31">
        <f>[1]!Posts_Table[[#This Row],[Likes]]+[1]!Posts_Table[[#This Row],[Shares]]+[1]!Posts_Table[[#This Row],[Comments]]</f>
        <v>3601</v>
      </c>
      <c r="M294" s="32" t="s">
        <v>18</v>
      </c>
      <c r="N294" s="33" t="s">
        <v>34</v>
      </c>
      <c r="O294" s="33"/>
      <c r="P294" s="33"/>
    </row>
    <row r="295" spans="1:16" ht="14.25" customHeight="1" x14ac:dyDescent="0.35">
      <c r="A295" s="28" t="s">
        <v>381</v>
      </c>
      <c r="B295" s="29" t="s">
        <v>38</v>
      </c>
      <c r="C295" s="30">
        <v>45462</v>
      </c>
      <c r="D295" s="29" t="s">
        <v>40</v>
      </c>
      <c r="E295" s="28" t="s">
        <v>41</v>
      </c>
      <c r="F295" s="31">
        <v>4731</v>
      </c>
      <c r="G295" s="31">
        <v>173</v>
      </c>
      <c r="H295" s="31">
        <v>276</v>
      </c>
      <c r="I295" s="31">
        <v>28386</v>
      </c>
      <c r="J295" s="31">
        <v>28185</v>
      </c>
      <c r="K295" s="31">
        <v>89</v>
      </c>
      <c r="L295" s="31">
        <f>[1]!Posts_Table[[#This Row],[Likes]]+[1]!Posts_Table[[#This Row],[Shares]]+[1]!Posts_Table[[#This Row],[Comments]]</f>
        <v>5180</v>
      </c>
      <c r="M295" s="32" t="s">
        <v>28</v>
      </c>
      <c r="N295" s="33" t="s">
        <v>34</v>
      </c>
      <c r="O295" s="33"/>
      <c r="P295" s="33"/>
    </row>
    <row r="296" spans="1:16" ht="14.25" customHeight="1" x14ac:dyDescent="0.35">
      <c r="A296" s="28" t="s">
        <v>382</v>
      </c>
      <c r="B296" s="29" t="s">
        <v>14</v>
      </c>
      <c r="C296" s="30">
        <v>45783</v>
      </c>
      <c r="D296" s="29" t="s">
        <v>46</v>
      </c>
      <c r="E296" s="28" t="s">
        <v>102</v>
      </c>
      <c r="F296" s="31">
        <v>1952</v>
      </c>
      <c r="G296" s="31">
        <v>344</v>
      </c>
      <c r="H296" s="31">
        <v>287</v>
      </c>
      <c r="I296" s="31">
        <v>15616</v>
      </c>
      <c r="J296" s="31">
        <v>15403</v>
      </c>
      <c r="K296" s="31">
        <v>235</v>
      </c>
      <c r="L296" s="31">
        <f>[1]!Posts_Table[[#This Row],[Likes]]+[1]!Posts_Table[[#This Row],[Shares]]+[1]!Posts_Table[[#This Row],[Comments]]</f>
        <v>2583</v>
      </c>
      <c r="M296" s="32" t="s">
        <v>22</v>
      </c>
      <c r="N296" s="33" t="s">
        <v>53</v>
      </c>
      <c r="O296" s="33" t="s">
        <v>27</v>
      </c>
      <c r="P296" s="33" t="s">
        <v>431</v>
      </c>
    </row>
    <row r="297" spans="1:16" ht="14.25" customHeight="1" x14ac:dyDescent="0.35">
      <c r="A297" s="28" t="s">
        <v>383</v>
      </c>
      <c r="B297" s="29" t="s">
        <v>14</v>
      </c>
      <c r="C297" s="30">
        <v>45699</v>
      </c>
      <c r="D297" s="29" t="s">
        <v>62</v>
      </c>
      <c r="E297" s="28" t="s">
        <v>109</v>
      </c>
      <c r="F297" s="31">
        <v>3440</v>
      </c>
      <c r="G297" s="31">
        <v>13</v>
      </c>
      <c r="H297" s="31">
        <v>20</v>
      </c>
      <c r="I297" s="31">
        <v>58480</v>
      </c>
      <c r="J297" s="31">
        <v>58146</v>
      </c>
      <c r="K297" s="31">
        <v>210</v>
      </c>
      <c r="L297" s="31">
        <f>[1]!Posts_Table[[#This Row],[Likes]]+[1]!Posts_Table[[#This Row],[Shares]]+[1]!Posts_Table[[#This Row],[Comments]]</f>
        <v>3473</v>
      </c>
      <c r="M297" s="32" t="s">
        <v>35</v>
      </c>
      <c r="N297" s="33" t="s">
        <v>27</v>
      </c>
      <c r="O297" s="33" t="s">
        <v>427</v>
      </c>
      <c r="P297" s="33"/>
    </row>
    <row r="298" spans="1:16" ht="14.25" customHeight="1" x14ac:dyDescent="0.35">
      <c r="A298" s="28" t="s">
        <v>384</v>
      </c>
      <c r="B298" s="29" t="s">
        <v>14</v>
      </c>
      <c r="C298" s="30">
        <v>45650</v>
      </c>
      <c r="D298" s="29" t="s">
        <v>20</v>
      </c>
      <c r="E298" s="28" t="s">
        <v>21</v>
      </c>
      <c r="F298" s="31">
        <v>2166</v>
      </c>
      <c r="G298" s="31">
        <v>354</v>
      </c>
      <c r="H298" s="31">
        <v>117</v>
      </c>
      <c r="I298" s="31">
        <v>10830</v>
      </c>
      <c r="J298" s="31">
        <v>10245</v>
      </c>
      <c r="K298" s="31">
        <v>24</v>
      </c>
      <c r="L298" s="31">
        <f>[1]!Posts_Table[[#This Row],[Likes]]+[1]!Posts_Table[[#This Row],[Shares]]+[1]!Posts_Table[[#This Row],[Comments]]</f>
        <v>2637</v>
      </c>
      <c r="M298" s="32" t="s">
        <v>35</v>
      </c>
      <c r="N298" s="33" t="s">
        <v>34</v>
      </c>
      <c r="O298" s="33"/>
      <c r="P298" s="33"/>
    </row>
    <row r="299" spans="1:16" ht="14.25" customHeight="1" x14ac:dyDescent="0.35">
      <c r="A299" s="28" t="s">
        <v>385</v>
      </c>
      <c r="B299" s="29" t="s">
        <v>38</v>
      </c>
      <c r="C299" s="30">
        <v>45589</v>
      </c>
      <c r="D299" s="29" t="s">
        <v>46</v>
      </c>
      <c r="E299" s="28" t="s">
        <v>51</v>
      </c>
      <c r="F299" s="31">
        <v>4303</v>
      </c>
      <c r="G299" s="31">
        <v>451</v>
      </c>
      <c r="H299" s="31">
        <v>286</v>
      </c>
      <c r="I299" s="31">
        <v>86060</v>
      </c>
      <c r="J299" s="31">
        <v>85823</v>
      </c>
      <c r="K299" s="31">
        <v>14</v>
      </c>
      <c r="L299" s="31">
        <f>[1]!Posts_Table[[#This Row],[Likes]]+[1]!Posts_Table[[#This Row],[Shares]]+[1]!Posts_Table[[#This Row],[Comments]]</f>
        <v>5040</v>
      </c>
      <c r="M299" s="32" t="s">
        <v>28</v>
      </c>
      <c r="N299" s="33" t="s">
        <v>27</v>
      </c>
      <c r="O299" s="33"/>
      <c r="P299" s="33"/>
    </row>
    <row r="300" spans="1:16" ht="14.25" customHeight="1" x14ac:dyDescent="0.35">
      <c r="A300" s="28" t="s">
        <v>386</v>
      </c>
      <c r="B300" s="29" t="s">
        <v>38</v>
      </c>
      <c r="C300" s="30">
        <v>45530</v>
      </c>
      <c r="D300" s="29" t="s">
        <v>46</v>
      </c>
      <c r="E300" s="28" t="s">
        <v>51</v>
      </c>
      <c r="F300" s="31">
        <v>2581</v>
      </c>
      <c r="G300" s="31">
        <v>517</v>
      </c>
      <c r="H300" s="31">
        <v>117</v>
      </c>
      <c r="I300" s="31">
        <v>23229</v>
      </c>
      <c r="J300" s="31">
        <v>22331</v>
      </c>
      <c r="K300" s="31">
        <v>70</v>
      </c>
      <c r="L300" s="31">
        <f>[1]!Posts_Table[[#This Row],[Likes]]+[1]!Posts_Table[[#This Row],[Shares]]+[1]!Posts_Table[[#This Row],[Comments]]</f>
        <v>3215</v>
      </c>
      <c r="M300" s="32" t="s">
        <v>28</v>
      </c>
      <c r="N300" s="33" t="s">
        <v>53</v>
      </c>
      <c r="O300" s="33"/>
      <c r="P300" s="33"/>
    </row>
    <row r="301" spans="1:16" ht="14.25" customHeight="1" x14ac:dyDescent="0.35">
      <c r="A301" s="28" t="s">
        <v>387</v>
      </c>
      <c r="B301" s="29" t="s">
        <v>14</v>
      </c>
      <c r="C301" s="30">
        <v>45535</v>
      </c>
      <c r="D301" s="29" t="s">
        <v>40</v>
      </c>
      <c r="E301" s="28" t="s">
        <v>44</v>
      </c>
      <c r="F301" s="31">
        <v>4494</v>
      </c>
      <c r="G301" s="31">
        <v>717</v>
      </c>
      <c r="H301" s="31">
        <v>45</v>
      </c>
      <c r="I301" s="31">
        <v>62916</v>
      </c>
      <c r="J301" s="31">
        <v>62688</v>
      </c>
      <c r="K301" s="31">
        <v>191</v>
      </c>
      <c r="L301" s="31">
        <f>[1]!Posts_Table[[#This Row],[Likes]]+[1]!Posts_Table[[#This Row],[Shares]]+[1]!Posts_Table[[#This Row],[Comments]]</f>
        <v>5256</v>
      </c>
      <c r="M301" s="32" t="s">
        <v>18</v>
      </c>
      <c r="N301" s="33" t="s">
        <v>27</v>
      </c>
      <c r="O301" s="33" t="s">
        <v>34</v>
      </c>
      <c r="P301" s="33" t="s">
        <v>432</v>
      </c>
    </row>
    <row r="302" spans="1:16" ht="14.25" customHeight="1" x14ac:dyDescent="0.35"/>
    <row r="303" spans="1:16" ht="14.25" customHeight="1" x14ac:dyDescent="0.35"/>
    <row r="304" spans="1:16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F3" sqref="F3"/>
    </sheetView>
  </sheetViews>
  <sheetFormatPr defaultColWidth="14.453125" defaultRowHeight="15" customHeight="1" x14ac:dyDescent="0.35"/>
  <cols>
    <col min="1" max="1" width="22.54296875" customWidth="1"/>
    <col min="2" max="2" width="15.26953125" customWidth="1"/>
    <col min="3" max="5" width="8.7265625" customWidth="1"/>
    <col min="6" max="6" width="17.81640625" customWidth="1"/>
    <col min="7" max="7" width="15.26953125" style="20" customWidth="1"/>
    <col min="8" max="8" width="17.1796875" customWidth="1"/>
    <col min="9" max="26" width="8.7265625" customWidth="1"/>
  </cols>
  <sheetData>
    <row r="1" spans="1:8" ht="14.25" customHeight="1" x14ac:dyDescent="0.35">
      <c r="A1" s="1" t="s">
        <v>388</v>
      </c>
      <c r="B1" s="1" t="s">
        <v>1</v>
      </c>
      <c r="C1" s="2" t="s">
        <v>389</v>
      </c>
      <c r="D1" s="1" t="s">
        <v>390</v>
      </c>
      <c r="E1" s="2" t="s">
        <v>391</v>
      </c>
      <c r="F1" s="2" t="s">
        <v>392</v>
      </c>
      <c r="G1" s="18" t="s">
        <v>393</v>
      </c>
      <c r="H1" s="9" t="s">
        <v>433</v>
      </c>
    </row>
    <row r="2" spans="1:8" ht="14.25" customHeight="1" x14ac:dyDescent="0.35">
      <c r="A2" s="3" t="s">
        <v>168</v>
      </c>
      <c r="B2" s="3" t="s">
        <v>30</v>
      </c>
      <c r="C2" s="3">
        <v>1135</v>
      </c>
      <c r="D2" s="3">
        <v>88</v>
      </c>
      <c r="E2" s="3">
        <v>344084</v>
      </c>
      <c r="F2" s="3">
        <v>8.06</v>
      </c>
      <c r="G2" s="19">
        <v>5904</v>
      </c>
      <c r="H2">
        <f>(C2-D2)</f>
        <v>1047</v>
      </c>
    </row>
    <row r="3" spans="1:8" ht="14.25" customHeight="1" x14ac:dyDescent="0.35">
      <c r="A3" s="3" t="s">
        <v>168</v>
      </c>
      <c r="B3" s="3" t="s">
        <v>38</v>
      </c>
      <c r="C3" s="3">
        <v>1312</v>
      </c>
      <c r="D3" s="3">
        <v>310</v>
      </c>
      <c r="E3" s="3">
        <v>42654</v>
      </c>
      <c r="F3" s="3">
        <v>4.9800000000000004</v>
      </c>
      <c r="G3" s="19">
        <v>9566</v>
      </c>
      <c r="H3">
        <f t="shared" ref="H3:H66" si="0">(C3-D3)</f>
        <v>1002</v>
      </c>
    </row>
    <row r="4" spans="1:8" ht="14.25" customHeight="1" x14ac:dyDescent="0.35">
      <c r="A4" s="3" t="s">
        <v>168</v>
      </c>
      <c r="B4" s="3" t="s">
        <v>14</v>
      </c>
      <c r="C4" s="3">
        <v>584</v>
      </c>
      <c r="D4" s="3">
        <v>169</v>
      </c>
      <c r="E4" s="3">
        <v>146834</v>
      </c>
      <c r="F4" s="3">
        <v>8.31</v>
      </c>
      <c r="G4" s="19">
        <v>26752</v>
      </c>
      <c r="H4">
        <f t="shared" si="0"/>
        <v>415</v>
      </c>
    </row>
    <row r="5" spans="1:8" ht="14.25" customHeight="1" x14ac:dyDescent="0.35">
      <c r="A5" s="3" t="s">
        <v>168</v>
      </c>
      <c r="B5" s="3" t="s">
        <v>24</v>
      </c>
      <c r="C5" s="3">
        <v>1535</v>
      </c>
      <c r="D5" s="3">
        <v>445</v>
      </c>
      <c r="E5" s="3">
        <v>395536</v>
      </c>
      <c r="F5" s="3">
        <v>4.1100000000000003</v>
      </c>
      <c r="G5" s="19">
        <v>30671</v>
      </c>
      <c r="H5">
        <f t="shared" si="0"/>
        <v>1090</v>
      </c>
    </row>
    <row r="6" spans="1:8" ht="14.25" customHeight="1" x14ac:dyDescent="0.35">
      <c r="A6" s="3" t="s">
        <v>115</v>
      </c>
      <c r="B6" s="3" t="s">
        <v>30</v>
      </c>
      <c r="C6" s="3">
        <v>656</v>
      </c>
      <c r="D6" s="3">
        <v>139</v>
      </c>
      <c r="E6" s="3">
        <v>49157</v>
      </c>
      <c r="F6" s="3">
        <v>9.0500000000000007</v>
      </c>
      <c r="G6" s="19">
        <v>9920</v>
      </c>
      <c r="H6">
        <f t="shared" si="0"/>
        <v>517</v>
      </c>
    </row>
    <row r="7" spans="1:8" ht="14.25" customHeight="1" x14ac:dyDescent="0.35">
      <c r="A7" s="3" t="s">
        <v>115</v>
      </c>
      <c r="B7" s="3" t="s">
        <v>38</v>
      </c>
      <c r="C7" s="3">
        <v>1697</v>
      </c>
      <c r="D7" s="3">
        <v>414</v>
      </c>
      <c r="E7" s="3">
        <v>316555</v>
      </c>
      <c r="F7" s="3">
        <v>2.37</v>
      </c>
      <c r="G7" s="19">
        <v>7924</v>
      </c>
      <c r="H7">
        <f t="shared" si="0"/>
        <v>1283</v>
      </c>
    </row>
    <row r="8" spans="1:8" ht="14.25" customHeight="1" x14ac:dyDescent="0.35">
      <c r="A8" s="3" t="s">
        <v>115</v>
      </c>
      <c r="B8" s="3" t="s">
        <v>14</v>
      </c>
      <c r="C8" s="3">
        <v>436</v>
      </c>
      <c r="D8" s="3">
        <v>250</v>
      </c>
      <c r="E8" s="3">
        <v>254347</v>
      </c>
      <c r="F8" s="3">
        <v>4.01</v>
      </c>
      <c r="G8" s="19">
        <v>8912</v>
      </c>
      <c r="H8">
        <f t="shared" si="0"/>
        <v>186</v>
      </c>
    </row>
    <row r="9" spans="1:8" ht="14.25" customHeight="1" x14ac:dyDescent="0.35">
      <c r="A9" s="3" t="s">
        <v>115</v>
      </c>
      <c r="B9" s="3" t="s">
        <v>24</v>
      </c>
      <c r="C9" s="3">
        <v>1197</v>
      </c>
      <c r="D9" s="3">
        <v>203</v>
      </c>
      <c r="E9" s="3">
        <v>413878</v>
      </c>
      <c r="F9" s="3">
        <v>3.16</v>
      </c>
      <c r="G9" s="19">
        <v>21205</v>
      </c>
      <c r="H9">
        <f t="shared" si="0"/>
        <v>994</v>
      </c>
    </row>
    <row r="10" spans="1:8" ht="14.25" customHeight="1" x14ac:dyDescent="0.35">
      <c r="A10" s="3" t="s">
        <v>123</v>
      </c>
      <c r="B10" s="3" t="s">
        <v>30</v>
      </c>
      <c r="C10" s="3">
        <v>1048</v>
      </c>
      <c r="D10" s="3">
        <v>155</v>
      </c>
      <c r="E10" s="3">
        <v>456946</v>
      </c>
      <c r="F10" s="3">
        <v>2.46</v>
      </c>
      <c r="G10" s="19">
        <v>11329</v>
      </c>
      <c r="H10">
        <f t="shared" si="0"/>
        <v>893</v>
      </c>
    </row>
    <row r="11" spans="1:8" ht="14.25" customHeight="1" x14ac:dyDescent="0.35">
      <c r="A11" s="3" t="s">
        <v>123</v>
      </c>
      <c r="B11" s="3" t="s">
        <v>38</v>
      </c>
      <c r="C11" s="3">
        <v>1753</v>
      </c>
      <c r="D11" s="3">
        <v>371</v>
      </c>
      <c r="E11" s="3">
        <v>169496</v>
      </c>
      <c r="F11" s="3">
        <v>8.11</v>
      </c>
      <c r="G11" s="19">
        <v>46670</v>
      </c>
      <c r="H11">
        <f t="shared" si="0"/>
        <v>1382</v>
      </c>
    </row>
    <row r="12" spans="1:8" ht="14.25" customHeight="1" x14ac:dyDescent="0.35">
      <c r="A12" s="3" t="s">
        <v>123</v>
      </c>
      <c r="B12" s="3" t="s">
        <v>14</v>
      </c>
      <c r="C12" s="3">
        <v>1335</v>
      </c>
      <c r="D12" s="3">
        <v>40</v>
      </c>
      <c r="E12" s="3">
        <v>122732</v>
      </c>
      <c r="F12" s="3">
        <v>8.19</v>
      </c>
      <c r="G12" s="19">
        <v>22482</v>
      </c>
      <c r="H12">
        <f t="shared" si="0"/>
        <v>1295</v>
      </c>
    </row>
    <row r="13" spans="1:8" ht="14.25" customHeight="1" x14ac:dyDescent="0.35">
      <c r="A13" s="3" t="s">
        <v>123</v>
      </c>
      <c r="B13" s="3" t="s">
        <v>24</v>
      </c>
      <c r="C13" s="3">
        <v>403</v>
      </c>
      <c r="D13" s="3">
        <v>66</v>
      </c>
      <c r="E13" s="3">
        <v>382851</v>
      </c>
      <c r="F13" s="3">
        <v>3.49</v>
      </c>
      <c r="G13" s="19">
        <v>24313</v>
      </c>
      <c r="H13">
        <f t="shared" si="0"/>
        <v>337</v>
      </c>
    </row>
    <row r="14" spans="1:8" ht="14.25" customHeight="1" x14ac:dyDescent="0.35">
      <c r="A14" s="3" t="s">
        <v>43</v>
      </c>
      <c r="B14" s="3" t="s">
        <v>30</v>
      </c>
      <c r="C14" s="3">
        <v>911</v>
      </c>
      <c r="D14" s="3">
        <v>282</v>
      </c>
      <c r="E14" s="3">
        <v>35664</v>
      </c>
      <c r="F14" s="3">
        <v>6.92</v>
      </c>
      <c r="G14" s="19">
        <v>18050</v>
      </c>
      <c r="H14">
        <f t="shared" si="0"/>
        <v>629</v>
      </c>
    </row>
    <row r="15" spans="1:8" ht="14.25" customHeight="1" x14ac:dyDescent="0.35">
      <c r="A15" s="3" t="s">
        <v>43</v>
      </c>
      <c r="B15" s="3" t="s">
        <v>38</v>
      </c>
      <c r="C15" s="3">
        <v>1779</v>
      </c>
      <c r="D15" s="3">
        <v>109</v>
      </c>
      <c r="E15" s="3">
        <v>26295</v>
      </c>
      <c r="F15" s="3">
        <v>9.1199999999999992</v>
      </c>
      <c r="G15" s="19">
        <v>30635</v>
      </c>
      <c r="H15">
        <f t="shared" si="0"/>
        <v>1670</v>
      </c>
    </row>
    <row r="16" spans="1:8" ht="14.25" customHeight="1" x14ac:dyDescent="0.35">
      <c r="A16" s="3" t="s">
        <v>43</v>
      </c>
      <c r="B16" s="3" t="s">
        <v>14</v>
      </c>
      <c r="C16" s="3">
        <v>1238</v>
      </c>
      <c r="D16" s="3">
        <v>403</v>
      </c>
      <c r="E16" s="3">
        <v>298421</v>
      </c>
      <c r="F16" s="3">
        <v>3.5</v>
      </c>
      <c r="G16" s="19">
        <v>31280</v>
      </c>
      <c r="H16">
        <f t="shared" si="0"/>
        <v>835</v>
      </c>
    </row>
    <row r="17" spans="1:8" ht="14.25" customHeight="1" x14ac:dyDescent="0.35">
      <c r="A17" s="3" t="s">
        <v>43</v>
      </c>
      <c r="B17" s="3" t="s">
        <v>24</v>
      </c>
      <c r="C17" s="3">
        <v>308</v>
      </c>
      <c r="D17" s="3">
        <v>431</v>
      </c>
      <c r="E17" s="3">
        <v>426184</v>
      </c>
      <c r="F17" s="3">
        <v>2.62</v>
      </c>
      <c r="G17" s="19">
        <v>1783</v>
      </c>
      <c r="H17">
        <f t="shared" si="0"/>
        <v>-123</v>
      </c>
    </row>
    <row r="18" spans="1:8" ht="14.25" customHeight="1" x14ac:dyDescent="0.35">
      <c r="A18" s="3" t="s">
        <v>314</v>
      </c>
      <c r="B18" s="3" t="s">
        <v>30</v>
      </c>
      <c r="C18" s="3">
        <v>226</v>
      </c>
      <c r="D18" s="3">
        <v>445</v>
      </c>
      <c r="E18" s="3">
        <v>419447</v>
      </c>
      <c r="F18" s="3">
        <v>9.36</v>
      </c>
      <c r="G18" s="19">
        <v>9566</v>
      </c>
      <c r="H18">
        <f t="shared" si="0"/>
        <v>-219</v>
      </c>
    </row>
    <row r="19" spans="1:8" ht="14.25" customHeight="1" x14ac:dyDescent="0.35">
      <c r="A19" s="3" t="s">
        <v>314</v>
      </c>
      <c r="B19" s="3" t="s">
        <v>38</v>
      </c>
      <c r="C19" s="3">
        <v>505</v>
      </c>
      <c r="D19" s="3">
        <v>441</v>
      </c>
      <c r="E19" s="3">
        <v>220020</v>
      </c>
      <c r="F19" s="3">
        <v>4.4800000000000004</v>
      </c>
      <c r="G19" s="19">
        <v>42307</v>
      </c>
      <c r="H19">
        <f t="shared" si="0"/>
        <v>64</v>
      </c>
    </row>
    <row r="20" spans="1:8" ht="14.25" customHeight="1" x14ac:dyDescent="0.35">
      <c r="A20" s="3" t="s">
        <v>314</v>
      </c>
      <c r="B20" s="3" t="s">
        <v>14</v>
      </c>
      <c r="C20" s="3">
        <v>1420</v>
      </c>
      <c r="D20" s="3">
        <v>63</v>
      </c>
      <c r="E20" s="3">
        <v>315305</v>
      </c>
      <c r="F20" s="3">
        <v>6.19</v>
      </c>
      <c r="G20" s="19">
        <v>5914</v>
      </c>
      <c r="H20">
        <f t="shared" si="0"/>
        <v>1357</v>
      </c>
    </row>
    <row r="21" spans="1:8" ht="14.25" customHeight="1" x14ac:dyDescent="0.35">
      <c r="A21" s="3" t="s">
        <v>314</v>
      </c>
      <c r="B21" s="3" t="s">
        <v>24</v>
      </c>
      <c r="C21" s="3">
        <v>144</v>
      </c>
      <c r="D21" s="3">
        <v>53</v>
      </c>
      <c r="E21" s="3">
        <v>113678</v>
      </c>
      <c r="F21" s="3">
        <v>8.7200000000000006</v>
      </c>
      <c r="G21" s="19">
        <v>30060</v>
      </c>
      <c r="H21">
        <f t="shared" si="0"/>
        <v>91</v>
      </c>
    </row>
    <row r="22" spans="1:8" ht="14.25" customHeight="1" x14ac:dyDescent="0.35">
      <c r="A22" s="3" t="s">
        <v>394</v>
      </c>
      <c r="B22" s="3" t="s">
        <v>30</v>
      </c>
      <c r="C22" s="3">
        <v>1757</v>
      </c>
      <c r="D22" s="3">
        <v>85</v>
      </c>
      <c r="E22" s="3">
        <v>58223</v>
      </c>
      <c r="F22" s="3">
        <v>8.74</v>
      </c>
      <c r="G22" s="19">
        <v>22728</v>
      </c>
      <c r="H22">
        <f t="shared" si="0"/>
        <v>1672</v>
      </c>
    </row>
    <row r="23" spans="1:8" ht="14.25" customHeight="1" x14ac:dyDescent="0.35">
      <c r="A23" s="3" t="s">
        <v>394</v>
      </c>
      <c r="B23" s="3" t="s">
        <v>38</v>
      </c>
      <c r="C23" s="3">
        <v>350</v>
      </c>
      <c r="D23" s="3">
        <v>41</v>
      </c>
      <c r="E23" s="3">
        <v>251694</v>
      </c>
      <c r="F23" s="3">
        <v>1.91</v>
      </c>
      <c r="G23" s="19">
        <v>38610</v>
      </c>
      <c r="H23">
        <f t="shared" si="0"/>
        <v>309</v>
      </c>
    </row>
    <row r="24" spans="1:8" ht="14.25" customHeight="1" x14ac:dyDescent="0.35">
      <c r="A24" s="3" t="s">
        <v>394</v>
      </c>
      <c r="B24" s="3" t="s">
        <v>14</v>
      </c>
      <c r="C24" s="3">
        <v>987</v>
      </c>
      <c r="D24" s="3">
        <v>440</v>
      </c>
      <c r="E24" s="3">
        <v>389810</v>
      </c>
      <c r="F24" s="3">
        <v>4.66</v>
      </c>
      <c r="G24" s="19">
        <v>2932</v>
      </c>
      <c r="H24">
        <f t="shared" si="0"/>
        <v>547</v>
      </c>
    </row>
    <row r="25" spans="1:8" ht="14.25" customHeight="1" x14ac:dyDescent="0.35">
      <c r="A25" s="3" t="s">
        <v>394</v>
      </c>
      <c r="B25" s="3" t="s">
        <v>24</v>
      </c>
      <c r="C25" s="3">
        <v>883</v>
      </c>
      <c r="D25" s="3">
        <v>369</v>
      </c>
      <c r="E25" s="3">
        <v>233694</v>
      </c>
      <c r="F25" s="3">
        <v>2.88</v>
      </c>
      <c r="G25" s="19">
        <v>15071</v>
      </c>
      <c r="H25">
        <f t="shared" si="0"/>
        <v>514</v>
      </c>
    </row>
    <row r="26" spans="1:8" ht="14.25" customHeight="1" x14ac:dyDescent="0.35">
      <c r="A26" s="3" t="s">
        <v>223</v>
      </c>
      <c r="B26" s="3" t="s">
        <v>30</v>
      </c>
      <c r="C26" s="3">
        <v>1960</v>
      </c>
      <c r="D26" s="3">
        <v>115</v>
      </c>
      <c r="E26" s="3">
        <v>154169</v>
      </c>
      <c r="F26" s="3">
        <v>3.74</v>
      </c>
      <c r="G26" s="19">
        <v>10740</v>
      </c>
      <c r="H26">
        <f t="shared" si="0"/>
        <v>1845</v>
      </c>
    </row>
    <row r="27" spans="1:8" ht="14.25" customHeight="1" x14ac:dyDescent="0.35">
      <c r="A27" s="3" t="s">
        <v>223</v>
      </c>
      <c r="B27" s="3" t="s">
        <v>38</v>
      </c>
      <c r="C27" s="3">
        <v>170</v>
      </c>
      <c r="D27" s="3">
        <v>334</v>
      </c>
      <c r="E27" s="3">
        <v>334626</v>
      </c>
      <c r="F27" s="3">
        <v>6.44</v>
      </c>
      <c r="G27" s="19">
        <v>43420</v>
      </c>
      <c r="H27">
        <f t="shared" si="0"/>
        <v>-164</v>
      </c>
    </row>
    <row r="28" spans="1:8" ht="14.25" customHeight="1" x14ac:dyDescent="0.35">
      <c r="A28" s="3" t="s">
        <v>223</v>
      </c>
      <c r="B28" s="3" t="s">
        <v>14</v>
      </c>
      <c r="C28" s="3">
        <v>704</v>
      </c>
      <c r="D28" s="3">
        <v>275</v>
      </c>
      <c r="E28" s="3">
        <v>226002</v>
      </c>
      <c r="F28" s="3">
        <v>8.56</v>
      </c>
      <c r="G28" s="19">
        <v>32393</v>
      </c>
      <c r="H28">
        <f t="shared" si="0"/>
        <v>429</v>
      </c>
    </row>
    <row r="29" spans="1:8" ht="14.25" customHeight="1" x14ac:dyDescent="0.35">
      <c r="A29" s="3" t="s">
        <v>223</v>
      </c>
      <c r="B29" s="3" t="s">
        <v>24</v>
      </c>
      <c r="C29" s="3">
        <v>224</v>
      </c>
      <c r="D29" s="3">
        <v>64</v>
      </c>
      <c r="E29" s="3">
        <v>156683</v>
      </c>
      <c r="F29" s="3">
        <v>4.5599999999999996</v>
      </c>
      <c r="G29" s="19">
        <v>28474</v>
      </c>
      <c r="H29">
        <f t="shared" si="0"/>
        <v>160</v>
      </c>
    </row>
    <row r="30" spans="1:8" ht="14.25" customHeight="1" x14ac:dyDescent="0.35">
      <c r="A30" s="3" t="s">
        <v>395</v>
      </c>
      <c r="B30" s="3" t="s">
        <v>30</v>
      </c>
      <c r="C30" s="3">
        <v>508</v>
      </c>
      <c r="D30" s="3">
        <v>349</v>
      </c>
      <c r="E30" s="3">
        <v>473812</v>
      </c>
      <c r="F30" s="3">
        <v>7.88</v>
      </c>
      <c r="G30" s="19">
        <v>17328</v>
      </c>
      <c r="H30">
        <f t="shared" si="0"/>
        <v>159</v>
      </c>
    </row>
    <row r="31" spans="1:8" ht="14.25" customHeight="1" x14ac:dyDescent="0.35">
      <c r="A31" s="3" t="s">
        <v>395</v>
      </c>
      <c r="B31" s="3" t="s">
        <v>38</v>
      </c>
      <c r="C31" s="3">
        <v>1391</v>
      </c>
      <c r="D31" s="3">
        <v>430</v>
      </c>
      <c r="E31" s="3">
        <v>295032</v>
      </c>
      <c r="F31" s="3">
        <v>7.86</v>
      </c>
      <c r="G31" s="19">
        <v>26067</v>
      </c>
      <c r="H31">
        <f t="shared" si="0"/>
        <v>961</v>
      </c>
    </row>
    <row r="32" spans="1:8" ht="14.25" customHeight="1" x14ac:dyDescent="0.35">
      <c r="A32" s="3" t="s">
        <v>395</v>
      </c>
      <c r="B32" s="3" t="s">
        <v>14</v>
      </c>
      <c r="C32" s="3">
        <v>1701</v>
      </c>
      <c r="D32" s="3">
        <v>385</v>
      </c>
      <c r="E32" s="3">
        <v>198278</v>
      </c>
      <c r="F32" s="3">
        <v>5.34</v>
      </c>
      <c r="G32" s="19">
        <v>32763</v>
      </c>
      <c r="H32">
        <f t="shared" si="0"/>
        <v>1316</v>
      </c>
    </row>
    <row r="33" spans="1:8" ht="14.25" customHeight="1" x14ac:dyDescent="0.35">
      <c r="A33" s="3" t="s">
        <v>395</v>
      </c>
      <c r="B33" s="3" t="s">
        <v>24</v>
      </c>
      <c r="C33" s="3">
        <v>804</v>
      </c>
      <c r="D33" s="3">
        <v>487</v>
      </c>
      <c r="E33" s="3">
        <v>306564</v>
      </c>
      <c r="F33" s="3">
        <v>5.52</v>
      </c>
      <c r="G33" s="19">
        <v>26452</v>
      </c>
      <c r="H33">
        <f t="shared" si="0"/>
        <v>317</v>
      </c>
    </row>
    <row r="34" spans="1:8" ht="14.25" customHeight="1" x14ac:dyDescent="0.35">
      <c r="A34" s="3" t="s">
        <v>191</v>
      </c>
      <c r="B34" s="3" t="s">
        <v>30</v>
      </c>
      <c r="C34" s="3">
        <v>653</v>
      </c>
      <c r="D34" s="3">
        <v>112</v>
      </c>
      <c r="E34" s="3">
        <v>23664</v>
      </c>
      <c r="F34" s="3">
        <v>4.05</v>
      </c>
      <c r="G34" s="19">
        <v>15353</v>
      </c>
      <c r="H34">
        <f t="shared" si="0"/>
        <v>541</v>
      </c>
    </row>
    <row r="35" spans="1:8" ht="14.25" customHeight="1" x14ac:dyDescent="0.35">
      <c r="A35" s="3" t="s">
        <v>191</v>
      </c>
      <c r="B35" s="3" t="s">
        <v>38</v>
      </c>
      <c r="C35" s="3">
        <v>160</v>
      </c>
      <c r="D35" s="3">
        <v>478</v>
      </c>
      <c r="E35" s="3">
        <v>435034</v>
      </c>
      <c r="F35" s="3">
        <v>7.73</v>
      </c>
      <c r="G35" s="19">
        <v>4839</v>
      </c>
      <c r="H35">
        <f t="shared" si="0"/>
        <v>-318</v>
      </c>
    </row>
    <row r="36" spans="1:8" ht="14.25" customHeight="1" x14ac:dyDescent="0.35">
      <c r="A36" s="3" t="s">
        <v>191</v>
      </c>
      <c r="B36" s="3" t="s">
        <v>14</v>
      </c>
      <c r="C36" s="3">
        <v>1756</v>
      </c>
      <c r="D36" s="3">
        <v>261</v>
      </c>
      <c r="E36" s="3">
        <v>287574</v>
      </c>
      <c r="F36" s="3">
        <v>4.3600000000000003</v>
      </c>
      <c r="G36" s="19">
        <v>39272</v>
      </c>
      <c r="H36">
        <f t="shared" si="0"/>
        <v>1495</v>
      </c>
    </row>
    <row r="37" spans="1:8" ht="14.25" customHeight="1" x14ac:dyDescent="0.35">
      <c r="A37" s="3" t="s">
        <v>191</v>
      </c>
      <c r="B37" s="3" t="s">
        <v>24</v>
      </c>
      <c r="C37" s="3">
        <v>576</v>
      </c>
      <c r="D37" s="3">
        <v>101</v>
      </c>
      <c r="E37" s="3">
        <v>62499</v>
      </c>
      <c r="F37" s="3">
        <v>3.48</v>
      </c>
      <c r="G37" s="19">
        <v>16804</v>
      </c>
      <c r="H37">
        <f t="shared" si="0"/>
        <v>475</v>
      </c>
    </row>
    <row r="38" spans="1:8" ht="14.25" customHeight="1" x14ac:dyDescent="0.35">
      <c r="A38" s="3" t="s">
        <v>345</v>
      </c>
      <c r="B38" s="3" t="s">
        <v>30</v>
      </c>
      <c r="C38" s="3">
        <v>645</v>
      </c>
      <c r="D38" s="3">
        <v>293</v>
      </c>
      <c r="E38" s="3">
        <v>437968</v>
      </c>
      <c r="F38" s="3">
        <v>7.83</v>
      </c>
      <c r="G38" s="19">
        <v>49303</v>
      </c>
      <c r="H38">
        <f t="shared" si="0"/>
        <v>352</v>
      </c>
    </row>
    <row r="39" spans="1:8" ht="14.25" customHeight="1" x14ac:dyDescent="0.35">
      <c r="A39" s="3" t="s">
        <v>345</v>
      </c>
      <c r="B39" s="3" t="s">
        <v>38</v>
      </c>
      <c r="C39" s="3">
        <v>214</v>
      </c>
      <c r="D39" s="3">
        <v>411</v>
      </c>
      <c r="E39" s="3">
        <v>125034</v>
      </c>
      <c r="F39" s="3">
        <v>6.11</v>
      </c>
      <c r="G39" s="19">
        <v>26455</v>
      </c>
      <c r="H39">
        <f t="shared" si="0"/>
        <v>-197</v>
      </c>
    </row>
    <row r="40" spans="1:8" ht="14.25" customHeight="1" x14ac:dyDescent="0.35">
      <c r="A40" s="3" t="s">
        <v>345</v>
      </c>
      <c r="B40" s="3" t="s">
        <v>14</v>
      </c>
      <c r="C40" s="3">
        <v>826</v>
      </c>
      <c r="D40" s="3">
        <v>498</v>
      </c>
      <c r="E40" s="3">
        <v>449994</v>
      </c>
      <c r="F40" s="3">
        <v>9.43</v>
      </c>
      <c r="G40" s="19">
        <v>12384</v>
      </c>
      <c r="H40">
        <f t="shared" si="0"/>
        <v>328</v>
      </c>
    </row>
    <row r="41" spans="1:8" ht="14.25" customHeight="1" x14ac:dyDescent="0.35">
      <c r="A41" s="3" t="s">
        <v>345</v>
      </c>
      <c r="B41" s="3" t="s">
        <v>24</v>
      </c>
      <c r="C41" s="3">
        <v>460</v>
      </c>
      <c r="D41" s="3">
        <v>141</v>
      </c>
      <c r="E41" s="3">
        <v>320650</v>
      </c>
      <c r="F41" s="3">
        <v>4.04</v>
      </c>
      <c r="G41" s="19">
        <v>49372</v>
      </c>
      <c r="H41">
        <f t="shared" si="0"/>
        <v>319</v>
      </c>
    </row>
    <row r="42" spans="1:8" ht="14.25" customHeight="1" x14ac:dyDescent="0.35">
      <c r="A42" s="3" t="s">
        <v>31</v>
      </c>
      <c r="B42" s="3" t="s">
        <v>30</v>
      </c>
      <c r="C42" s="3">
        <v>1528</v>
      </c>
      <c r="D42" s="3">
        <v>203</v>
      </c>
      <c r="E42" s="3">
        <v>489188</v>
      </c>
      <c r="F42" s="3">
        <v>6.23</v>
      </c>
      <c r="G42" s="19">
        <v>47101</v>
      </c>
      <c r="H42">
        <f t="shared" si="0"/>
        <v>1325</v>
      </c>
    </row>
    <row r="43" spans="1:8" ht="14.25" customHeight="1" x14ac:dyDescent="0.35">
      <c r="A43" s="3" t="s">
        <v>31</v>
      </c>
      <c r="B43" s="3" t="s">
        <v>38</v>
      </c>
      <c r="C43" s="3">
        <v>1534</v>
      </c>
      <c r="D43" s="3">
        <v>200</v>
      </c>
      <c r="E43" s="3">
        <v>307612</v>
      </c>
      <c r="F43" s="3">
        <v>6.01</v>
      </c>
      <c r="G43" s="19">
        <v>37903</v>
      </c>
      <c r="H43">
        <f t="shared" si="0"/>
        <v>1334</v>
      </c>
    </row>
    <row r="44" spans="1:8" ht="14.25" customHeight="1" x14ac:dyDescent="0.35">
      <c r="A44" s="3" t="s">
        <v>31</v>
      </c>
      <c r="B44" s="3" t="s">
        <v>14</v>
      </c>
      <c r="C44" s="3">
        <v>485</v>
      </c>
      <c r="D44" s="3">
        <v>448</v>
      </c>
      <c r="E44" s="3">
        <v>434883</v>
      </c>
      <c r="F44" s="3">
        <v>8.5500000000000007</v>
      </c>
      <c r="G44" s="19">
        <v>33258</v>
      </c>
      <c r="H44">
        <f t="shared" si="0"/>
        <v>37</v>
      </c>
    </row>
    <row r="45" spans="1:8" ht="14.25" customHeight="1" x14ac:dyDescent="0.35">
      <c r="A45" s="3" t="s">
        <v>31</v>
      </c>
      <c r="B45" s="3" t="s">
        <v>24</v>
      </c>
      <c r="C45" s="3">
        <v>1210</v>
      </c>
      <c r="D45" s="3">
        <v>178</v>
      </c>
      <c r="E45" s="3">
        <v>102042</v>
      </c>
      <c r="F45" s="3">
        <v>5.42</v>
      </c>
      <c r="G45" s="19">
        <v>6915</v>
      </c>
      <c r="H45">
        <f t="shared" si="0"/>
        <v>1032</v>
      </c>
    </row>
    <row r="46" spans="1:8" ht="14.25" customHeight="1" x14ac:dyDescent="0.35">
      <c r="A46" s="3" t="s">
        <v>69</v>
      </c>
      <c r="B46" s="3" t="s">
        <v>30</v>
      </c>
      <c r="C46" s="3">
        <v>215</v>
      </c>
      <c r="D46" s="3">
        <v>139</v>
      </c>
      <c r="E46" s="3">
        <v>325444</v>
      </c>
      <c r="F46" s="3">
        <v>3.25</v>
      </c>
      <c r="G46" s="19">
        <v>35501</v>
      </c>
      <c r="H46">
        <f t="shared" si="0"/>
        <v>76</v>
      </c>
    </row>
    <row r="47" spans="1:8" ht="14.25" customHeight="1" x14ac:dyDescent="0.35">
      <c r="A47" s="3" t="s">
        <v>69</v>
      </c>
      <c r="B47" s="3" t="s">
        <v>38</v>
      </c>
      <c r="C47" s="3">
        <v>1078</v>
      </c>
      <c r="D47" s="3">
        <v>20</v>
      </c>
      <c r="E47" s="3">
        <v>183924</v>
      </c>
      <c r="F47" s="3">
        <v>8.84</v>
      </c>
      <c r="G47" s="19">
        <v>14203</v>
      </c>
      <c r="H47">
        <f t="shared" si="0"/>
        <v>1058</v>
      </c>
    </row>
    <row r="48" spans="1:8" ht="14.25" customHeight="1" x14ac:dyDescent="0.35">
      <c r="A48" s="3" t="s">
        <v>69</v>
      </c>
      <c r="B48" s="3" t="s">
        <v>14</v>
      </c>
      <c r="C48" s="3">
        <v>1751</v>
      </c>
      <c r="D48" s="3">
        <v>86</v>
      </c>
      <c r="E48" s="3">
        <v>188655</v>
      </c>
      <c r="F48" s="3">
        <v>7.24</v>
      </c>
      <c r="G48" s="19">
        <v>22206</v>
      </c>
      <c r="H48">
        <f t="shared" si="0"/>
        <v>1665</v>
      </c>
    </row>
    <row r="49" spans="1:8" ht="14.25" customHeight="1" x14ac:dyDescent="0.35">
      <c r="A49" s="3" t="s">
        <v>69</v>
      </c>
      <c r="B49" s="3" t="s">
        <v>24</v>
      </c>
      <c r="C49" s="3">
        <v>221</v>
      </c>
      <c r="D49" s="3">
        <v>31</v>
      </c>
      <c r="E49" s="3">
        <v>87443</v>
      </c>
      <c r="F49" s="3">
        <v>6.19</v>
      </c>
      <c r="G49" s="19">
        <v>10283</v>
      </c>
      <c r="H49">
        <f t="shared" si="0"/>
        <v>190</v>
      </c>
    </row>
    <row r="50" spans="1:8" ht="14.25" customHeight="1" x14ac:dyDescent="0.35">
      <c r="A50" s="3" t="s">
        <v>65</v>
      </c>
      <c r="B50" s="3" t="s">
        <v>30</v>
      </c>
      <c r="C50" s="3">
        <v>1685</v>
      </c>
      <c r="D50" s="3">
        <v>76</v>
      </c>
      <c r="E50" s="3">
        <v>453799</v>
      </c>
      <c r="F50" s="3">
        <v>5.71</v>
      </c>
      <c r="G50" s="19">
        <v>24913</v>
      </c>
      <c r="H50">
        <f t="shared" si="0"/>
        <v>1609</v>
      </c>
    </row>
    <row r="51" spans="1:8" ht="14.25" customHeight="1" x14ac:dyDescent="0.35">
      <c r="A51" s="3" t="s">
        <v>65</v>
      </c>
      <c r="B51" s="3" t="s">
        <v>38</v>
      </c>
      <c r="C51" s="3">
        <v>248</v>
      </c>
      <c r="D51" s="3">
        <v>211</v>
      </c>
      <c r="E51" s="3">
        <v>379380</v>
      </c>
      <c r="F51" s="3">
        <v>9.0399999999999991</v>
      </c>
      <c r="G51" s="19">
        <v>26925</v>
      </c>
      <c r="H51">
        <f t="shared" si="0"/>
        <v>37</v>
      </c>
    </row>
    <row r="52" spans="1:8" ht="14.25" customHeight="1" x14ac:dyDescent="0.35">
      <c r="A52" s="3" t="s">
        <v>65</v>
      </c>
      <c r="B52" s="3" t="s">
        <v>14</v>
      </c>
      <c r="C52" s="3">
        <v>1300</v>
      </c>
      <c r="D52" s="3">
        <v>71</v>
      </c>
      <c r="E52" s="3">
        <v>186454</v>
      </c>
      <c r="F52" s="3">
        <v>3.91</v>
      </c>
      <c r="G52" s="19">
        <v>9942</v>
      </c>
      <c r="H52">
        <f t="shared" si="0"/>
        <v>1229</v>
      </c>
    </row>
    <row r="53" spans="1:8" ht="14.25" customHeight="1" x14ac:dyDescent="0.35">
      <c r="A53" s="3" t="s">
        <v>65</v>
      </c>
      <c r="B53" s="3" t="s">
        <v>24</v>
      </c>
      <c r="C53" s="3">
        <v>422</v>
      </c>
      <c r="D53" s="3">
        <v>394</v>
      </c>
      <c r="E53" s="3">
        <v>239044</v>
      </c>
      <c r="F53" s="3">
        <v>7.83</v>
      </c>
      <c r="G53" s="19">
        <v>32929</v>
      </c>
      <c r="H53">
        <f t="shared" si="0"/>
        <v>28</v>
      </c>
    </row>
    <row r="54" spans="1:8" ht="14.25" customHeight="1" x14ac:dyDescent="0.35">
      <c r="A54" s="3" t="s">
        <v>141</v>
      </c>
      <c r="B54" s="3" t="s">
        <v>30</v>
      </c>
      <c r="C54" s="3">
        <v>1429</v>
      </c>
      <c r="D54" s="3">
        <v>182</v>
      </c>
      <c r="E54" s="3">
        <v>101332</v>
      </c>
      <c r="F54" s="3">
        <v>7.16</v>
      </c>
      <c r="G54" s="19">
        <v>37829</v>
      </c>
      <c r="H54">
        <f t="shared" si="0"/>
        <v>1247</v>
      </c>
    </row>
    <row r="55" spans="1:8" ht="14.25" customHeight="1" x14ac:dyDescent="0.35">
      <c r="A55" s="3" t="s">
        <v>141</v>
      </c>
      <c r="B55" s="3" t="s">
        <v>38</v>
      </c>
      <c r="C55" s="3">
        <v>1520</v>
      </c>
      <c r="D55" s="3">
        <v>475</v>
      </c>
      <c r="E55" s="3">
        <v>496982</v>
      </c>
      <c r="F55" s="3">
        <v>6.41</v>
      </c>
      <c r="G55" s="19">
        <v>24384</v>
      </c>
      <c r="H55">
        <f t="shared" si="0"/>
        <v>1045</v>
      </c>
    </row>
    <row r="56" spans="1:8" ht="14.25" customHeight="1" x14ac:dyDescent="0.35">
      <c r="A56" s="3" t="s">
        <v>141</v>
      </c>
      <c r="B56" s="3" t="s">
        <v>14</v>
      </c>
      <c r="C56" s="3">
        <v>557</v>
      </c>
      <c r="D56" s="3">
        <v>360</v>
      </c>
      <c r="E56" s="3">
        <v>318779</v>
      </c>
      <c r="F56" s="3">
        <v>8.02</v>
      </c>
      <c r="G56" s="19">
        <v>25797</v>
      </c>
      <c r="H56">
        <f t="shared" si="0"/>
        <v>197</v>
      </c>
    </row>
    <row r="57" spans="1:8" ht="14.25" customHeight="1" x14ac:dyDescent="0.35">
      <c r="A57" s="3" t="s">
        <v>141</v>
      </c>
      <c r="B57" s="3" t="s">
        <v>24</v>
      </c>
      <c r="C57" s="3">
        <v>728</v>
      </c>
      <c r="D57" s="3">
        <v>395</v>
      </c>
      <c r="E57" s="3">
        <v>370971</v>
      </c>
      <c r="F57" s="3">
        <v>3.86</v>
      </c>
      <c r="G57" s="19">
        <v>12646</v>
      </c>
      <c r="H57">
        <f t="shared" si="0"/>
        <v>333</v>
      </c>
    </row>
    <row r="58" spans="1:8" ht="14.25" customHeight="1" x14ac:dyDescent="0.35">
      <c r="A58" s="3" t="s">
        <v>74</v>
      </c>
      <c r="B58" s="3" t="s">
        <v>30</v>
      </c>
      <c r="C58" s="3">
        <v>1592</v>
      </c>
      <c r="D58" s="3">
        <v>20</v>
      </c>
      <c r="E58" s="3">
        <v>378054</v>
      </c>
      <c r="F58" s="3">
        <v>9.09</v>
      </c>
      <c r="G58" s="19">
        <v>26663</v>
      </c>
      <c r="H58">
        <f t="shared" si="0"/>
        <v>1572</v>
      </c>
    </row>
    <row r="59" spans="1:8" ht="14.25" customHeight="1" x14ac:dyDescent="0.35">
      <c r="A59" s="3" t="s">
        <v>74</v>
      </c>
      <c r="B59" s="3" t="s">
        <v>38</v>
      </c>
      <c r="C59" s="3">
        <v>1842</v>
      </c>
      <c r="D59" s="3">
        <v>414</v>
      </c>
      <c r="E59" s="3">
        <v>307524</v>
      </c>
      <c r="F59" s="3">
        <v>1.76</v>
      </c>
      <c r="G59" s="19">
        <v>40478</v>
      </c>
      <c r="H59">
        <f t="shared" si="0"/>
        <v>1428</v>
      </c>
    </row>
    <row r="60" spans="1:8" ht="14.25" customHeight="1" x14ac:dyDescent="0.35">
      <c r="A60" s="3" t="s">
        <v>74</v>
      </c>
      <c r="B60" s="3" t="s">
        <v>14</v>
      </c>
      <c r="C60" s="3">
        <v>751</v>
      </c>
      <c r="D60" s="3">
        <v>491</v>
      </c>
      <c r="E60" s="3">
        <v>434047</v>
      </c>
      <c r="F60" s="3">
        <v>9.24</v>
      </c>
      <c r="G60" s="19">
        <v>15476</v>
      </c>
      <c r="H60">
        <f t="shared" si="0"/>
        <v>260</v>
      </c>
    </row>
    <row r="61" spans="1:8" ht="14.25" customHeight="1" x14ac:dyDescent="0.35">
      <c r="A61" s="3" t="s">
        <v>74</v>
      </c>
      <c r="B61" s="3" t="s">
        <v>24</v>
      </c>
      <c r="C61" s="3">
        <v>1409</v>
      </c>
      <c r="D61" s="3">
        <v>309</v>
      </c>
      <c r="E61" s="3">
        <v>64583</v>
      </c>
      <c r="F61" s="3">
        <v>8.99</v>
      </c>
      <c r="G61" s="19">
        <v>10217</v>
      </c>
      <c r="H61">
        <f t="shared" si="0"/>
        <v>1100</v>
      </c>
    </row>
    <row r="62" spans="1:8" ht="14.25" customHeight="1" x14ac:dyDescent="0.35">
      <c r="A62" s="3" t="s">
        <v>396</v>
      </c>
      <c r="B62" s="3" t="s">
        <v>30</v>
      </c>
      <c r="C62" s="3">
        <v>778</v>
      </c>
      <c r="D62" s="3">
        <v>401</v>
      </c>
      <c r="E62" s="3">
        <v>50793</v>
      </c>
      <c r="F62" s="3">
        <v>3.4</v>
      </c>
      <c r="G62" s="19">
        <v>21939</v>
      </c>
      <c r="H62">
        <f t="shared" si="0"/>
        <v>377</v>
      </c>
    </row>
    <row r="63" spans="1:8" ht="14.25" customHeight="1" x14ac:dyDescent="0.35">
      <c r="A63" s="3" t="s">
        <v>396</v>
      </c>
      <c r="B63" s="3" t="s">
        <v>38</v>
      </c>
      <c r="C63" s="3">
        <v>443</v>
      </c>
      <c r="D63" s="3">
        <v>345</v>
      </c>
      <c r="E63" s="3">
        <v>474162</v>
      </c>
      <c r="F63" s="3">
        <v>9.1999999999999993</v>
      </c>
      <c r="G63" s="19">
        <v>47462</v>
      </c>
      <c r="H63">
        <f t="shared" si="0"/>
        <v>98</v>
      </c>
    </row>
    <row r="64" spans="1:8" ht="14.25" customHeight="1" x14ac:dyDescent="0.35">
      <c r="A64" s="3" t="s">
        <v>396</v>
      </c>
      <c r="B64" s="3" t="s">
        <v>14</v>
      </c>
      <c r="C64" s="3">
        <v>1472</v>
      </c>
      <c r="D64" s="3">
        <v>347</v>
      </c>
      <c r="E64" s="3">
        <v>392355</v>
      </c>
      <c r="F64" s="3">
        <v>8.59</v>
      </c>
      <c r="G64" s="19">
        <v>30270</v>
      </c>
      <c r="H64">
        <f t="shared" si="0"/>
        <v>1125</v>
      </c>
    </row>
    <row r="65" spans="1:8" ht="14.25" customHeight="1" x14ac:dyDescent="0.35">
      <c r="A65" s="3" t="s">
        <v>396</v>
      </c>
      <c r="B65" s="3" t="s">
        <v>24</v>
      </c>
      <c r="C65" s="3">
        <v>123</v>
      </c>
      <c r="D65" s="3">
        <v>155</v>
      </c>
      <c r="E65" s="3">
        <v>119934</v>
      </c>
      <c r="F65" s="3">
        <v>3.5</v>
      </c>
      <c r="G65" s="19">
        <v>5442</v>
      </c>
      <c r="H65">
        <f t="shared" si="0"/>
        <v>-32</v>
      </c>
    </row>
    <row r="66" spans="1:8" ht="14.25" customHeight="1" x14ac:dyDescent="0.35">
      <c r="A66" s="3" t="s">
        <v>397</v>
      </c>
      <c r="B66" s="3" t="s">
        <v>30</v>
      </c>
      <c r="C66" s="3">
        <v>817</v>
      </c>
      <c r="D66" s="3">
        <v>151</v>
      </c>
      <c r="E66" s="3">
        <v>422625</v>
      </c>
      <c r="F66" s="3">
        <v>2.36</v>
      </c>
      <c r="G66" s="19">
        <v>1083</v>
      </c>
      <c r="H66">
        <f t="shared" si="0"/>
        <v>666</v>
      </c>
    </row>
    <row r="67" spans="1:8" ht="14.25" customHeight="1" x14ac:dyDescent="0.35">
      <c r="A67" s="3" t="s">
        <v>397</v>
      </c>
      <c r="B67" s="3" t="s">
        <v>38</v>
      </c>
      <c r="C67" s="3">
        <v>198</v>
      </c>
      <c r="D67" s="3">
        <v>217</v>
      </c>
      <c r="E67" s="3">
        <v>239753</v>
      </c>
      <c r="F67" s="3">
        <v>7.36</v>
      </c>
      <c r="G67" s="19">
        <v>11901</v>
      </c>
      <c r="H67">
        <f t="shared" ref="H67:H130" si="1">(C67-D67)</f>
        <v>-19</v>
      </c>
    </row>
    <row r="68" spans="1:8" ht="14.25" customHeight="1" x14ac:dyDescent="0.35">
      <c r="A68" s="3" t="s">
        <v>397</v>
      </c>
      <c r="B68" s="3" t="s">
        <v>14</v>
      </c>
      <c r="C68" s="3">
        <v>1911</v>
      </c>
      <c r="D68" s="3">
        <v>231</v>
      </c>
      <c r="E68" s="3">
        <v>268516</v>
      </c>
      <c r="F68" s="3">
        <v>8.5500000000000007</v>
      </c>
      <c r="G68" s="19">
        <v>24018</v>
      </c>
      <c r="H68">
        <f t="shared" si="1"/>
        <v>1680</v>
      </c>
    </row>
    <row r="69" spans="1:8" ht="14.25" customHeight="1" x14ac:dyDescent="0.35">
      <c r="A69" s="3" t="s">
        <v>397</v>
      </c>
      <c r="B69" s="3" t="s">
        <v>24</v>
      </c>
      <c r="C69" s="3">
        <v>1218</v>
      </c>
      <c r="D69" s="3">
        <v>212</v>
      </c>
      <c r="E69" s="3">
        <v>63177</v>
      </c>
      <c r="F69" s="3">
        <v>8.1300000000000008</v>
      </c>
      <c r="G69" s="19">
        <v>38883</v>
      </c>
      <c r="H69">
        <f t="shared" si="1"/>
        <v>1006</v>
      </c>
    </row>
    <row r="70" spans="1:8" ht="14.25" customHeight="1" x14ac:dyDescent="0.35">
      <c r="A70" s="3" t="s">
        <v>398</v>
      </c>
      <c r="B70" s="3" t="s">
        <v>30</v>
      </c>
      <c r="C70" s="3">
        <v>1433</v>
      </c>
      <c r="D70" s="3">
        <v>408</v>
      </c>
      <c r="E70" s="3">
        <v>370269</v>
      </c>
      <c r="F70" s="3">
        <v>3.3</v>
      </c>
      <c r="G70" s="19">
        <v>30575</v>
      </c>
      <c r="H70">
        <f t="shared" si="1"/>
        <v>1025</v>
      </c>
    </row>
    <row r="71" spans="1:8" ht="14.25" customHeight="1" x14ac:dyDescent="0.35">
      <c r="A71" s="3" t="s">
        <v>398</v>
      </c>
      <c r="B71" s="3" t="s">
        <v>38</v>
      </c>
      <c r="C71" s="3">
        <v>250</v>
      </c>
      <c r="D71" s="3">
        <v>429</v>
      </c>
      <c r="E71" s="3">
        <v>453423</v>
      </c>
      <c r="F71" s="3">
        <v>1.77</v>
      </c>
      <c r="G71" s="19">
        <v>2315</v>
      </c>
      <c r="H71">
        <f t="shared" si="1"/>
        <v>-179</v>
      </c>
    </row>
    <row r="72" spans="1:8" ht="14.25" customHeight="1" x14ac:dyDescent="0.35">
      <c r="A72" s="3" t="s">
        <v>398</v>
      </c>
      <c r="B72" s="3" t="s">
        <v>14</v>
      </c>
      <c r="C72" s="3">
        <v>752</v>
      </c>
      <c r="D72" s="3">
        <v>153</v>
      </c>
      <c r="E72" s="3">
        <v>64906</v>
      </c>
      <c r="F72" s="3">
        <v>2.09</v>
      </c>
      <c r="G72" s="19">
        <v>12148</v>
      </c>
      <c r="H72">
        <f t="shared" si="1"/>
        <v>599</v>
      </c>
    </row>
    <row r="73" spans="1:8" ht="14.25" customHeight="1" x14ac:dyDescent="0.35">
      <c r="A73" s="3" t="s">
        <v>398</v>
      </c>
      <c r="B73" s="3" t="s">
        <v>24</v>
      </c>
      <c r="C73" s="3">
        <v>1918</v>
      </c>
      <c r="D73" s="3">
        <v>212</v>
      </c>
      <c r="E73" s="3">
        <v>94360</v>
      </c>
      <c r="F73" s="3">
        <v>7.36</v>
      </c>
      <c r="G73" s="19">
        <v>36851</v>
      </c>
      <c r="H73">
        <f t="shared" si="1"/>
        <v>1706</v>
      </c>
    </row>
    <row r="74" spans="1:8" ht="14.25" customHeight="1" x14ac:dyDescent="0.35">
      <c r="A74" s="3" t="s">
        <v>399</v>
      </c>
      <c r="B74" s="3" t="s">
        <v>30</v>
      </c>
      <c r="C74" s="3">
        <v>1939</v>
      </c>
      <c r="D74" s="3">
        <v>67</v>
      </c>
      <c r="E74" s="3">
        <v>187183</v>
      </c>
      <c r="F74" s="3">
        <v>6.25</v>
      </c>
      <c r="G74" s="19">
        <v>41215</v>
      </c>
      <c r="H74">
        <f t="shared" si="1"/>
        <v>1872</v>
      </c>
    </row>
    <row r="75" spans="1:8" ht="14.25" customHeight="1" x14ac:dyDescent="0.35">
      <c r="A75" s="3" t="s">
        <v>399</v>
      </c>
      <c r="B75" s="3" t="s">
        <v>38</v>
      </c>
      <c r="C75" s="3">
        <v>1929</v>
      </c>
      <c r="D75" s="3">
        <v>267</v>
      </c>
      <c r="E75" s="3">
        <v>379363</v>
      </c>
      <c r="F75" s="3">
        <v>1.75</v>
      </c>
      <c r="G75" s="19">
        <v>43836</v>
      </c>
      <c r="H75">
        <f t="shared" si="1"/>
        <v>1662</v>
      </c>
    </row>
    <row r="76" spans="1:8" ht="14.25" customHeight="1" x14ac:dyDescent="0.35">
      <c r="A76" s="3" t="s">
        <v>399</v>
      </c>
      <c r="B76" s="3" t="s">
        <v>14</v>
      </c>
      <c r="C76" s="3">
        <v>437</v>
      </c>
      <c r="D76" s="3">
        <v>330</v>
      </c>
      <c r="E76" s="3">
        <v>476486</v>
      </c>
      <c r="F76" s="3">
        <v>4.97</v>
      </c>
      <c r="G76" s="19">
        <v>4509</v>
      </c>
      <c r="H76">
        <f t="shared" si="1"/>
        <v>107</v>
      </c>
    </row>
    <row r="77" spans="1:8" ht="14.25" customHeight="1" x14ac:dyDescent="0.35">
      <c r="A77" s="3" t="s">
        <v>399</v>
      </c>
      <c r="B77" s="3" t="s">
        <v>24</v>
      </c>
      <c r="C77" s="3">
        <v>307</v>
      </c>
      <c r="D77" s="3">
        <v>189</v>
      </c>
      <c r="E77" s="3">
        <v>117767</v>
      </c>
      <c r="F77" s="3">
        <v>9.3000000000000007</v>
      </c>
      <c r="G77" s="19">
        <v>27822</v>
      </c>
      <c r="H77">
        <f t="shared" si="1"/>
        <v>118</v>
      </c>
    </row>
    <row r="78" spans="1:8" ht="14.25" customHeight="1" x14ac:dyDescent="0.35">
      <c r="A78" s="3" t="s">
        <v>400</v>
      </c>
      <c r="B78" s="3" t="s">
        <v>30</v>
      </c>
      <c r="C78" s="3">
        <v>1527</v>
      </c>
      <c r="D78" s="3">
        <v>303</v>
      </c>
      <c r="E78" s="3">
        <v>388555</v>
      </c>
      <c r="F78" s="3">
        <v>8.9</v>
      </c>
      <c r="G78" s="19">
        <v>36397</v>
      </c>
      <c r="H78">
        <f t="shared" si="1"/>
        <v>1224</v>
      </c>
    </row>
    <row r="79" spans="1:8" ht="14.25" customHeight="1" x14ac:dyDescent="0.35">
      <c r="A79" s="3" t="s">
        <v>400</v>
      </c>
      <c r="B79" s="3" t="s">
        <v>38</v>
      </c>
      <c r="C79" s="3">
        <v>643</v>
      </c>
      <c r="D79" s="3">
        <v>358</v>
      </c>
      <c r="E79" s="3">
        <v>157599</v>
      </c>
      <c r="F79" s="3">
        <v>3.88</v>
      </c>
      <c r="G79" s="19">
        <v>7285</v>
      </c>
      <c r="H79">
        <f t="shared" si="1"/>
        <v>285</v>
      </c>
    </row>
    <row r="80" spans="1:8" ht="14.25" customHeight="1" x14ac:dyDescent="0.35">
      <c r="A80" s="3" t="s">
        <v>400</v>
      </c>
      <c r="B80" s="3" t="s">
        <v>14</v>
      </c>
      <c r="C80" s="3">
        <v>201</v>
      </c>
      <c r="D80" s="3">
        <v>221</v>
      </c>
      <c r="E80" s="3">
        <v>309772</v>
      </c>
      <c r="F80" s="3">
        <v>5.9</v>
      </c>
      <c r="G80" s="19">
        <v>33174</v>
      </c>
      <c r="H80">
        <f t="shared" si="1"/>
        <v>-20</v>
      </c>
    </row>
    <row r="81" spans="1:8" ht="14.25" customHeight="1" x14ac:dyDescent="0.35">
      <c r="A81" s="3" t="s">
        <v>400</v>
      </c>
      <c r="B81" s="3" t="s">
        <v>24</v>
      </c>
      <c r="C81" s="3">
        <v>414</v>
      </c>
      <c r="D81" s="3">
        <v>47</v>
      </c>
      <c r="E81" s="3">
        <v>199178</v>
      </c>
      <c r="F81" s="3">
        <v>1.53</v>
      </c>
      <c r="G81" s="19">
        <v>6742</v>
      </c>
      <c r="H81">
        <f t="shared" si="1"/>
        <v>367</v>
      </c>
    </row>
    <row r="82" spans="1:8" ht="14.25" customHeight="1" x14ac:dyDescent="0.35">
      <c r="A82" s="3" t="s">
        <v>126</v>
      </c>
      <c r="B82" s="3" t="s">
        <v>30</v>
      </c>
      <c r="C82" s="3">
        <v>703</v>
      </c>
      <c r="D82" s="3">
        <v>441</v>
      </c>
      <c r="E82" s="3">
        <v>357089</v>
      </c>
      <c r="F82" s="3">
        <v>6.5</v>
      </c>
      <c r="G82" s="19">
        <v>32478</v>
      </c>
      <c r="H82">
        <f t="shared" si="1"/>
        <v>262</v>
      </c>
    </row>
    <row r="83" spans="1:8" ht="14.25" customHeight="1" x14ac:dyDescent="0.35">
      <c r="A83" s="3" t="s">
        <v>126</v>
      </c>
      <c r="B83" s="3" t="s">
        <v>38</v>
      </c>
      <c r="C83" s="3">
        <v>508</v>
      </c>
      <c r="D83" s="3">
        <v>69</v>
      </c>
      <c r="E83" s="3">
        <v>23492</v>
      </c>
      <c r="F83" s="3">
        <v>3.16</v>
      </c>
      <c r="G83" s="19">
        <v>42824</v>
      </c>
      <c r="H83">
        <f t="shared" si="1"/>
        <v>439</v>
      </c>
    </row>
    <row r="84" spans="1:8" ht="14.25" customHeight="1" x14ac:dyDescent="0.35">
      <c r="A84" s="3" t="s">
        <v>126</v>
      </c>
      <c r="B84" s="3" t="s">
        <v>14</v>
      </c>
      <c r="C84" s="3">
        <v>697</v>
      </c>
      <c r="D84" s="3">
        <v>61</v>
      </c>
      <c r="E84" s="3">
        <v>258287</v>
      </c>
      <c r="F84" s="3">
        <v>8.25</v>
      </c>
      <c r="G84" s="19">
        <v>21208</v>
      </c>
      <c r="H84">
        <f t="shared" si="1"/>
        <v>636</v>
      </c>
    </row>
    <row r="85" spans="1:8" ht="14.25" customHeight="1" x14ac:dyDescent="0.35">
      <c r="A85" s="3" t="s">
        <v>126</v>
      </c>
      <c r="B85" s="3" t="s">
        <v>24</v>
      </c>
      <c r="C85" s="3">
        <v>1707</v>
      </c>
      <c r="D85" s="3">
        <v>223</v>
      </c>
      <c r="E85" s="3">
        <v>256910</v>
      </c>
      <c r="F85" s="3">
        <v>5.41</v>
      </c>
      <c r="G85" s="19">
        <v>44321</v>
      </c>
      <c r="H85">
        <f t="shared" si="1"/>
        <v>1484</v>
      </c>
    </row>
    <row r="86" spans="1:8" ht="14.25" customHeight="1" x14ac:dyDescent="0.35">
      <c r="A86" s="3" t="s">
        <v>146</v>
      </c>
      <c r="B86" s="3" t="s">
        <v>30</v>
      </c>
      <c r="C86" s="3">
        <v>642</v>
      </c>
      <c r="D86" s="3">
        <v>66</v>
      </c>
      <c r="E86" s="3">
        <v>346522</v>
      </c>
      <c r="F86" s="3">
        <v>5.85</v>
      </c>
      <c r="G86" s="19">
        <v>13116</v>
      </c>
      <c r="H86">
        <f t="shared" si="1"/>
        <v>576</v>
      </c>
    </row>
    <row r="87" spans="1:8" ht="14.25" customHeight="1" x14ac:dyDescent="0.35">
      <c r="A87" s="3" t="s">
        <v>146</v>
      </c>
      <c r="B87" s="3" t="s">
        <v>38</v>
      </c>
      <c r="C87" s="3">
        <v>859</v>
      </c>
      <c r="D87" s="3">
        <v>473</v>
      </c>
      <c r="E87" s="3">
        <v>209987</v>
      </c>
      <c r="F87" s="3">
        <v>4.46</v>
      </c>
      <c r="G87" s="19">
        <v>30214</v>
      </c>
      <c r="H87">
        <f t="shared" si="1"/>
        <v>386</v>
      </c>
    </row>
    <row r="88" spans="1:8" ht="14.25" customHeight="1" x14ac:dyDescent="0.35">
      <c r="A88" s="3" t="s">
        <v>146</v>
      </c>
      <c r="B88" s="3" t="s">
        <v>14</v>
      </c>
      <c r="C88" s="3">
        <v>191</v>
      </c>
      <c r="D88" s="3">
        <v>154</v>
      </c>
      <c r="E88" s="3">
        <v>240550</v>
      </c>
      <c r="F88" s="3">
        <v>5.22</v>
      </c>
      <c r="G88" s="19">
        <v>15827</v>
      </c>
      <c r="H88">
        <f t="shared" si="1"/>
        <v>37</v>
      </c>
    </row>
    <row r="89" spans="1:8" ht="14.25" customHeight="1" x14ac:dyDescent="0.35">
      <c r="A89" s="3" t="s">
        <v>146</v>
      </c>
      <c r="B89" s="3" t="s">
        <v>24</v>
      </c>
      <c r="C89" s="3">
        <v>1814</v>
      </c>
      <c r="D89" s="3">
        <v>157</v>
      </c>
      <c r="E89" s="3">
        <v>305827</v>
      </c>
      <c r="F89" s="3">
        <v>1.99</v>
      </c>
      <c r="G89" s="19">
        <v>46643</v>
      </c>
      <c r="H89">
        <f t="shared" si="1"/>
        <v>1657</v>
      </c>
    </row>
    <row r="90" spans="1:8" ht="14.25" customHeight="1" x14ac:dyDescent="0.35">
      <c r="A90" s="3" t="s">
        <v>199</v>
      </c>
      <c r="B90" s="3" t="s">
        <v>30</v>
      </c>
      <c r="C90" s="3">
        <v>1466</v>
      </c>
      <c r="D90" s="3">
        <v>69</v>
      </c>
      <c r="E90" s="3">
        <v>54935</v>
      </c>
      <c r="F90" s="3">
        <v>6.85</v>
      </c>
      <c r="G90" s="19">
        <v>36484</v>
      </c>
      <c r="H90">
        <f t="shared" si="1"/>
        <v>1397</v>
      </c>
    </row>
    <row r="91" spans="1:8" ht="14.25" customHeight="1" x14ac:dyDescent="0.35">
      <c r="A91" s="3" t="s">
        <v>199</v>
      </c>
      <c r="B91" s="3" t="s">
        <v>38</v>
      </c>
      <c r="C91" s="3">
        <v>947</v>
      </c>
      <c r="D91" s="3">
        <v>407</v>
      </c>
      <c r="E91" s="3">
        <v>319186</v>
      </c>
      <c r="F91" s="3">
        <v>3.32</v>
      </c>
      <c r="G91" s="19">
        <v>4996</v>
      </c>
      <c r="H91">
        <f t="shared" si="1"/>
        <v>540</v>
      </c>
    </row>
    <row r="92" spans="1:8" ht="14.25" customHeight="1" x14ac:dyDescent="0.35">
      <c r="A92" s="3" t="s">
        <v>199</v>
      </c>
      <c r="B92" s="3" t="s">
        <v>14</v>
      </c>
      <c r="C92" s="3">
        <v>1821</v>
      </c>
      <c r="D92" s="3">
        <v>218</v>
      </c>
      <c r="E92" s="3">
        <v>439080</v>
      </c>
      <c r="F92" s="3">
        <v>5.68</v>
      </c>
      <c r="G92" s="19">
        <v>36095</v>
      </c>
      <c r="H92">
        <f t="shared" si="1"/>
        <v>1603</v>
      </c>
    </row>
    <row r="93" spans="1:8" ht="14.25" customHeight="1" x14ac:dyDescent="0.35">
      <c r="A93" s="3" t="s">
        <v>199</v>
      </c>
      <c r="B93" s="3" t="s">
        <v>24</v>
      </c>
      <c r="C93" s="3">
        <v>1507</v>
      </c>
      <c r="D93" s="3">
        <v>463</v>
      </c>
      <c r="E93" s="3">
        <v>258944</v>
      </c>
      <c r="F93" s="3">
        <v>6.08</v>
      </c>
      <c r="G93" s="19">
        <v>16443</v>
      </c>
      <c r="H93">
        <f t="shared" si="1"/>
        <v>1044</v>
      </c>
    </row>
    <row r="94" spans="1:8" ht="14.25" customHeight="1" x14ac:dyDescent="0.35">
      <c r="A94" s="3" t="s">
        <v>401</v>
      </c>
      <c r="B94" s="3" t="s">
        <v>30</v>
      </c>
      <c r="C94" s="3">
        <v>1075</v>
      </c>
      <c r="D94" s="3">
        <v>173</v>
      </c>
      <c r="E94" s="3">
        <v>51395</v>
      </c>
      <c r="F94" s="3">
        <v>4.66</v>
      </c>
      <c r="G94" s="19">
        <v>47812</v>
      </c>
      <c r="H94">
        <f t="shared" si="1"/>
        <v>902</v>
      </c>
    </row>
    <row r="95" spans="1:8" ht="14.25" customHeight="1" x14ac:dyDescent="0.35">
      <c r="A95" s="3" t="s">
        <v>401</v>
      </c>
      <c r="B95" s="3" t="s">
        <v>38</v>
      </c>
      <c r="C95" s="3">
        <v>171</v>
      </c>
      <c r="D95" s="3">
        <v>277</v>
      </c>
      <c r="E95" s="3">
        <v>309483</v>
      </c>
      <c r="F95" s="3">
        <v>8.6999999999999993</v>
      </c>
      <c r="G95" s="19">
        <v>38452</v>
      </c>
      <c r="H95">
        <f t="shared" si="1"/>
        <v>-106</v>
      </c>
    </row>
    <row r="96" spans="1:8" ht="14.25" customHeight="1" x14ac:dyDescent="0.35">
      <c r="A96" s="3" t="s">
        <v>401</v>
      </c>
      <c r="B96" s="3" t="s">
        <v>14</v>
      </c>
      <c r="C96" s="3">
        <v>1487</v>
      </c>
      <c r="D96" s="3">
        <v>337</v>
      </c>
      <c r="E96" s="3">
        <v>87305</v>
      </c>
      <c r="F96" s="3">
        <v>2.46</v>
      </c>
      <c r="G96" s="19">
        <v>30428</v>
      </c>
      <c r="H96">
        <f t="shared" si="1"/>
        <v>1150</v>
      </c>
    </row>
    <row r="97" spans="1:8" ht="14.25" customHeight="1" x14ac:dyDescent="0.35">
      <c r="A97" s="3" t="s">
        <v>401</v>
      </c>
      <c r="B97" s="3" t="s">
        <v>24</v>
      </c>
      <c r="C97" s="3">
        <v>454</v>
      </c>
      <c r="D97" s="3">
        <v>105</v>
      </c>
      <c r="E97" s="3">
        <v>121091</v>
      </c>
      <c r="F97" s="3">
        <v>7.97</v>
      </c>
      <c r="G97" s="19">
        <v>9269</v>
      </c>
      <c r="H97">
        <f t="shared" si="1"/>
        <v>349</v>
      </c>
    </row>
    <row r="98" spans="1:8" ht="14.25" customHeight="1" x14ac:dyDescent="0.35">
      <c r="A98" s="3" t="s">
        <v>57</v>
      </c>
      <c r="B98" s="3" t="s">
        <v>30</v>
      </c>
      <c r="C98" s="3">
        <v>187</v>
      </c>
      <c r="D98" s="3">
        <v>236</v>
      </c>
      <c r="E98" s="3">
        <v>51087</v>
      </c>
      <c r="F98" s="3">
        <v>9.41</v>
      </c>
      <c r="G98" s="19">
        <v>29533</v>
      </c>
      <c r="H98">
        <f t="shared" si="1"/>
        <v>-49</v>
      </c>
    </row>
    <row r="99" spans="1:8" ht="14.25" customHeight="1" x14ac:dyDescent="0.35">
      <c r="A99" s="3" t="s">
        <v>57</v>
      </c>
      <c r="B99" s="3" t="s">
        <v>38</v>
      </c>
      <c r="C99" s="3">
        <v>513</v>
      </c>
      <c r="D99" s="3">
        <v>441</v>
      </c>
      <c r="E99" s="3">
        <v>338847</v>
      </c>
      <c r="F99" s="3">
        <v>2.68</v>
      </c>
      <c r="G99" s="19">
        <v>39997</v>
      </c>
      <c r="H99">
        <f t="shared" si="1"/>
        <v>72</v>
      </c>
    </row>
    <row r="100" spans="1:8" ht="14.25" customHeight="1" x14ac:dyDescent="0.35">
      <c r="A100" s="3" t="s">
        <v>57</v>
      </c>
      <c r="B100" s="3" t="s">
        <v>14</v>
      </c>
      <c r="C100" s="3">
        <v>628</v>
      </c>
      <c r="D100" s="3">
        <v>183</v>
      </c>
      <c r="E100" s="3">
        <v>487523</v>
      </c>
      <c r="F100" s="3">
        <v>7.32</v>
      </c>
      <c r="G100" s="19">
        <v>5391</v>
      </c>
      <c r="H100">
        <f t="shared" si="1"/>
        <v>445</v>
      </c>
    </row>
    <row r="101" spans="1:8" ht="14.25" customHeight="1" x14ac:dyDescent="0.35">
      <c r="A101" s="3" t="s">
        <v>57</v>
      </c>
      <c r="B101" s="3" t="s">
        <v>24</v>
      </c>
      <c r="C101" s="3">
        <v>278</v>
      </c>
      <c r="D101" s="3">
        <v>218</v>
      </c>
      <c r="E101" s="3">
        <v>301695</v>
      </c>
      <c r="F101" s="3">
        <v>4.68</v>
      </c>
      <c r="G101" s="19">
        <v>22373</v>
      </c>
      <c r="H101">
        <f t="shared" si="1"/>
        <v>60</v>
      </c>
    </row>
    <row r="102" spans="1:8" ht="14.25" customHeight="1" x14ac:dyDescent="0.35">
      <c r="A102" s="3" t="s">
        <v>100</v>
      </c>
      <c r="B102" s="3" t="s">
        <v>30</v>
      </c>
      <c r="C102" s="3">
        <v>1854</v>
      </c>
      <c r="D102" s="3">
        <v>161</v>
      </c>
      <c r="E102" s="3">
        <v>282466</v>
      </c>
      <c r="F102" s="3">
        <v>5.17</v>
      </c>
      <c r="G102" s="19">
        <v>1810</v>
      </c>
      <c r="H102">
        <f t="shared" si="1"/>
        <v>1693</v>
      </c>
    </row>
    <row r="103" spans="1:8" ht="14.25" customHeight="1" x14ac:dyDescent="0.35">
      <c r="A103" s="3" t="s">
        <v>100</v>
      </c>
      <c r="B103" s="3" t="s">
        <v>38</v>
      </c>
      <c r="C103" s="3">
        <v>1710</v>
      </c>
      <c r="D103" s="3">
        <v>378</v>
      </c>
      <c r="E103" s="3">
        <v>336661</v>
      </c>
      <c r="F103" s="3">
        <v>6.2</v>
      </c>
      <c r="G103" s="19">
        <v>28498</v>
      </c>
      <c r="H103">
        <f t="shared" si="1"/>
        <v>1332</v>
      </c>
    </row>
    <row r="104" spans="1:8" ht="14.25" customHeight="1" x14ac:dyDescent="0.35">
      <c r="A104" s="3" t="s">
        <v>100</v>
      </c>
      <c r="B104" s="3" t="s">
        <v>14</v>
      </c>
      <c r="C104" s="3">
        <v>330</v>
      </c>
      <c r="D104" s="3">
        <v>232</v>
      </c>
      <c r="E104" s="3">
        <v>88455</v>
      </c>
      <c r="F104" s="3">
        <v>2.69</v>
      </c>
      <c r="G104" s="19">
        <v>39530</v>
      </c>
      <c r="H104">
        <f t="shared" si="1"/>
        <v>98</v>
      </c>
    </row>
    <row r="105" spans="1:8" ht="14.25" customHeight="1" x14ac:dyDescent="0.35">
      <c r="A105" s="3" t="s">
        <v>100</v>
      </c>
      <c r="B105" s="3" t="s">
        <v>24</v>
      </c>
      <c r="C105" s="3">
        <v>1293</v>
      </c>
      <c r="D105" s="3">
        <v>408</v>
      </c>
      <c r="E105" s="3">
        <v>62535</v>
      </c>
      <c r="F105" s="3">
        <v>8.9</v>
      </c>
      <c r="G105" s="19">
        <v>37876</v>
      </c>
      <c r="H105">
        <f t="shared" si="1"/>
        <v>885</v>
      </c>
    </row>
    <row r="106" spans="1:8" ht="14.25" customHeight="1" x14ac:dyDescent="0.35">
      <c r="A106" s="3" t="s">
        <v>402</v>
      </c>
      <c r="B106" s="3" t="s">
        <v>30</v>
      </c>
      <c r="C106" s="3">
        <v>1696</v>
      </c>
      <c r="D106" s="3">
        <v>71</v>
      </c>
      <c r="E106" s="3">
        <v>421957</v>
      </c>
      <c r="F106" s="3">
        <v>3.79</v>
      </c>
      <c r="G106" s="19">
        <v>36103</v>
      </c>
      <c r="H106">
        <f t="shared" si="1"/>
        <v>1625</v>
      </c>
    </row>
    <row r="107" spans="1:8" ht="14.25" customHeight="1" x14ac:dyDescent="0.35">
      <c r="A107" s="3" t="s">
        <v>402</v>
      </c>
      <c r="B107" s="3" t="s">
        <v>38</v>
      </c>
      <c r="C107" s="3">
        <v>1902</v>
      </c>
      <c r="D107" s="3">
        <v>196</v>
      </c>
      <c r="E107" s="3">
        <v>470269</v>
      </c>
      <c r="F107" s="3">
        <v>4.79</v>
      </c>
      <c r="G107" s="19">
        <v>26103</v>
      </c>
      <c r="H107">
        <f t="shared" si="1"/>
        <v>1706</v>
      </c>
    </row>
    <row r="108" spans="1:8" ht="14.25" customHeight="1" x14ac:dyDescent="0.35">
      <c r="A108" s="3" t="s">
        <v>402</v>
      </c>
      <c r="B108" s="3" t="s">
        <v>14</v>
      </c>
      <c r="C108" s="3">
        <v>1441</v>
      </c>
      <c r="D108" s="3">
        <v>268</v>
      </c>
      <c r="E108" s="3">
        <v>309904</v>
      </c>
      <c r="F108" s="3">
        <v>6.37</v>
      </c>
      <c r="G108" s="19">
        <v>3455</v>
      </c>
      <c r="H108">
        <f t="shared" si="1"/>
        <v>1173</v>
      </c>
    </row>
    <row r="109" spans="1:8" ht="14.25" customHeight="1" x14ac:dyDescent="0.35">
      <c r="A109" s="3" t="s">
        <v>402</v>
      </c>
      <c r="B109" s="3" t="s">
        <v>24</v>
      </c>
      <c r="C109" s="3">
        <v>452</v>
      </c>
      <c r="D109" s="3">
        <v>161</v>
      </c>
      <c r="E109" s="3">
        <v>221274</v>
      </c>
      <c r="F109" s="3">
        <v>2.65</v>
      </c>
      <c r="G109" s="19">
        <v>40888</v>
      </c>
      <c r="H109">
        <f t="shared" si="1"/>
        <v>291</v>
      </c>
    </row>
    <row r="110" spans="1:8" ht="14.25" customHeight="1" x14ac:dyDescent="0.35">
      <c r="A110" s="3" t="s">
        <v>159</v>
      </c>
      <c r="B110" s="3" t="s">
        <v>30</v>
      </c>
      <c r="C110" s="3">
        <v>1494</v>
      </c>
      <c r="D110" s="3">
        <v>375</v>
      </c>
      <c r="E110" s="3">
        <v>220616</v>
      </c>
      <c r="F110" s="3">
        <v>1.81</v>
      </c>
      <c r="G110" s="19">
        <v>22724</v>
      </c>
      <c r="H110">
        <f t="shared" si="1"/>
        <v>1119</v>
      </c>
    </row>
    <row r="111" spans="1:8" ht="14.25" customHeight="1" x14ac:dyDescent="0.35">
      <c r="A111" s="3" t="s">
        <v>159</v>
      </c>
      <c r="B111" s="3" t="s">
        <v>38</v>
      </c>
      <c r="C111" s="3">
        <v>1514</v>
      </c>
      <c r="D111" s="3">
        <v>141</v>
      </c>
      <c r="E111" s="3">
        <v>35842</v>
      </c>
      <c r="F111" s="3">
        <v>7.47</v>
      </c>
      <c r="G111" s="19">
        <v>18601</v>
      </c>
      <c r="H111">
        <f t="shared" si="1"/>
        <v>1373</v>
      </c>
    </row>
    <row r="112" spans="1:8" ht="14.25" customHeight="1" x14ac:dyDescent="0.35">
      <c r="A112" s="3" t="s">
        <v>159</v>
      </c>
      <c r="B112" s="3" t="s">
        <v>14</v>
      </c>
      <c r="C112" s="3">
        <v>1937</v>
      </c>
      <c r="D112" s="3">
        <v>210</v>
      </c>
      <c r="E112" s="3">
        <v>20607</v>
      </c>
      <c r="F112" s="3">
        <v>4.2</v>
      </c>
      <c r="G112" s="19">
        <v>20861</v>
      </c>
      <c r="H112">
        <f t="shared" si="1"/>
        <v>1727</v>
      </c>
    </row>
    <row r="113" spans="1:8" ht="14.25" customHeight="1" x14ac:dyDescent="0.35">
      <c r="A113" s="3" t="s">
        <v>159</v>
      </c>
      <c r="B113" s="3" t="s">
        <v>24</v>
      </c>
      <c r="C113" s="3">
        <v>736</v>
      </c>
      <c r="D113" s="3">
        <v>163</v>
      </c>
      <c r="E113" s="3">
        <v>451894</v>
      </c>
      <c r="F113" s="3">
        <v>5.43</v>
      </c>
      <c r="G113" s="19">
        <v>46625</v>
      </c>
      <c r="H113">
        <f t="shared" si="1"/>
        <v>573</v>
      </c>
    </row>
    <row r="114" spans="1:8" ht="14.25" customHeight="1" x14ac:dyDescent="0.35">
      <c r="A114" s="3" t="s">
        <v>88</v>
      </c>
      <c r="B114" s="3" t="s">
        <v>30</v>
      </c>
      <c r="C114" s="3">
        <v>1502</v>
      </c>
      <c r="D114" s="3">
        <v>70</v>
      </c>
      <c r="E114" s="3">
        <v>465553</v>
      </c>
      <c r="F114" s="3">
        <v>3.32</v>
      </c>
      <c r="G114" s="19">
        <v>20692</v>
      </c>
      <c r="H114">
        <f t="shared" si="1"/>
        <v>1432</v>
      </c>
    </row>
    <row r="115" spans="1:8" ht="14.25" customHeight="1" x14ac:dyDescent="0.35">
      <c r="A115" s="3" t="s">
        <v>88</v>
      </c>
      <c r="B115" s="3" t="s">
        <v>38</v>
      </c>
      <c r="C115" s="3">
        <v>1623</v>
      </c>
      <c r="D115" s="3">
        <v>246</v>
      </c>
      <c r="E115" s="3">
        <v>415815</v>
      </c>
      <c r="F115" s="3">
        <v>8.11</v>
      </c>
      <c r="G115" s="19">
        <v>18656</v>
      </c>
      <c r="H115">
        <f t="shared" si="1"/>
        <v>1377</v>
      </c>
    </row>
    <row r="116" spans="1:8" ht="14.25" customHeight="1" x14ac:dyDescent="0.35">
      <c r="A116" s="3" t="s">
        <v>88</v>
      </c>
      <c r="B116" s="3" t="s">
        <v>14</v>
      </c>
      <c r="C116" s="3">
        <v>1592</v>
      </c>
      <c r="D116" s="3">
        <v>233</v>
      </c>
      <c r="E116" s="3">
        <v>327183</v>
      </c>
      <c r="F116" s="3">
        <v>6.66</v>
      </c>
      <c r="G116" s="19">
        <v>13316</v>
      </c>
      <c r="H116">
        <f t="shared" si="1"/>
        <v>1359</v>
      </c>
    </row>
    <row r="117" spans="1:8" ht="14.25" customHeight="1" x14ac:dyDescent="0.35">
      <c r="A117" s="3" t="s">
        <v>88</v>
      </c>
      <c r="B117" s="3" t="s">
        <v>24</v>
      </c>
      <c r="C117" s="3">
        <v>1004</v>
      </c>
      <c r="D117" s="3">
        <v>128</v>
      </c>
      <c r="E117" s="3">
        <v>488901</v>
      </c>
      <c r="F117" s="3">
        <v>8.09</v>
      </c>
      <c r="G117" s="19">
        <v>49558</v>
      </c>
      <c r="H117">
        <f t="shared" si="1"/>
        <v>876</v>
      </c>
    </row>
    <row r="118" spans="1:8" ht="14.25" customHeight="1" x14ac:dyDescent="0.35">
      <c r="A118" s="3" t="s">
        <v>15</v>
      </c>
      <c r="B118" s="3" t="s">
        <v>30</v>
      </c>
      <c r="C118" s="3">
        <v>1092</v>
      </c>
      <c r="D118" s="3">
        <v>408</v>
      </c>
      <c r="E118" s="3">
        <v>280795</v>
      </c>
      <c r="F118" s="3">
        <v>8.44</v>
      </c>
      <c r="G118" s="19">
        <v>4683</v>
      </c>
      <c r="H118">
        <f t="shared" si="1"/>
        <v>684</v>
      </c>
    </row>
    <row r="119" spans="1:8" ht="14.25" customHeight="1" x14ac:dyDescent="0.35">
      <c r="A119" s="3" t="s">
        <v>15</v>
      </c>
      <c r="B119" s="3" t="s">
        <v>38</v>
      </c>
      <c r="C119" s="3">
        <v>1155</v>
      </c>
      <c r="D119" s="3">
        <v>425</v>
      </c>
      <c r="E119" s="3">
        <v>93347</v>
      </c>
      <c r="F119" s="3">
        <v>2.02</v>
      </c>
      <c r="G119" s="19">
        <v>47502</v>
      </c>
      <c r="H119">
        <f t="shared" si="1"/>
        <v>730</v>
      </c>
    </row>
    <row r="120" spans="1:8" ht="14.25" customHeight="1" x14ac:dyDescent="0.35">
      <c r="A120" s="3" t="s">
        <v>15</v>
      </c>
      <c r="B120" s="3" t="s">
        <v>14</v>
      </c>
      <c r="C120" s="3">
        <v>1137</v>
      </c>
      <c r="D120" s="3">
        <v>226</v>
      </c>
      <c r="E120" s="3">
        <v>81119</v>
      </c>
      <c r="F120" s="3">
        <v>7.74</v>
      </c>
      <c r="G120" s="19">
        <v>35359</v>
      </c>
      <c r="H120">
        <f t="shared" si="1"/>
        <v>911</v>
      </c>
    </row>
    <row r="121" spans="1:8" ht="14.25" customHeight="1" x14ac:dyDescent="0.35">
      <c r="A121" s="3" t="s">
        <v>15</v>
      </c>
      <c r="B121" s="3" t="s">
        <v>24</v>
      </c>
      <c r="C121" s="3">
        <v>1900</v>
      </c>
      <c r="D121" s="3">
        <v>311</v>
      </c>
      <c r="E121" s="3">
        <v>25177</v>
      </c>
      <c r="F121" s="3">
        <v>2.89</v>
      </c>
      <c r="G121" s="19">
        <v>14154</v>
      </c>
      <c r="H121">
        <f t="shared" si="1"/>
        <v>1589</v>
      </c>
    </row>
    <row r="122" spans="1:8" ht="14.25" customHeight="1" x14ac:dyDescent="0.35">
      <c r="A122" s="3" t="s">
        <v>403</v>
      </c>
      <c r="B122" s="3" t="s">
        <v>30</v>
      </c>
      <c r="C122" s="3">
        <v>1814</v>
      </c>
      <c r="D122" s="3">
        <v>49</v>
      </c>
      <c r="E122" s="3">
        <v>140804</v>
      </c>
      <c r="F122" s="3">
        <v>1.76</v>
      </c>
      <c r="G122" s="19">
        <v>4313</v>
      </c>
      <c r="H122">
        <f t="shared" si="1"/>
        <v>1765</v>
      </c>
    </row>
    <row r="123" spans="1:8" ht="14.25" customHeight="1" x14ac:dyDescent="0.35">
      <c r="A123" s="3" t="s">
        <v>403</v>
      </c>
      <c r="B123" s="3" t="s">
        <v>38</v>
      </c>
      <c r="C123" s="3">
        <v>1980</v>
      </c>
      <c r="D123" s="3">
        <v>204</v>
      </c>
      <c r="E123" s="3">
        <v>379431</v>
      </c>
      <c r="F123" s="3">
        <v>3.09</v>
      </c>
      <c r="G123" s="19">
        <v>25140</v>
      </c>
      <c r="H123">
        <f t="shared" si="1"/>
        <v>1776</v>
      </c>
    </row>
    <row r="124" spans="1:8" ht="14.25" customHeight="1" x14ac:dyDescent="0.35">
      <c r="A124" s="3" t="s">
        <v>403</v>
      </c>
      <c r="B124" s="3" t="s">
        <v>14</v>
      </c>
      <c r="C124" s="3">
        <v>1786</v>
      </c>
      <c r="D124" s="3">
        <v>257</v>
      </c>
      <c r="E124" s="3">
        <v>274831</v>
      </c>
      <c r="F124" s="3">
        <v>4.68</v>
      </c>
      <c r="G124" s="19">
        <v>9118</v>
      </c>
      <c r="H124">
        <f t="shared" si="1"/>
        <v>1529</v>
      </c>
    </row>
    <row r="125" spans="1:8" ht="14.25" customHeight="1" x14ac:dyDescent="0.35">
      <c r="A125" s="3" t="s">
        <v>403</v>
      </c>
      <c r="B125" s="3" t="s">
        <v>24</v>
      </c>
      <c r="C125" s="3">
        <v>1495</v>
      </c>
      <c r="D125" s="3">
        <v>35</v>
      </c>
      <c r="E125" s="3">
        <v>136845</v>
      </c>
      <c r="F125" s="3">
        <v>4.4800000000000004</v>
      </c>
      <c r="G125" s="19">
        <v>39931</v>
      </c>
      <c r="H125">
        <f t="shared" si="1"/>
        <v>1460</v>
      </c>
    </row>
    <row r="126" spans="1:8" ht="14.25" customHeight="1" x14ac:dyDescent="0.35">
      <c r="A126" s="3" t="s">
        <v>96</v>
      </c>
      <c r="B126" s="3" t="s">
        <v>30</v>
      </c>
      <c r="C126" s="3">
        <v>1013</v>
      </c>
      <c r="D126" s="3">
        <v>110</v>
      </c>
      <c r="E126" s="3">
        <v>466382</v>
      </c>
      <c r="F126" s="3">
        <v>5.3</v>
      </c>
      <c r="G126" s="19">
        <v>37132</v>
      </c>
      <c r="H126">
        <f t="shared" si="1"/>
        <v>903</v>
      </c>
    </row>
    <row r="127" spans="1:8" ht="14.25" customHeight="1" x14ac:dyDescent="0.35">
      <c r="A127" s="3" t="s">
        <v>96</v>
      </c>
      <c r="B127" s="3" t="s">
        <v>38</v>
      </c>
      <c r="C127" s="3">
        <v>816</v>
      </c>
      <c r="D127" s="3">
        <v>196</v>
      </c>
      <c r="E127" s="3">
        <v>95728</v>
      </c>
      <c r="F127" s="3">
        <v>8.1999999999999993</v>
      </c>
      <c r="G127" s="19">
        <v>17951</v>
      </c>
      <c r="H127">
        <f t="shared" si="1"/>
        <v>620</v>
      </c>
    </row>
    <row r="128" spans="1:8" ht="14.25" customHeight="1" x14ac:dyDescent="0.35">
      <c r="A128" s="3" t="s">
        <v>96</v>
      </c>
      <c r="B128" s="3" t="s">
        <v>14</v>
      </c>
      <c r="C128" s="3">
        <v>1633</v>
      </c>
      <c r="D128" s="3">
        <v>445</v>
      </c>
      <c r="E128" s="3">
        <v>371156</v>
      </c>
      <c r="F128" s="3">
        <v>2.2200000000000002</v>
      </c>
      <c r="G128" s="19">
        <v>2798</v>
      </c>
      <c r="H128">
        <f t="shared" si="1"/>
        <v>1188</v>
      </c>
    </row>
    <row r="129" spans="1:8" ht="14.25" customHeight="1" x14ac:dyDescent="0.35">
      <c r="A129" s="3" t="s">
        <v>96</v>
      </c>
      <c r="B129" s="3" t="s">
        <v>24</v>
      </c>
      <c r="C129" s="3">
        <v>891</v>
      </c>
      <c r="D129" s="3">
        <v>45</v>
      </c>
      <c r="E129" s="3">
        <v>95410</v>
      </c>
      <c r="F129" s="3">
        <v>8.33</v>
      </c>
      <c r="G129" s="19">
        <v>15045</v>
      </c>
      <c r="H129">
        <f t="shared" si="1"/>
        <v>846</v>
      </c>
    </row>
    <row r="130" spans="1:8" ht="14.25" customHeight="1" x14ac:dyDescent="0.35">
      <c r="A130" s="3" t="s">
        <v>404</v>
      </c>
      <c r="B130" s="3" t="s">
        <v>30</v>
      </c>
      <c r="C130" s="3">
        <v>1855</v>
      </c>
      <c r="D130" s="3">
        <v>133</v>
      </c>
      <c r="E130" s="3">
        <v>349413</v>
      </c>
      <c r="F130" s="3">
        <v>3.3</v>
      </c>
      <c r="G130" s="19">
        <v>14548</v>
      </c>
      <c r="H130">
        <f t="shared" si="1"/>
        <v>1722</v>
      </c>
    </row>
    <row r="131" spans="1:8" ht="14.25" customHeight="1" x14ac:dyDescent="0.35">
      <c r="A131" s="3" t="s">
        <v>404</v>
      </c>
      <c r="B131" s="3" t="s">
        <v>38</v>
      </c>
      <c r="C131" s="3">
        <v>651</v>
      </c>
      <c r="D131" s="3">
        <v>353</v>
      </c>
      <c r="E131" s="3">
        <v>224699</v>
      </c>
      <c r="F131" s="3">
        <v>5.61</v>
      </c>
      <c r="G131" s="19">
        <v>45708</v>
      </c>
      <c r="H131">
        <f t="shared" ref="H131:H194" si="2">(C131-D131)</f>
        <v>298</v>
      </c>
    </row>
    <row r="132" spans="1:8" ht="14.25" customHeight="1" x14ac:dyDescent="0.35">
      <c r="A132" s="3" t="s">
        <v>404</v>
      </c>
      <c r="B132" s="3" t="s">
        <v>14</v>
      </c>
      <c r="C132" s="3">
        <v>118</v>
      </c>
      <c r="D132" s="3">
        <v>262</v>
      </c>
      <c r="E132" s="3">
        <v>487896</v>
      </c>
      <c r="F132" s="3">
        <v>2.56</v>
      </c>
      <c r="G132" s="19">
        <v>12350</v>
      </c>
      <c r="H132">
        <f t="shared" si="2"/>
        <v>-144</v>
      </c>
    </row>
    <row r="133" spans="1:8" ht="14.25" customHeight="1" x14ac:dyDescent="0.35">
      <c r="A133" s="3" t="s">
        <v>404</v>
      </c>
      <c r="B133" s="3" t="s">
        <v>24</v>
      </c>
      <c r="C133" s="3">
        <v>1331</v>
      </c>
      <c r="D133" s="3">
        <v>430</v>
      </c>
      <c r="E133" s="3">
        <v>14437</v>
      </c>
      <c r="F133" s="3">
        <v>3.29</v>
      </c>
      <c r="G133" s="19">
        <v>40868</v>
      </c>
      <c r="H133">
        <f t="shared" si="2"/>
        <v>901</v>
      </c>
    </row>
    <row r="134" spans="1:8" ht="14.25" customHeight="1" x14ac:dyDescent="0.35">
      <c r="A134" s="3" t="s">
        <v>405</v>
      </c>
      <c r="B134" s="3" t="s">
        <v>30</v>
      </c>
      <c r="C134" s="3">
        <v>1748</v>
      </c>
      <c r="D134" s="3">
        <v>176</v>
      </c>
      <c r="E134" s="3">
        <v>383681</v>
      </c>
      <c r="F134" s="3">
        <v>9.24</v>
      </c>
      <c r="G134" s="19">
        <v>43122</v>
      </c>
      <c r="H134">
        <f t="shared" si="2"/>
        <v>1572</v>
      </c>
    </row>
    <row r="135" spans="1:8" ht="14.25" customHeight="1" x14ac:dyDescent="0.35">
      <c r="A135" s="3" t="s">
        <v>405</v>
      </c>
      <c r="B135" s="3" t="s">
        <v>38</v>
      </c>
      <c r="C135" s="3">
        <v>663</v>
      </c>
      <c r="D135" s="3">
        <v>236</v>
      </c>
      <c r="E135" s="3">
        <v>479490</v>
      </c>
      <c r="F135" s="3">
        <v>4.51</v>
      </c>
      <c r="G135" s="19">
        <v>23853</v>
      </c>
      <c r="H135">
        <f t="shared" si="2"/>
        <v>427</v>
      </c>
    </row>
    <row r="136" spans="1:8" ht="14.25" customHeight="1" x14ac:dyDescent="0.35">
      <c r="A136" s="3" t="s">
        <v>405</v>
      </c>
      <c r="B136" s="3" t="s">
        <v>14</v>
      </c>
      <c r="C136" s="3">
        <v>1040</v>
      </c>
      <c r="D136" s="3">
        <v>149</v>
      </c>
      <c r="E136" s="3">
        <v>124404</v>
      </c>
      <c r="F136" s="3">
        <v>5.23</v>
      </c>
      <c r="G136" s="19">
        <v>45380</v>
      </c>
      <c r="H136">
        <f t="shared" si="2"/>
        <v>891</v>
      </c>
    </row>
    <row r="137" spans="1:8" ht="14.25" customHeight="1" x14ac:dyDescent="0.35">
      <c r="A137" s="3" t="s">
        <v>405</v>
      </c>
      <c r="B137" s="3" t="s">
        <v>24</v>
      </c>
      <c r="C137" s="3">
        <v>1166</v>
      </c>
      <c r="D137" s="3">
        <v>442</v>
      </c>
      <c r="E137" s="3">
        <v>336949</v>
      </c>
      <c r="F137" s="3">
        <v>4.68</v>
      </c>
      <c r="G137" s="19">
        <v>7705</v>
      </c>
      <c r="H137">
        <f t="shared" si="2"/>
        <v>724</v>
      </c>
    </row>
    <row r="138" spans="1:8" ht="14.25" customHeight="1" x14ac:dyDescent="0.35">
      <c r="A138" s="3" t="s">
        <v>162</v>
      </c>
      <c r="B138" s="3" t="s">
        <v>30</v>
      </c>
      <c r="C138" s="3">
        <v>115</v>
      </c>
      <c r="D138" s="3">
        <v>281</v>
      </c>
      <c r="E138" s="3">
        <v>357265</v>
      </c>
      <c r="F138" s="3">
        <v>9.23</v>
      </c>
      <c r="G138" s="19">
        <v>25525</v>
      </c>
      <c r="H138">
        <f t="shared" si="2"/>
        <v>-166</v>
      </c>
    </row>
    <row r="139" spans="1:8" ht="14.25" customHeight="1" x14ac:dyDescent="0.35">
      <c r="A139" s="3" t="s">
        <v>162</v>
      </c>
      <c r="B139" s="3" t="s">
        <v>38</v>
      </c>
      <c r="C139" s="3">
        <v>1249</v>
      </c>
      <c r="D139" s="3">
        <v>351</v>
      </c>
      <c r="E139" s="3">
        <v>321307</v>
      </c>
      <c r="F139" s="3">
        <v>6.37</v>
      </c>
      <c r="G139" s="19">
        <v>20560</v>
      </c>
      <c r="H139">
        <f t="shared" si="2"/>
        <v>898</v>
      </c>
    </row>
    <row r="140" spans="1:8" ht="14.25" customHeight="1" x14ac:dyDescent="0.35">
      <c r="A140" s="3" t="s">
        <v>162</v>
      </c>
      <c r="B140" s="3" t="s">
        <v>14</v>
      </c>
      <c r="C140" s="3">
        <v>1501</v>
      </c>
      <c r="D140" s="3">
        <v>75</v>
      </c>
      <c r="E140" s="3">
        <v>262569</v>
      </c>
      <c r="F140" s="3">
        <v>2.0099999999999998</v>
      </c>
      <c r="G140" s="19">
        <v>19119</v>
      </c>
      <c r="H140">
        <f t="shared" si="2"/>
        <v>1426</v>
      </c>
    </row>
    <row r="141" spans="1:8" ht="14.25" customHeight="1" x14ac:dyDescent="0.35">
      <c r="A141" s="3" t="s">
        <v>162</v>
      </c>
      <c r="B141" s="3" t="s">
        <v>24</v>
      </c>
      <c r="C141" s="3">
        <v>1411</v>
      </c>
      <c r="D141" s="3">
        <v>186</v>
      </c>
      <c r="E141" s="3">
        <v>461669</v>
      </c>
      <c r="F141" s="3">
        <v>3.72</v>
      </c>
      <c r="G141" s="19">
        <v>43999</v>
      </c>
      <c r="H141">
        <f t="shared" si="2"/>
        <v>1225</v>
      </c>
    </row>
    <row r="142" spans="1:8" ht="14.25" customHeight="1" x14ac:dyDescent="0.35">
      <c r="A142" s="3" t="s">
        <v>406</v>
      </c>
      <c r="B142" s="3" t="s">
        <v>30</v>
      </c>
      <c r="C142" s="3">
        <v>1556</v>
      </c>
      <c r="D142" s="3">
        <v>476</v>
      </c>
      <c r="E142" s="3">
        <v>351556</v>
      </c>
      <c r="F142" s="3">
        <v>3.89</v>
      </c>
      <c r="G142" s="19">
        <v>10825</v>
      </c>
      <c r="H142">
        <f t="shared" si="2"/>
        <v>1080</v>
      </c>
    </row>
    <row r="143" spans="1:8" ht="14.25" customHeight="1" x14ac:dyDescent="0.35">
      <c r="A143" s="3" t="s">
        <v>406</v>
      </c>
      <c r="B143" s="3" t="s">
        <v>38</v>
      </c>
      <c r="C143" s="3">
        <v>1159</v>
      </c>
      <c r="D143" s="3">
        <v>411</v>
      </c>
      <c r="E143" s="3">
        <v>135987</v>
      </c>
      <c r="F143" s="3">
        <v>8.6999999999999993</v>
      </c>
      <c r="G143" s="19">
        <v>40323</v>
      </c>
      <c r="H143">
        <f t="shared" si="2"/>
        <v>748</v>
      </c>
    </row>
    <row r="144" spans="1:8" ht="14.25" customHeight="1" x14ac:dyDescent="0.35">
      <c r="A144" s="3" t="s">
        <v>406</v>
      </c>
      <c r="B144" s="3" t="s">
        <v>14</v>
      </c>
      <c r="C144" s="3">
        <v>927</v>
      </c>
      <c r="D144" s="3">
        <v>358</v>
      </c>
      <c r="E144" s="3">
        <v>177554</v>
      </c>
      <c r="F144" s="3">
        <v>6.95</v>
      </c>
      <c r="G144" s="19">
        <v>48270</v>
      </c>
      <c r="H144">
        <f t="shared" si="2"/>
        <v>569</v>
      </c>
    </row>
    <row r="145" spans="1:8" ht="14.25" customHeight="1" x14ac:dyDescent="0.35">
      <c r="A145" s="3" t="s">
        <v>406</v>
      </c>
      <c r="B145" s="3" t="s">
        <v>24</v>
      </c>
      <c r="C145" s="3">
        <v>152</v>
      </c>
      <c r="D145" s="3">
        <v>355</v>
      </c>
      <c r="E145" s="3">
        <v>270766</v>
      </c>
      <c r="F145" s="3">
        <v>9.48</v>
      </c>
      <c r="G145" s="19">
        <v>18001</v>
      </c>
      <c r="H145">
        <f t="shared" si="2"/>
        <v>-203</v>
      </c>
    </row>
    <row r="146" spans="1:8" ht="14.25" customHeight="1" x14ac:dyDescent="0.35">
      <c r="A146" s="3" t="s">
        <v>180</v>
      </c>
      <c r="B146" s="3" t="s">
        <v>30</v>
      </c>
      <c r="C146" s="3">
        <v>1957</v>
      </c>
      <c r="D146" s="3">
        <v>234</v>
      </c>
      <c r="E146" s="3">
        <v>222126</v>
      </c>
      <c r="F146" s="3">
        <v>4.6100000000000003</v>
      </c>
      <c r="G146" s="19">
        <v>3314</v>
      </c>
      <c r="H146">
        <f t="shared" si="2"/>
        <v>1723</v>
      </c>
    </row>
    <row r="147" spans="1:8" ht="14.25" customHeight="1" x14ac:dyDescent="0.35">
      <c r="A147" s="3" t="s">
        <v>180</v>
      </c>
      <c r="B147" s="3" t="s">
        <v>38</v>
      </c>
      <c r="C147" s="3">
        <v>1294</v>
      </c>
      <c r="D147" s="3">
        <v>382</v>
      </c>
      <c r="E147" s="3">
        <v>309914</v>
      </c>
      <c r="F147" s="3">
        <v>8.0299999999999994</v>
      </c>
      <c r="G147" s="19">
        <v>23489</v>
      </c>
      <c r="H147">
        <f t="shared" si="2"/>
        <v>912</v>
      </c>
    </row>
    <row r="148" spans="1:8" ht="14.25" customHeight="1" x14ac:dyDescent="0.35">
      <c r="A148" s="3" t="s">
        <v>180</v>
      </c>
      <c r="B148" s="3" t="s">
        <v>14</v>
      </c>
      <c r="C148" s="3">
        <v>1587</v>
      </c>
      <c r="D148" s="3">
        <v>385</v>
      </c>
      <c r="E148" s="3">
        <v>126582</v>
      </c>
      <c r="F148" s="3">
        <v>6.99</v>
      </c>
      <c r="G148" s="19">
        <v>42832</v>
      </c>
      <c r="H148">
        <f t="shared" si="2"/>
        <v>1202</v>
      </c>
    </row>
    <row r="149" spans="1:8" ht="14.25" customHeight="1" x14ac:dyDescent="0.35">
      <c r="A149" s="3" t="s">
        <v>180</v>
      </c>
      <c r="B149" s="3" t="s">
        <v>24</v>
      </c>
      <c r="C149" s="3">
        <v>1707</v>
      </c>
      <c r="D149" s="3">
        <v>263</v>
      </c>
      <c r="E149" s="3">
        <v>485280</v>
      </c>
      <c r="F149" s="3">
        <v>9.0299999999999994</v>
      </c>
      <c r="G149" s="19">
        <v>24494</v>
      </c>
      <c r="H149">
        <f t="shared" si="2"/>
        <v>1444</v>
      </c>
    </row>
    <row r="150" spans="1:8" ht="14.25" customHeight="1" x14ac:dyDescent="0.35">
      <c r="A150" s="3" t="s">
        <v>98</v>
      </c>
      <c r="B150" s="3" t="s">
        <v>30</v>
      </c>
      <c r="C150" s="3">
        <v>1138</v>
      </c>
      <c r="D150" s="3">
        <v>173</v>
      </c>
      <c r="E150" s="3">
        <v>453243</v>
      </c>
      <c r="F150" s="3">
        <v>2.86</v>
      </c>
      <c r="G150" s="19">
        <v>44097</v>
      </c>
      <c r="H150">
        <f t="shared" si="2"/>
        <v>965</v>
      </c>
    </row>
    <row r="151" spans="1:8" ht="14.25" customHeight="1" x14ac:dyDescent="0.35">
      <c r="A151" s="3" t="s">
        <v>98</v>
      </c>
      <c r="B151" s="3" t="s">
        <v>38</v>
      </c>
      <c r="C151" s="3">
        <v>1895</v>
      </c>
      <c r="D151" s="3">
        <v>305</v>
      </c>
      <c r="E151" s="3">
        <v>104967</v>
      </c>
      <c r="F151" s="3">
        <v>3.85</v>
      </c>
      <c r="G151" s="19">
        <v>31853</v>
      </c>
      <c r="H151">
        <f t="shared" si="2"/>
        <v>1590</v>
      </c>
    </row>
    <row r="152" spans="1:8" ht="14.25" customHeight="1" x14ac:dyDescent="0.35">
      <c r="A152" s="3" t="s">
        <v>98</v>
      </c>
      <c r="B152" s="3" t="s">
        <v>14</v>
      </c>
      <c r="C152" s="3">
        <v>362</v>
      </c>
      <c r="D152" s="3">
        <v>399</v>
      </c>
      <c r="E152" s="3">
        <v>145608</v>
      </c>
      <c r="F152" s="3">
        <v>7.3</v>
      </c>
      <c r="G152" s="19">
        <v>37636</v>
      </c>
      <c r="H152">
        <f t="shared" si="2"/>
        <v>-37</v>
      </c>
    </row>
    <row r="153" spans="1:8" ht="14.25" customHeight="1" x14ac:dyDescent="0.35">
      <c r="A153" s="3" t="s">
        <v>98</v>
      </c>
      <c r="B153" s="3" t="s">
        <v>24</v>
      </c>
      <c r="C153" s="3">
        <v>1662</v>
      </c>
      <c r="D153" s="3">
        <v>487</v>
      </c>
      <c r="E153" s="3">
        <v>105980</v>
      </c>
      <c r="F153" s="3">
        <v>9.08</v>
      </c>
      <c r="G153" s="19">
        <v>22996</v>
      </c>
      <c r="H153">
        <f t="shared" si="2"/>
        <v>1175</v>
      </c>
    </row>
    <row r="154" spans="1:8" ht="14.25" customHeight="1" x14ac:dyDescent="0.35">
      <c r="A154" s="3" t="s">
        <v>111</v>
      </c>
      <c r="B154" s="3" t="s">
        <v>30</v>
      </c>
      <c r="C154" s="3">
        <v>1440</v>
      </c>
      <c r="D154" s="3">
        <v>65</v>
      </c>
      <c r="E154" s="3">
        <v>126524</v>
      </c>
      <c r="F154" s="3">
        <v>4.34</v>
      </c>
      <c r="G154" s="19">
        <v>49772</v>
      </c>
      <c r="H154">
        <f t="shared" si="2"/>
        <v>1375</v>
      </c>
    </row>
    <row r="155" spans="1:8" ht="14.25" customHeight="1" x14ac:dyDescent="0.35">
      <c r="A155" s="3" t="s">
        <v>111</v>
      </c>
      <c r="B155" s="3" t="s">
        <v>38</v>
      </c>
      <c r="C155" s="3">
        <v>1884</v>
      </c>
      <c r="D155" s="3">
        <v>177</v>
      </c>
      <c r="E155" s="3">
        <v>230448</v>
      </c>
      <c r="F155" s="3">
        <v>7.8</v>
      </c>
      <c r="G155" s="19">
        <v>22713</v>
      </c>
      <c r="H155">
        <f t="shared" si="2"/>
        <v>1707</v>
      </c>
    </row>
    <row r="156" spans="1:8" ht="14.25" customHeight="1" x14ac:dyDescent="0.35">
      <c r="A156" s="3" t="s">
        <v>111</v>
      </c>
      <c r="B156" s="3" t="s">
        <v>14</v>
      </c>
      <c r="C156" s="3">
        <v>861</v>
      </c>
      <c r="D156" s="3">
        <v>153</v>
      </c>
      <c r="E156" s="3">
        <v>317007</v>
      </c>
      <c r="F156" s="3">
        <v>3.85</v>
      </c>
      <c r="G156" s="19">
        <v>8718</v>
      </c>
      <c r="H156">
        <f t="shared" si="2"/>
        <v>708</v>
      </c>
    </row>
    <row r="157" spans="1:8" ht="14.25" customHeight="1" x14ac:dyDescent="0.35">
      <c r="A157" s="3" t="s">
        <v>111</v>
      </c>
      <c r="B157" s="3" t="s">
        <v>24</v>
      </c>
      <c r="C157" s="3">
        <v>1063</v>
      </c>
      <c r="D157" s="3">
        <v>47</v>
      </c>
      <c r="E157" s="3">
        <v>464239</v>
      </c>
      <c r="F157" s="3">
        <v>6.58</v>
      </c>
      <c r="G157" s="19">
        <v>39031</v>
      </c>
      <c r="H157">
        <f t="shared" si="2"/>
        <v>1016</v>
      </c>
    </row>
    <row r="158" spans="1:8" ht="14.25" customHeight="1" x14ac:dyDescent="0.35">
      <c r="A158" s="3" t="s">
        <v>143</v>
      </c>
      <c r="B158" s="3" t="s">
        <v>30</v>
      </c>
      <c r="C158" s="3">
        <v>1371</v>
      </c>
      <c r="D158" s="3">
        <v>56</v>
      </c>
      <c r="E158" s="3">
        <v>257579</v>
      </c>
      <c r="F158" s="3">
        <v>8.6199999999999992</v>
      </c>
      <c r="G158" s="19">
        <v>33799</v>
      </c>
      <c r="H158">
        <f t="shared" si="2"/>
        <v>1315</v>
      </c>
    </row>
    <row r="159" spans="1:8" ht="14.25" customHeight="1" x14ac:dyDescent="0.35">
      <c r="A159" s="3" t="s">
        <v>143</v>
      </c>
      <c r="B159" s="3" t="s">
        <v>38</v>
      </c>
      <c r="C159" s="3">
        <v>345</v>
      </c>
      <c r="D159" s="3">
        <v>464</v>
      </c>
      <c r="E159" s="3">
        <v>366881</v>
      </c>
      <c r="F159" s="3">
        <v>4.55</v>
      </c>
      <c r="G159" s="19">
        <v>20553</v>
      </c>
      <c r="H159">
        <f t="shared" si="2"/>
        <v>-119</v>
      </c>
    </row>
    <row r="160" spans="1:8" ht="14.25" customHeight="1" x14ac:dyDescent="0.35">
      <c r="A160" s="3" t="s">
        <v>143</v>
      </c>
      <c r="B160" s="3" t="s">
        <v>14</v>
      </c>
      <c r="C160" s="3">
        <v>946</v>
      </c>
      <c r="D160" s="3">
        <v>47</v>
      </c>
      <c r="E160" s="3">
        <v>466575</v>
      </c>
      <c r="F160" s="3">
        <v>8.33</v>
      </c>
      <c r="G160" s="19">
        <v>10002</v>
      </c>
      <c r="H160">
        <f t="shared" si="2"/>
        <v>899</v>
      </c>
    </row>
    <row r="161" spans="1:8" ht="14.25" customHeight="1" x14ac:dyDescent="0.35">
      <c r="A161" s="3" t="s">
        <v>143</v>
      </c>
      <c r="B161" s="3" t="s">
        <v>24</v>
      </c>
      <c r="C161" s="3">
        <v>510</v>
      </c>
      <c r="D161" s="3">
        <v>195</v>
      </c>
      <c r="E161" s="3">
        <v>224534</v>
      </c>
      <c r="F161" s="3">
        <v>9.4</v>
      </c>
      <c r="G161" s="19">
        <v>30987</v>
      </c>
      <c r="H161">
        <f t="shared" si="2"/>
        <v>315</v>
      </c>
    </row>
    <row r="162" spans="1:8" ht="14.25" customHeight="1" x14ac:dyDescent="0.35">
      <c r="A162" s="3" t="s">
        <v>407</v>
      </c>
      <c r="B162" s="3" t="s">
        <v>30</v>
      </c>
      <c r="C162" s="3">
        <v>393</v>
      </c>
      <c r="D162" s="3">
        <v>181</v>
      </c>
      <c r="E162" s="3">
        <v>462142</v>
      </c>
      <c r="F162" s="3">
        <v>7.23</v>
      </c>
      <c r="G162" s="19">
        <v>6296</v>
      </c>
      <c r="H162">
        <f t="shared" si="2"/>
        <v>212</v>
      </c>
    </row>
    <row r="163" spans="1:8" ht="14.25" customHeight="1" x14ac:dyDescent="0.35">
      <c r="A163" s="3" t="s">
        <v>407</v>
      </c>
      <c r="B163" s="3" t="s">
        <v>38</v>
      </c>
      <c r="C163" s="3">
        <v>1098</v>
      </c>
      <c r="D163" s="3">
        <v>190</v>
      </c>
      <c r="E163" s="3">
        <v>340842</v>
      </c>
      <c r="F163" s="3">
        <v>9.39</v>
      </c>
      <c r="G163" s="19">
        <v>21539</v>
      </c>
      <c r="H163">
        <f t="shared" si="2"/>
        <v>908</v>
      </c>
    </row>
    <row r="164" spans="1:8" ht="14.25" customHeight="1" x14ac:dyDescent="0.35">
      <c r="A164" s="3" t="s">
        <v>407</v>
      </c>
      <c r="B164" s="3" t="s">
        <v>14</v>
      </c>
      <c r="C164" s="3">
        <v>1399</v>
      </c>
      <c r="D164" s="3">
        <v>49</v>
      </c>
      <c r="E164" s="3">
        <v>12471</v>
      </c>
      <c r="F164" s="3">
        <v>5.12</v>
      </c>
      <c r="G164" s="19">
        <v>14722</v>
      </c>
      <c r="H164">
        <f t="shared" si="2"/>
        <v>1350</v>
      </c>
    </row>
    <row r="165" spans="1:8" ht="14.25" customHeight="1" x14ac:dyDescent="0.35">
      <c r="A165" s="3" t="s">
        <v>407</v>
      </c>
      <c r="B165" s="3" t="s">
        <v>24</v>
      </c>
      <c r="C165" s="3">
        <v>1658</v>
      </c>
      <c r="D165" s="3">
        <v>416</v>
      </c>
      <c r="E165" s="3">
        <v>98397</v>
      </c>
      <c r="F165" s="3">
        <v>6.11</v>
      </c>
      <c r="G165" s="19">
        <v>11383</v>
      </c>
      <c r="H165">
        <f t="shared" si="2"/>
        <v>1242</v>
      </c>
    </row>
    <row r="166" spans="1:8" ht="14.25" customHeight="1" x14ac:dyDescent="0.35">
      <c r="A166" s="3" t="s">
        <v>408</v>
      </c>
      <c r="B166" s="3" t="s">
        <v>30</v>
      </c>
      <c r="C166" s="3">
        <v>1102</v>
      </c>
      <c r="D166" s="3">
        <v>422</v>
      </c>
      <c r="E166" s="3">
        <v>410330</v>
      </c>
      <c r="F166" s="3">
        <v>7.74</v>
      </c>
      <c r="G166" s="19">
        <v>9480</v>
      </c>
      <c r="H166">
        <f t="shared" si="2"/>
        <v>680</v>
      </c>
    </row>
    <row r="167" spans="1:8" ht="14.25" customHeight="1" x14ac:dyDescent="0.35">
      <c r="A167" s="3" t="s">
        <v>408</v>
      </c>
      <c r="B167" s="3" t="s">
        <v>38</v>
      </c>
      <c r="C167" s="3">
        <v>1358</v>
      </c>
      <c r="D167" s="3">
        <v>242</v>
      </c>
      <c r="E167" s="3">
        <v>342129</v>
      </c>
      <c r="F167" s="3">
        <v>4.9400000000000004</v>
      </c>
      <c r="G167" s="19">
        <v>29116</v>
      </c>
      <c r="H167">
        <f t="shared" si="2"/>
        <v>1116</v>
      </c>
    </row>
    <row r="168" spans="1:8" ht="14.25" customHeight="1" x14ac:dyDescent="0.35">
      <c r="A168" s="3" t="s">
        <v>408</v>
      </c>
      <c r="B168" s="3" t="s">
        <v>14</v>
      </c>
      <c r="C168" s="3">
        <v>1077</v>
      </c>
      <c r="D168" s="3">
        <v>216</v>
      </c>
      <c r="E168" s="3">
        <v>12447</v>
      </c>
      <c r="F168" s="3">
        <v>1.8</v>
      </c>
      <c r="G168" s="19">
        <v>14068</v>
      </c>
      <c r="H168">
        <f t="shared" si="2"/>
        <v>861</v>
      </c>
    </row>
    <row r="169" spans="1:8" ht="14.25" customHeight="1" x14ac:dyDescent="0.35">
      <c r="A169" s="3" t="s">
        <v>408</v>
      </c>
      <c r="B169" s="3" t="s">
        <v>24</v>
      </c>
      <c r="C169" s="3">
        <v>1596</v>
      </c>
      <c r="D169" s="3">
        <v>211</v>
      </c>
      <c r="E169" s="3">
        <v>17380</v>
      </c>
      <c r="F169" s="3">
        <v>8.64</v>
      </c>
      <c r="G169" s="19">
        <v>35801</v>
      </c>
      <c r="H169">
        <f t="shared" si="2"/>
        <v>1385</v>
      </c>
    </row>
    <row r="170" spans="1:8" ht="14.25" customHeight="1" x14ac:dyDescent="0.35">
      <c r="A170" s="3" t="s">
        <v>170</v>
      </c>
      <c r="B170" s="3" t="s">
        <v>30</v>
      </c>
      <c r="C170" s="3">
        <v>490</v>
      </c>
      <c r="D170" s="3">
        <v>29</v>
      </c>
      <c r="E170" s="3">
        <v>364810</v>
      </c>
      <c r="F170" s="3">
        <v>1.53</v>
      </c>
      <c r="G170" s="19">
        <v>49077</v>
      </c>
      <c r="H170">
        <f t="shared" si="2"/>
        <v>461</v>
      </c>
    </row>
    <row r="171" spans="1:8" ht="14.25" customHeight="1" x14ac:dyDescent="0.35">
      <c r="A171" s="3" t="s">
        <v>170</v>
      </c>
      <c r="B171" s="3" t="s">
        <v>38</v>
      </c>
      <c r="C171" s="3">
        <v>609</v>
      </c>
      <c r="D171" s="3">
        <v>135</v>
      </c>
      <c r="E171" s="3">
        <v>373606</v>
      </c>
      <c r="F171" s="3">
        <v>8.52</v>
      </c>
      <c r="G171" s="19">
        <v>21453</v>
      </c>
      <c r="H171">
        <f t="shared" si="2"/>
        <v>474</v>
      </c>
    </row>
    <row r="172" spans="1:8" ht="14.25" customHeight="1" x14ac:dyDescent="0.35">
      <c r="A172" s="3" t="s">
        <v>170</v>
      </c>
      <c r="B172" s="3" t="s">
        <v>14</v>
      </c>
      <c r="C172" s="3">
        <v>364</v>
      </c>
      <c r="D172" s="3">
        <v>72</v>
      </c>
      <c r="E172" s="3">
        <v>211090</v>
      </c>
      <c r="F172" s="3">
        <v>5.53</v>
      </c>
      <c r="G172" s="19">
        <v>21061</v>
      </c>
      <c r="H172">
        <f t="shared" si="2"/>
        <v>292</v>
      </c>
    </row>
    <row r="173" spans="1:8" ht="14.25" customHeight="1" x14ac:dyDescent="0.35">
      <c r="A173" s="3" t="s">
        <v>170</v>
      </c>
      <c r="B173" s="3" t="s">
        <v>24</v>
      </c>
      <c r="C173" s="3">
        <v>442</v>
      </c>
      <c r="D173" s="3">
        <v>53</v>
      </c>
      <c r="E173" s="3">
        <v>441931</v>
      </c>
      <c r="F173" s="3">
        <v>1.87</v>
      </c>
      <c r="G173" s="19">
        <v>20059</v>
      </c>
      <c r="H173">
        <f t="shared" si="2"/>
        <v>389</v>
      </c>
    </row>
    <row r="174" spans="1:8" ht="14.25" customHeight="1" x14ac:dyDescent="0.35">
      <c r="A174" s="3" t="s">
        <v>409</v>
      </c>
      <c r="B174" s="3" t="s">
        <v>30</v>
      </c>
      <c r="C174" s="3">
        <v>1033</v>
      </c>
      <c r="D174" s="3">
        <v>392</v>
      </c>
      <c r="E174" s="3">
        <v>282780</v>
      </c>
      <c r="F174" s="3">
        <v>6.27</v>
      </c>
      <c r="G174" s="19">
        <v>23140</v>
      </c>
      <c r="H174">
        <f t="shared" si="2"/>
        <v>641</v>
      </c>
    </row>
    <row r="175" spans="1:8" ht="14.25" customHeight="1" x14ac:dyDescent="0.35">
      <c r="A175" s="3" t="s">
        <v>409</v>
      </c>
      <c r="B175" s="3" t="s">
        <v>38</v>
      </c>
      <c r="C175" s="3">
        <v>988</v>
      </c>
      <c r="D175" s="3">
        <v>474</v>
      </c>
      <c r="E175" s="3">
        <v>370070</v>
      </c>
      <c r="F175" s="3">
        <v>9.4600000000000009</v>
      </c>
      <c r="G175" s="19">
        <v>23461</v>
      </c>
      <c r="H175">
        <f t="shared" si="2"/>
        <v>514</v>
      </c>
    </row>
    <row r="176" spans="1:8" ht="14.25" customHeight="1" x14ac:dyDescent="0.35">
      <c r="A176" s="3" t="s">
        <v>409</v>
      </c>
      <c r="B176" s="3" t="s">
        <v>14</v>
      </c>
      <c r="C176" s="3">
        <v>1946</v>
      </c>
      <c r="D176" s="3">
        <v>270</v>
      </c>
      <c r="E176" s="3">
        <v>198350</v>
      </c>
      <c r="F176" s="3">
        <v>7.5</v>
      </c>
      <c r="G176" s="19">
        <v>11805</v>
      </c>
      <c r="H176">
        <f t="shared" si="2"/>
        <v>1676</v>
      </c>
    </row>
    <row r="177" spans="1:8" ht="14.25" customHeight="1" x14ac:dyDescent="0.35">
      <c r="A177" s="3" t="s">
        <v>409</v>
      </c>
      <c r="B177" s="3" t="s">
        <v>24</v>
      </c>
      <c r="C177" s="3">
        <v>1957</v>
      </c>
      <c r="D177" s="3">
        <v>490</v>
      </c>
      <c r="E177" s="3">
        <v>435726</v>
      </c>
      <c r="F177" s="3">
        <v>4.7300000000000004</v>
      </c>
      <c r="G177" s="19">
        <v>15969</v>
      </c>
      <c r="H177">
        <f t="shared" si="2"/>
        <v>1467</v>
      </c>
    </row>
    <row r="178" spans="1:8" ht="14.25" customHeight="1" x14ac:dyDescent="0.35">
      <c r="A178" s="3" t="s">
        <v>285</v>
      </c>
      <c r="B178" s="3" t="s">
        <v>30</v>
      </c>
      <c r="C178" s="3">
        <v>559</v>
      </c>
      <c r="D178" s="3">
        <v>392</v>
      </c>
      <c r="E178" s="3">
        <v>78789</v>
      </c>
      <c r="F178" s="3">
        <v>3.19</v>
      </c>
      <c r="G178" s="19">
        <v>2436</v>
      </c>
      <c r="H178">
        <f t="shared" si="2"/>
        <v>167</v>
      </c>
    </row>
    <row r="179" spans="1:8" ht="14.25" customHeight="1" x14ac:dyDescent="0.35">
      <c r="A179" s="3" t="s">
        <v>285</v>
      </c>
      <c r="B179" s="3" t="s">
        <v>38</v>
      </c>
      <c r="C179" s="3">
        <v>1307</v>
      </c>
      <c r="D179" s="3">
        <v>278</v>
      </c>
      <c r="E179" s="3">
        <v>98596</v>
      </c>
      <c r="F179" s="3">
        <v>2.4900000000000002</v>
      </c>
      <c r="G179" s="19">
        <v>47603</v>
      </c>
      <c r="H179">
        <f t="shared" si="2"/>
        <v>1029</v>
      </c>
    </row>
    <row r="180" spans="1:8" ht="14.25" customHeight="1" x14ac:dyDescent="0.35">
      <c r="A180" s="3" t="s">
        <v>285</v>
      </c>
      <c r="B180" s="3" t="s">
        <v>14</v>
      </c>
      <c r="C180" s="3">
        <v>1432</v>
      </c>
      <c r="D180" s="3">
        <v>425</v>
      </c>
      <c r="E180" s="3">
        <v>29589</v>
      </c>
      <c r="F180" s="3">
        <v>4.5</v>
      </c>
      <c r="G180" s="19">
        <v>42964</v>
      </c>
      <c r="H180">
        <f t="shared" si="2"/>
        <v>1007</v>
      </c>
    </row>
    <row r="181" spans="1:8" ht="14.25" customHeight="1" x14ac:dyDescent="0.35">
      <c r="A181" s="3" t="s">
        <v>285</v>
      </c>
      <c r="B181" s="3" t="s">
        <v>24</v>
      </c>
      <c r="C181" s="3">
        <v>623</v>
      </c>
      <c r="D181" s="3">
        <v>414</v>
      </c>
      <c r="E181" s="3">
        <v>290354</v>
      </c>
      <c r="F181" s="3">
        <v>6.49</v>
      </c>
      <c r="G181" s="19">
        <v>39923</v>
      </c>
      <c r="H181">
        <f t="shared" si="2"/>
        <v>209</v>
      </c>
    </row>
    <row r="182" spans="1:8" ht="14.25" customHeight="1" x14ac:dyDescent="0.35">
      <c r="A182" s="3" t="s">
        <v>410</v>
      </c>
      <c r="B182" s="3" t="s">
        <v>30</v>
      </c>
      <c r="C182" s="3">
        <v>198</v>
      </c>
      <c r="D182" s="3">
        <v>358</v>
      </c>
      <c r="E182" s="3">
        <v>66682</v>
      </c>
      <c r="F182" s="3">
        <v>6.73</v>
      </c>
      <c r="G182" s="19">
        <v>2293</v>
      </c>
      <c r="H182">
        <f t="shared" si="2"/>
        <v>-160</v>
      </c>
    </row>
    <row r="183" spans="1:8" ht="14.25" customHeight="1" x14ac:dyDescent="0.35">
      <c r="A183" s="3" t="s">
        <v>410</v>
      </c>
      <c r="B183" s="3" t="s">
        <v>38</v>
      </c>
      <c r="C183" s="3">
        <v>198</v>
      </c>
      <c r="D183" s="3">
        <v>373</v>
      </c>
      <c r="E183" s="3">
        <v>70707</v>
      </c>
      <c r="F183" s="3">
        <v>4.83</v>
      </c>
      <c r="G183" s="19">
        <v>25920</v>
      </c>
      <c r="H183">
        <f t="shared" si="2"/>
        <v>-175</v>
      </c>
    </row>
    <row r="184" spans="1:8" ht="14.25" customHeight="1" x14ac:dyDescent="0.35">
      <c r="A184" s="3" t="s">
        <v>410</v>
      </c>
      <c r="B184" s="3" t="s">
        <v>14</v>
      </c>
      <c r="C184" s="3">
        <v>353</v>
      </c>
      <c r="D184" s="3">
        <v>300</v>
      </c>
      <c r="E184" s="3">
        <v>142507</v>
      </c>
      <c r="F184" s="3">
        <v>5.3</v>
      </c>
      <c r="G184" s="19">
        <v>11035</v>
      </c>
      <c r="H184">
        <f t="shared" si="2"/>
        <v>53</v>
      </c>
    </row>
    <row r="185" spans="1:8" ht="14.25" customHeight="1" x14ac:dyDescent="0.35">
      <c r="A185" s="3" t="s">
        <v>410</v>
      </c>
      <c r="B185" s="3" t="s">
        <v>24</v>
      </c>
      <c r="C185" s="3">
        <v>520</v>
      </c>
      <c r="D185" s="3">
        <v>375</v>
      </c>
      <c r="E185" s="3">
        <v>369525</v>
      </c>
      <c r="F185" s="3">
        <v>6.54</v>
      </c>
      <c r="G185" s="19">
        <v>20733</v>
      </c>
      <c r="H185">
        <f t="shared" si="2"/>
        <v>145</v>
      </c>
    </row>
    <row r="186" spans="1:8" ht="14.25" customHeight="1" x14ac:dyDescent="0.35">
      <c r="A186" s="3" t="s">
        <v>411</v>
      </c>
      <c r="B186" s="3" t="s">
        <v>30</v>
      </c>
      <c r="C186" s="3">
        <v>961</v>
      </c>
      <c r="D186" s="3">
        <v>358</v>
      </c>
      <c r="E186" s="3">
        <v>62942</v>
      </c>
      <c r="F186" s="3">
        <v>6.8</v>
      </c>
      <c r="G186" s="19">
        <v>18693</v>
      </c>
      <c r="H186">
        <f t="shared" si="2"/>
        <v>603</v>
      </c>
    </row>
    <row r="187" spans="1:8" ht="14.25" customHeight="1" x14ac:dyDescent="0.35">
      <c r="A187" s="3" t="s">
        <v>411</v>
      </c>
      <c r="B187" s="3" t="s">
        <v>38</v>
      </c>
      <c r="C187" s="3">
        <v>1375</v>
      </c>
      <c r="D187" s="3">
        <v>330</v>
      </c>
      <c r="E187" s="3">
        <v>377382</v>
      </c>
      <c r="F187" s="3">
        <v>2.6</v>
      </c>
      <c r="G187" s="19">
        <v>7875</v>
      </c>
      <c r="H187">
        <f t="shared" si="2"/>
        <v>1045</v>
      </c>
    </row>
    <row r="188" spans="1:8" ht="14.25" customHeight="1" x14ac:dyDescent="0.35">
      <c r="A188" s="3" t="s">
        <v>411</v>
      </c>
      <c r="B188" s="3" t="s">
        <v>14</v>
      </c>
      <c r="C188" s="3">
        <v>1147</v>
      </c>
      <c r="D188" s="3">
        <v>388</v>
      </c>
      <c r="E188" s="3">
        <v>333851</v>
      </c>
      <c r="F188" s="3">
        <v>2.44</v>
      </c>
      <c r="G188" s="19">
        <v>8471</v>
      </c>
      <c r="H188">
        <f t="shared" si="2"/>
        <v>759</v>
      </c>
    </row>
    <row r="189" spans="1:8" ht="14.25" customHeight="1" x14ac:dyDescent="0.35">
      <c r="A189" s="3" t="s">
        <v>411</v>
      </c>
      <c r="B189" s="3" t="s">
        <v>24</v>
      </c>
      <c r="C189" s="3">
        <v>1707</v>
      </c>
      <c r="D189" s="3">
        <v>74</v>
      </c>
      <c r="E189" s="3">
        <v>270958</v>
      </c>
      <c r="F189" s="3">
        <v>3.09</v>
      </c>
      <c r="G189" s="19">
        <v>14090</v>
      </c>
      <c r="H189">
        <f t="shared" si="2"/>
        <v>1633</v>
      </c>
    </row>
    <row r="190" spans="1:8" ht="14.25" customHeight="1" x14ac:dyDescent="0.35">
      <c r="A190" s="3" t="s">
        <v>254</v>
      </c>
      <c r="B190" s="3" t="s">
        <v>30</v>
      </c>
      <c r="C190" s="3">
        <v>1693</v>
      </c>
      <c r="D190" s="3">
        <v>154</v>
      </c>
      <c r="E190" s="3">
        <v>445944</v>
      </c>
      <c r="F190" s="3">
        <v>5.69</v>
      </c>
      <c r="G190" s="19">
        <v>14216</v>
      </c>
      <c r="H190">
        <f t="shared" si="2"/>
        <v>1539</v>
      </c>
    </row>
    <row r="191" spans="1:8" ht="14.25" customHeight="1" x14ac:dyDescent="0.35">
      <c r="A191" s="3" t="s">
        <v>254</v>
      </c>
      <c r="B191" s="3" t="s">
        <v>38</v>
      </c>
      <c r="C191" s="3">
        <v>833</v>
      </c>
      <c r="D191" s="3">
        <v>380</v>
      </c>
      <c r="E191" s="3">
        <v>224830</v>
      </c>
      <c r="F191" s="3">
        <v>3.86</v>
      </c>
      <c r="G191" s="19">
        <v>3582</v>
      </c>
      <c r="H191">
        <f t="shared" si="2"/>
        <v>453</v>
      </c>
    </row>
    <row r="192" spans="1:8" ht="14.25" customHeight="1" x14ac:dyDescent="0.35">
      <c r="A192" s="3" t="s">
        <v>254</v>
      </c>
      <c r="B192" s="3" t="s">
        <v>14</v>
      </c>
      <c r="C192" s="3">
        <v>1222</v>
      </c>
      <c r="D192" s="3">
        <v>274</v>
      </c>
      <c r="E192" s="3">
        <v>487289</v>
      </c>
      <c r="F192" s="3">
        <v>3.16</v>
      </c>
      <c r="G192" s="19">
        <v>32500</v>
      </c>
      <c r="H192">
        <f t="shared" si="2"/>
        <v>948</v>
      </c>
    </row>
    <row r="193" spans="1:8" ht="14.25" customHeight="1" x14ac:dyDescent="0.35">
      <c r="A193" s="3" t="s">
        <v>254</v>
      </c>
      <c r="B193" s="3" t="s">
        <v>24</v>
      </c>
      <c r="C193" s="3">
        <v>777</v>
      </c>
      <c r="D193" s="3">
        <v>140</v>
      </c>
      <c r="E193" s="3">
        <v>11435</v>
      </c>
      <c r="F193" s="3">
        <v>1.6</v>
      </c>
      <c r="G193" s="19">
        <v>6832</v>
      </c>
      <c r="H193">
        <f t="shared" si="2"/>
        <v>637</v>
      </c>
    </row>
    <row r="194" spans="1:8" ht="14.25" customHeight="1" x14ac:dyDescent="0.35">
      <c r="A194" s="3" t="s">
        <v>67</v>
      </c>
      <c r="B194" s="3" t="s">
        <v>30</v>
      </c>
      <c r="C194" s="3">
        <v>1957</v>
      </c>
      <c r="D194" s="3">
        <v>76</v>
      </c>
      <c r="E194" s="3">
        <v>447902</v>
      </c>
      <c r="F194" s="3">
        <v>6.09</v>
      </c>
      <c r="G194" s="19">
        <v>33381</v>
      </c>
      <c r="H194">
        <f t="shared" si="2"/>
        <v>1881</v>
      </c>
    </row>
    <row r="195" spans="1:8" ht="14.25" customHeight="1" x14ac:dyDescent="0.35">
      <c r="A195" s="3" t="s">
        <v>67</v>
      </c>
      <c r="B195" s="3" t="s">
        <v>38</v>
      </c>
      <c r="C195" s="3">
        <v>405</v>
      </c>
      <c r="D195" s="3">
        <v>66</v>
      </c>
      <c r="E195" s="3">
        <v>418696</v>
      </c>
      <c r="F195" s="3">
        <v>5.59</v>
      </c>
      <c r="G195" s="19">
        <v>48419</v>
      </c>
      <c r="H195">
        <f t="shared" ref="H195:H201" si="3">(C195-D195)</f>
        <v>339</v>
      </c>
    </row>
    <row r="196" spans="1:8" ht="14.25" customHeight="1" x14ac:dyDescent="0.35">
      <c r="A196" s="3" t="s">
        <v>67</v>
      </c>
      <c r="B196" s="3" t="s">
        <v>14</v>
      </c>
      <c r="C196" s="3">
        <v>1581</v>
      </c>
      <c r="D196" s="3">
        <v>71</v>
      </c>
      <c r="E196" s="3">
        <v>484364</v>
      </c>
      <c r="F196" s="3">
        <v>3.55</v>
      </c>
      <c r="G196" s="19">
        <v>16149</v>
      </c>
      <c r="H196">
        <f t="shared" si="3"/>
        <v>1510</v>
      </c>
    </row>
    <row r="197" spans="1:8" ht="14.25" customHeight="1" x14ac:dyDescent="0.35">
      <c r="A197" s="3" t="s">
        <v>67</v>
      </c>
      <c r="B197" s="3" t="s">
        <v>24</v>
      </c>
      <c r="C197" s="3">
        <v>1035</v>
      </c>
      <c r="D197" s="3">
        <v>171</v>
      </c>
      <c r="E197" s="3">
        <v>148477</v>
      </c>
      <c r="F197" s="3">
        <v>5.21</v>
      </c>
      <c r="G197" s="19">
        <v>7541</v>
      </c>
      <c r="H197">
        <f t="shared" si="3"/>
        <v>864</v>
      </c>
    </row>
    <row r="198" spans="1:8" ht="14.25" customHeight="1" x14ac:dyDescent="0.35">
      <c r="A198" s="3" t="s">
        <v>25</v>
      </c>
      <c r="B198" s="3" t="s">
        <v>30</v>
      </c>
      <c r="C198" s="3">
        <v>1765</v>
      </c>
      <c r="D198" s="3">
        <v>109</v>
      </c>
      <c r="E198" s="3">
        <v>468301</v>
      </c>
      <c r="F198" s="3">
        <v>1.82</v>
      </c>
      <c r="G198" s="19">
        <v>20042</v>
      </c>
      <c r="H198">
        <f t="shared" si="3"/>
        <v>1656</v>
      </c>
    </row>
    <row r="199" spans="1:8" ht="14.25" customHeight="1" x14ac:dyDescent="0.35">
      <c r="A199" s="3" t="s">
        <v>25</v>
      </c>
      <c r="B199" s="3" t="s">
        <v>38</v>
      </c>
      <c r="C199" s="3">
        <v>837</v>
      </c>
      <c r="D199" s="3">
        <v>430</v>
      </c>
      <c r="E199" s="3">
        <v>364820</v>
      </c>
      <c r="F199" s="3">
        <v>4</v>
      </c>
      <c r="G199" s="19">
        <v>49400</v>
      </c>
      <c r="H199">
        <f t="shared" si="3"/>
        <v>407</v>
      </c>
    </row>
    <row r="200" spans="1:8" ht="14.25" customHeight="1" x14ac:dyDescent="0.35">
      <c r="A200" s="3" t="s">
        <v>25</v>
      </c>
      <c r="B200" s="3" t="s">
        <v>14</v>
      </c>
      <c r="C200" s="3">
        <v>337</v>
      </c>
      <c r="D200" s="3">
        <v>68</v>
      </c>
      <c r="E200" s="3">
        <v>456298</v>
      </c>
      <c r="F200" s="3">
        <v>7.57</v>
      </c>
      <c r="G200" s="19">
        <v>4007</v>
      </c>
      <c r="H200">
        <f t="shared" si="3"/>
        <v>269</v>
      </c>
    </row>
    <row r="201" spans="1:8" ht="14.25" customHeight="1" x14ac:dyDescent="0.35">
      <c r="A201" s="3" t="s">
        <v>25</v>
      </c>
      <c r="B201" s="3" t="s">
        <v>24</v>
      </c>
      <c r="C201" s="3">
        <v>119</v>
      </c>
      <c r="D201" s="3">
        <v>456</v>
      </c>
      <c r="E201" s="3">
        <v>82558</v>
      </c>
      <c r="F201" s="3">
        <v>6.81</v>
      </c>
      <c r="G201" s="19">
        <v>12174</v>
      </c>
      <c r="H201">
        <f t="shared" si="3"/>
        <v>-337</v>
      </c>
    </row>
    <row r="202" spans="1:8" ht="14.25" customHeight="1" x14ac:dyDescent="0.35"/>
    <row r="203" spans="1:8" ht="14.25" customHeight="1" x14ac:dyDescent="0.35"/>
    <row r="204" spans="1:8" ht="14.25" customHeight="1" x14ac:dyDescent="0.35"/>
    <row r="205" spans="1:8" ht="14.25" customHeight="1" x14ac:dyDescent="0.35"/>
    <row r="206" spans="1:8" ht="14.25" customHeight="1" x14ac:dyDescent="0.35"/>
    <row r="207" spans="1:8" ht="14.25" customHeight="1" x14ac:dyDescent="0.35"/>
    <row r="208" spans="1: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D18" sqref="D18"/>
    </sheetView>
  </sheetViews>
  <sheetFormatPr defaultColWidth="14.453125" defaultRowHeight="15" customHeight="1" x14ac:dyDescent="0.35"/>
  <cols>
    <col min="1" max="26" width="17.7265625" customWidth="1"/>
  </cols>
  <sheetData>
    <row r="1" spans="1:8" ht="14.25" customHeight="1" x14ac:dyDescent="0.35">
      <c r="A1" s="1" t="s">
        <v>12</v>
      </c>
      <c r="B1" s="2" t="s">
        <v>412</v>
      </c>
      <c r="C1" s="1" t="s">
        <v>413</v>
      </c>
      <c r="D1" s="1" t="s">
        <v>414</v>
      </c>
      <c r="E1" s="2" t="s">
        <v>415</v>
      </c>
      <c r="F1" s="1" t="s">
        <v>416</v>
      </c>
      <c r="G1" s="2" t="s">
        <v>417</v>
      </c>
      <c r="H1" s="2" t="s">
        <v>445</v>
      </c>
    </row>
    <row r="2" spans="1:8" ht="14.25" customHeight="1" x14ac:dyDescent="0.35">
      <c r="A2" s="6" t="s">
        <v>28</v>
      </c>
      <c r="B2" s="5" t="s">
        <v>424</v>
      </c>
      <c r="C2" s="6" t="s">
        <v>166</v>
      </c>
      <c r="D2" s="6" t="s">
        <v>425</v>
      </c>
      <c r="E2" s="5">
        <v>250000</v>
      </c>
      <c r="F2" s="6" t="s">
        <v>426</v>
      </c>
      <c r="G2" s="7" t="s">
        <v>427</v>
      </c>
    </row>
    <row r="3" spans="1:8" ht="14.25" customHeight="1" x14ac:dyDescent="0.35">
      <c r="A3" s="6" t="s">
        <v>22</v>
      </c>
      <c r="B3" s="5" t="s">
        <v>421</v>
      </c>
      <c r="C3" s="6" t="s">
        <v>39</v>
      </c>
      <c r="D3" s="6" t="s">
        <v>422</v>
      </c>
      <c r="E3" s="5">
        <v>200000</v>
      </c>
      <c r="F3" s="6" t="s">
        <v>423</v>
      </c>
      <c r="G3" s="7" t="s">
        <v>431</v>
      </c>
    </row>
    <row r="4" spans="1:8" ht="14.25" customHeight="1" x14ac:dyDescent="0.35">
      <c r="A4" s="6" t="s">
        <v>35</v>
      </c>
      <c r="B4" s="5" t="s">
        <v>428</v>
      </c>
      <c r="C4" s="6" t="s">
        <v>409</v>
      </c>
      <c r="D4" s="6" t="s">
        <v>429</v>
      </c>
      <c r="E4" s="5">
        <v>180000</v>
      </c>
      <c r="F4" s="6" t="s">
        <v>430</v>
      </c>
      <c r="G4" s="7" t="s">
        <v>432</v>
      </c>
      <c r="H4" t="s">
        <v>53</v>
      </c>
    </row>
    <row r="5" spans="1:8" ht="14.25" customHeight="1" x14ac:dyDescent="0.35">
      <c r="A5" s="4" t="s">
        <v>18</v>
      </c>
      <c r="B5" s="5" t="s">
        <v>418</v>
      </c>
      <c r="C5" s="6" t="s">
        <v>223</v>
      </c>
      <c r="D5" s="6" t="s">
        <v>419</v>
      </c>
      <c r="E5" s="5">
        <v>150000</v>
      </c>
      <c r="F5" s="6" t="s">
        <v>420</v>
      </c>
      <c r="G5" s="7" t="s">
        <v>34</v>
      </c>
      <c r="H5" t="s">
        <v>27</v>
      </c>
    </row>
    <row r="6" spans="1:8" ht="14.25" customHeight="1" x14ac:dyDescent="0.35">
      <c r="B6" s="8"/>
      <c r="E6" s="8"/>
      <c r="G6" s="8"/>
    </row>
    <row r="7" spans="1:8" ht="14.25" customHeight="1" x14ac:dyDescent="0.35">
      <c r="B7" s="8"/>
      <c r="E7" s="8"/>
      <c r="G7" s="8"/>
    </row>
    <row r="8" spans="1:8" ht="14.25" customHeight="1" x14ac:dyDescent="0.35">
      <c r="B8" s="8"/>
      <c r="E8" s="8"/>
      <c r="G8" s="8"/>
    </row>
    <row r="9" spans="1:8" ht="14.25" customHeight="1" x14ac:dyDescent="0.35">
      <c r="B9" s="8"/>
      <c r="E9" s="8"/>
      <c r="G9" s="8"/>
    </row>
    <row r="10" spans="1:8" ht="14.25" customHeight="1" x14ac:dyDescent="0.35">
      <c r="B10" s="8"/>
      <c r="E10" s="8"/>
      <c r="G10" s="8"/>
    </row>
    <row r="11" spans="1:8" ht="14.25" customHeight="1" x14ac:dyDescent="0.35">
      <c r="B11" s="8"/>
      <c r="E11" s="8"/>
      <c r="G11" s="8"/>
    </row>
    <row r="12" spans="1:8" ht="14.25" customHeight="1" x14ac:dyDescent="0.35">
      <c r="B12" s="8"/>
      <c r="E12" s="8"/>
      <c r="G12" s="8"/>
    </row>
    <row r="13" spans="1:8" ht="14.25" customHeight="1" x14ac:dyDescent="0.35">
      <c r="B13" s="8"/>
      <c r="E13" s="8"/>
      <c r="G13" s="8"/>
    </row>
    <row r="14" spans="1:8" ht="14.25" customHeight="1" x14ac:dyDescent="0.35">
      <c r="B14" s="8"/>
      <c r="E14" s="8"/>
      <c r="G14" s="8"/>
    </row>
    <row r="15" spans="1:8" ht="14.25" customHeight="1" x14ac:dyDescent="0.35">
      <c r="B15" s="8"/>
      <c r="E15" s="8"/>
      <c r="G15" s="8"/>
    </row>
    <row r="16" spans="1:8" ht="14.25" customHeight="1" x14ac:dyDescent="0.35">
      <c r="E16" s="8"/>
      <c r="G16" s="8"/>
    </row>
    <row r="17" spans="2:7" ht="14.25" customHeight="1" x14ac:dyDescent="0.35">
      <c r="E17" s="8"/>
      <c r="G17" s="8"/>
    </row>
    <row r="18" spans="2:7" ht="14.25" customHeight="1" x14ac:dyDescent="0.35">
      <c r="E18" s="8"/>
      <c r="G18" s="8"/>
    </row>
    <row r="19" spans="2:7" ht="14.25" customHeight="1" x14ac:dyDescent="0.35">
      <c r="E19" s="8"/>
      <c r="G19" s="8"/>
    </row>
    <row r="20" spans="2:7" ht="14.25" customHeight="1" x14ac:dyDescent="0.35">
      <c r="E20" s="8"/>
      <c r="G20" s="8"/>
    </row>
    <row r="21" spans="2:7" ht="14.25" customHeight="1" x14ac:dyDescent="0.35">
      <c r="B21" s="8"/>
      <c r="E21" s="8"/>
      <c r="G21" s="8"/>
    </row>
    <row r="22" spans="2:7" ht="14.25" customHeight="1" x14ac:dyDescent="0.35">
      <c r="B22" s="8"/>
      <c r="E22" s="8"/>
      <c r="G22" s="8"/>
    </row>
    <row r="23" spans="2:7" ht="14.25" customHeight="1" x14ac:dyDescent="0.35">
      <c r="B23" s="8"/>
      <c r="E23" s="8"/>
      <c r="G23" s="8"/>
    </row>
    <row r="24" spans="2:7" ht="14.25" customHeight="1" x14ac:dyDescent="0.35">
      <c r="B24" s="8"/>
      <c r="E24" s="8"/>
      <c r="G24" s="8"/>
    </row>
    <row r="25" spans="2:7" ht="14.25" customHeight="1" x14ac:dyDescent="0.35">
      <c r="B25" s="8"/>
      <c r="E25" s="8"/>
      <c r="G25" s="8"/>
    </row>
    <row r="26" spans="2:7" ht="14.25" customHeight="1" x14ac:dyDescent="0.35">
      <c r="B26" s="8"/>
      <c r="E26" s="8"/>
      <c r="G26" s="8"/>
    </row>
    <row r="27" spans="2:7" ht="14.25" customHeight="1" x14ac:dyDescent="0.35">
      <c r="B27" s="8"/>
      <c r="E27" s="8"/>
      <c r="G27" s="8"/>
    </row>
    <row r="28" spans="2:7" ht="14.25" customHeight="1" x14ac:dyDescent="0.35">
      <c r="B28" s="8"/>
      <c r="E28" s="8"/>
      <c r="G28" s="8"/>
    </row>
    <row r="29" spans="2:7" ht="14.25" customHeight="1" x14ac:dyDescent="0.35">
      <c r="B29" s="8"/>
      <c r="E29" s="8"/>
      <c r="G29" s="8"/>
    </row>
    <row r="30" spans="2:7" ht="14.25" customHeight="1" x14ac:dyDescent="0.35">
      <c r="B30" s="8"/>
      <c r="E30" s="8"/>
      <c r="G30" s="8"/>
    </row>
    <row r="31" spans="2:7" ht="14.25" customHeight="1" x14ac:dyDescent="0.35">
      <c r="B31" s="8"/>
      <c r="E31" s="8"/>
      <c r="G31" s="8"/>
    </row>
    <row r="32" spans="2:7" ht="14.25" customHeight="1" x14ac:dyDescent="0.35">
      <c r="B32" s="8"/>
      <c r="E32" s="8"/>
      <c r="G32" s="8"/>
    </row>
    <row r="33" spans="2:7" ht="14.25" customHeight="1" x14ac:dyDescent="0.35">
      <c r="B33" s="8"/>
      <c r="E33" s="8"/>
      <c r="G33" s="8"/>
    </row>
    <row r="34" spans="2:7" ht="14.25" customHeight="1" x14ac:dyDescent="0.35">
      <c r="B34" s="8"/>
      <c r="E34" s="8"/>
      <c r="G34" s="8"/>
    </row>
    <row r="35" spans="2:7" ht="14.25" customHeight="1" x14ac:dyDescent="0.35">
      <c r="B35" s="8"/>
      <c r="E35" s="8"/>
      <c r="G35" s="8"/>
    </row>
    <row r="36" spans="2:7" ht="14.25" customHeight="1" x14ac:dyDescent="0.35">
      <c r="B36" s="8"/>
      <c r="E36" s="8"/>
      <c r="G36" s="8"/>
    </row>
    <row r="37" spans="2:7" ht="14.25" customHeight="1" x14ac:dyDescent="0.35">
      <c r="B37" s="8"/>
      <c r="E37" s="8"/>
      <c r="G37" s="8"/>
    </row>
    <row r="38" spans="2:7" ht="14.25" customHeight="1" x14ac:dyDescent="0.35">
      <c r="B38" s="8"/>
      <c r="E38" s="8"/>
      <c r="G38" s="8"/>
    </row>
    <row r="39" spans="2:7" ht="14.25" customHeight="1" x14ac:dyDescent="0.35">
      <c r="B39" s="8"/>
      <c r="E39" s="8"/>
      <c r="G39" s="8"/>
    </row>
    <row r="40" spans="2:7" ht="14.25" customHeight="1" x14ac:dyDescent="0.35">
      <c r="B40" s="8"/>
      <c r="E40" s="8"/>
      <c r="G40" s="8"/>
    </row>
    <row r="41" spans="2:7" ht="14.25" customHeight="1" x14ac:dyDescent="0.35">
      <c r="B41" s="8"/>
      <c r="E41" s="8"/>
      <c r="G41" s="8"/>
    </row>
    <row r="42" spans="2:7" ht="14.25" customHeight="1" x14ac:dyDescent="0.35">
      <c r="B42" s="8"/>
      <c r="E42" s="8"/>
      <c r="G42" s="8"/>
    </row>
    <row r="43" spans="2:7" ht="14.25" customHeight="1" x14ac:dyDescent="0.35">
      <c r="B43" s="8"/>
      <c r="E43" s="8"/>
      <c r="G43" s="8"/>
    </row>
    <row r="44" spans="2:7" ht="14.25" customHeight="1" x14ac:dyDescent="0.35">
      <c r="B44" s="8"/>
      <c r="E44" s="8"/>
      <c r="G44" s="8"/>
    </row>
    <row r="45" spans="2:7" ht="14.25" customHeight="1" x14ac:dyDescent="0.35">
      <c r="B45" s="8"/>
      <c r="E45" s="8"/>
      <c r="G45" s="8"/>
    </row>
    <row r="46" spans="2:7" ht="14.25" customHeight="1" x14ac:dyDescent="0.35">
      <c r="B46" s="8"/>
      <c r="E46" s="8"/>
      <c r="G46" s="8"/>
    </row>
    <row r="47" spans="2:7" ht="14.25" customHeight="1" x14ac:dyDescent="0.35">
      <c r="B47" s="8"/>
      <c r="E47" s="8"/>
      <c r="G47" s="8"/>
    </row>
    <row r="48" spans="2:7" ht="14.25" customHeight="1" x14ac:dyDescent="0.35">
      <c r="B48" s="8"/>
      <c r="E48" s="8"/>
      <c r="G48" s="8"/>
    </row>
    <row r="49" spans="2:7" ht="14.25" customHeight="1" x14ac:dyDescent="0.35">
      <c r="B49" s="8"/>
      <c r="E49" s="8"/>
      <c r="G49" s="8"/>
    </row>
    <row r="50" spans="2:7" ht="14.25" customHeight="1" x14ac:dyDescent="0.35">
      <c r="B50" s="8"/>
      <c r="E50" s="8"/>
      <c r="G50" s="8"/>
    </row>
    <row r="51" spans="2:7" ht="14.25" customHeight="1" x14ac:dyDescent="0.35">
      <c r="B51" s="8"/>
      <c r="E51" s="8"/>
      <c r="G51" s="8"/>
    </row>
    <row r="52" spans="2:7" ht="14.25" customHeight="1" x14ac:dyDescent="0.35">
      <c r="B52" s="8"/>
      <c r="E52" s="8"/>
      <c r="G52" s="8"/>
    </row>
    <row r="53" spans="2:7" ht="14.25" customHeight="1" x14ac:dyDescent="0.35">
      <c r="B53" s="8"/>
      <c r="E53" s="8"/>
      <c r="G53" s="8"/>
    </row>
    <row r="54" spans="2:7" ht="14.25" customHeight="1" x14ac:dyDescent="0.35">
      <c r="B54" s="8"/>
      <c r="E54" s="8"/>
      <c r="G54" s="8"/>
    </row>
    <row r="55" spans="2:7" ht="14.25" customHeight="1" x14ac:dyDescent="0.35">
      <c r="B55" s="8"/>
      <c r="E55" s="8"/>
      <c r="G55" s="8"/>
    </row>
    <row r="56" spans="2:7" ht="14.25" customHeight="1" x14ac:dyDescent="0.35">
      <c r="B56" s="8"/>
      <c r="E56" s="8"/>
      <c r="G56" s="8"/>
    </row>
    <row r="57" spans="2:7" ht="14.25" customHeight="1" x14ac:dyDescent="0.35">
      <c r="B57" s="8"/>
      <c r="E57" s="8"/>
      <c r="G57" s="8"/>
    </row>
    <row r="58" spans="2:7" ht="14.25" customHeight="1" x14ac:dyDescent="0.35">
      <c r="B58" s="8"/>
      <c r="E58" s="8"/>
      <c r="G58" s="8"/>
    </row>
    <row r="59" spans="2:7" ht="14.25" customHeight="1" x14ac:dyDescent="0.35">
      <c r="B59" s="8"/>
      <c r="E59" s="8"/>
      <c r="G59" s="8"/>
    </row>
    <row r="60" spans="2:7" ht="14.25" customHeight="1" x14ac:dyDescent="0.35">
      <c r="B60" s="8"/>
      <c r="E60" s="8"/>
      <c r="G60" s="8"/>
    </row>
    <row r="61" spans="2:7" ht="14.25" customHeight="1" x14ac:dyDescent="0.35">
      <c r="B61" s="8"/>
      <c r="E61" s="8"/>
      <c r="G61" s="8"/>
    </row>
    <row r="62" spans="2:7" ht="14.25" customHeight="1" x14ac:dyDescent="0.35">
      <c r="B62" s="8"/>
      <c r="E62" s="8"/>
      <c r="G62" s="8"/>
    </row>
    <row r="63" spans="2:7" ht="14.25" customHeight="1" x14ac:dyDescent="0.35">
      <c r="B63" s="8"/>
      <c r="E63" s="8"/>
      <c r="G63" s="8"/>
    </row>
    <row r="64" spans="2:7" ht="14.25" customHeight="1" x14ac:dyDescent="0.35">
      <c r="B64" s="8"/>
      <c r="E64" s="8"/>
      <c r="G64" s="8"/>
    </row>
    <row r="65" spans="2:7" ht="14.25" customHeight="1" x14ac:dyDescent="0.35">
      <c r="B65" s="8"/>
      <c r="E65" s="8"/>
      <c r="G65" s="8"/>
    </row>
    <row r="66" spans="2:7" ht="14.25" customHeight="1" x14ac:dyDescent="0.35">
      <c r="B66" s="8"/>
      <c r="E66" s="8"/>
      <c r="G66" s="8"/>
    </row>
    <row r="67" spans="2:7" ht="14.25" customHeight="1" x14ac:dyDescent="0.35">
      <c r="B67" s="8"/>
      <c r="E67" s="8"/>
      <c r="G67" s="8"/>
    </row>
    <row r="68" spans="2:7" ht="14.25" customHeight="1" x14ac:dyDescent="0.35">
      <c r="B68" s="8"/>
      <c r="E68" s="8"/>
      <c r="G68" s="8"/>
    </row>
    <row r="69" spans="2:7" ht="14.25" customHeight="1" x14ac:dyDescent="0.35">
      <c r="B69" s="8"/>
      <c r="E69" s="8"/>
      <c r="G69" s="8"/>
    </row>
    <row r="70" spans="2:7" ht="14.25" customHeight="1" x14ac:dyDescent="0.35">
      <c r="B70" s="8"/>
      <c r="E70" s="8"/>
      <c r="G70" s="8"/>
    </row>
    <row r="71" spans="2:7" ht="14.25" customHeight="1" x14ac:dyDescent="0.35">
      <c r="B71" s="8"/>
      <c r="E71" s="8"/>
      <c r="G71" s="8"/>
    </row>
    <row r="72" spans="2:7" ht="14.25" customHeight="1" x14ac:dyDescent="0.35">
      <c r="B72" s="8"/>
      <c r="E72" s="8"/>
      <c r="G72" s="8"/>
    </row>
    <row r="73" spans="2:7" ht="14.25" customHeight="1" x14ac:dyDescent="0.35">
      <c r="B73" s="8"/>
      <c r="E73" s="8"/>
      <c r="G73" s="8"/>
    </row>
    <row r="74" spans="2:7" ht="14.25" customHeight="1" x14ac:dyDescent="0.35">
      <c r="B74" s="8"/>
      <c r="E74" s="8"/>
      <c r="G74" s="8"/>
    </row>
    <row r="75" spans="2:7" ht="14.25" customHeight="1" x14ac:dyDescent="0.35">
      <c r="B75" s="8"/>
      <c r="E75" s="8"/>
      <c r="G75" s="8"/>
    </row>
    <row r="76" spans="2:7" ht="14.25" customHeight="1" x14ac:dyDescent="0.35">
      <c r="B76" s="8"/>
      <c r="E76" s="8"/>
      <c r="G76" s="8"/>
    </row>
    <row r="77" spans="2:7" ht="14.25" customHeight="1" x14ac:dyDescent="0.35">
      <c r="B77" s="8"/>
      <c r="E77" s="8"/>
      <c r="G77" s="8"/>
    </row>
    <row r="78" spans="2:7" ht="14.25" customHeight="1" x14ac:dyDescent="0.35">
      <c r="B78" s="8"/>
      <c r="E78" s="8"/>
      <c r="G78" s="8"/>
    </row>
    <row r="79" spans="2:7" ht="14.25" customHeight="1" x14ac:dyDescent="0.35">
      <c r="B79" s="8"/>
      <c r="E79" s="8"/>
      <c r="G79" s="8"/>
    </row>
    <row r="80" spans="2:7" ht="14.25" customHeight="1" x14ac:dyDescent="0.35">
      <c r="B80" s="8"/>
      <c r="E80" s="8"/>
      <c r="G80" s="8"/>
    </row>
    <row r="81" spans="2:7" ht="14.25" customHeight="1" x14ac:dyDescent="0.35">
      <c r="B81" s="8"/>
      <c r="E81" s="8"/>
      <c r="G81" s="8"/>
    </row>
    <row r="82" spans="2:7" ht="14.25" customHeight="1" x14ac:dyDescent="0.35">
      <c r="B82" s="8"/>
      <c r="E82" s="8"/>
      <c r="G82" s="8"/>
    </row>
    <row r="83" spans="2:7" ht="14.25" customHeight="1" x14ac:dyDescent="0.35">
      <c r="B83" s="8"/>
      <c r="E83" s="8"/>
      <c r="G83" s="8"/>
    </row>
    <row r="84" spans="2:7" ht="14.25" customHeight="1" x14ac:dyDescent="0.35">
      <c r="B84" s="8"/>
      <c r="E84" s="8"/>
      <c r="G84" s="8"/>
    </row>
    <row r="85" spans="2:7" ht="14.25" customHeight="1" x14ac:dyDescent="0.35">
      <c r="B85" s="8"/>
      <c r="E85" s="8"/>
      <c r="G85" s="8"/>
    </row>
    <row r="86" spans="2:7" ht="14.25" customHeight="1" x14ac:dyDescent="0.35">
      <c r="B86" s="8"/>
      <c r="E86" s="8"/>
      <c r="G86" s="8"/>
    </row>
    <row r="87" spans="2:7" ht="14.25" customHeight="1" x14ac:dyDescent="0.35">
      <c r="B87" s="8"/>
      <c r="E87" s="8"/>
      <c r="G87" s="8"/>
    </row>
    <row r="88" spans="2:7" ht="14.25" customHeight="1" x14ac:dyDescent="0.35">
      <c r="B88" s="8"/>
      <c r="E88" s="8"/>
      <c r="G88" s="8"/>
    </row>
    <row r="89" spans="2:7" ht="14.25" customHeight="1" x14ac:dyDescent="0.35">
      <c r="B89" s="8"/>
      <c r="E89" s="8"/>
      <c r="G89" s="8"/>
    </row>
    <row r="90" spans="2:7" ht="14.25" customHeight="1" x14ac:dyDescent="0.35">
      <c r="B90" s="8"/>
      <c r="E90" s="8"/>
      <c r="G90" s="8"/>
    </row>
    <row r="91" spans="2:7" ht="14.25" customHeight="1" x14ac:dyDescent="0.35">
      <c r="B91" s="8"/>
      <c r="E91" s="8"/>
      <c r="G91" s="8"/>
    </row>
    <row r="92" spans="2:7" ht="14.25" customHeight="1" x14ac:dyDescent="0.35">
      <c r="B92" s="8"/>
      <c r="E92" s="8"/>
      <c r="G92" s="8"/>
    </row>
    <row r="93" spans="2:7" ht="14.25" customHeight="1" x14ac:dyDescent="0.35">
      <c r="B93" s="8"/>
      <c r="E93" s="8"/>
      <c r="G93" s="8"/>
    </row>
    <row r="94" spans="2:7" ht="14.25" customHeight="1" x14ac:dyDescent="0.35">
      <c r="B94" s="8"/>
      <c r="E94" s="8"/>
      <c r="G94" s="8"/>
    </row>
    <row r="95" spans="2:7" ht="14.25" customHeight="1" x14ac:dyDescent="0.35">
      <c r="B95" s="8"/>
      <c r="E95" s="8"/>
      <c r="G95" s="8"/>
    </row>
    <row r="96" spans="2:7" ht="14.25" customHeight="1" x14ac:dyDescent="0.35">
      <c r="B96" s="8"/>
      <c r="E96" s="8"/>
      <c r="G96" s="8"/>
    </row>
    <row r="97" spans="2:7" ht="14.25" customHeight="1" x14ac:dyDescent="0.35">
      <c r="B97" s="8"/>
      <c r="E97" s="8"/>
      <c r="G97" s="8"/>
    </row>
    <row r="98" spans="2:7" ht="14.25" customHeight="1" x14ac:dyDescent="0.35">
      <c r="B98" s="8"/>
      <c r="E98" s="8"/>
      <c r="G98" s="8"/>
    </row>
    <row r="99" spans="2:7" ht="14.25" customHeight="1" x14ac:dyDescent="0.35">
      <c r="B99" s="8"/>
      <c r="E99" s="8"/>
      <c r="G99" s="8"/>
    </row>
    <row r="100" spans="2:7" ht="14.25" customHeight="1" x14ac:dyDescent="0.35">
      <c r="B100" s="8"/>
      <c r="E100" s="8"/>
      <c r="G100" s="8"/>
    </row>
    <row r="101" spans="2:7" ht="14.25" customHeight="1" x14ac:dyDescent="0.35">
      <c r="B101" s="8"/>
      <c r="E101" s="8"/>
      <c r="G101" s="8"/>
    </row>
    <row r="102" spans="2:7" ht="14.25" customHeight="1" x14ac:dyDescent="0.35">
      <c r="B102" s="8"/>
      <c r="E102" s="8"/>
      <c r="G102" s="8"/>
    </row>
    <row r="103" spans="2:7" ht="14.25" customHeight="1" x14ac:dyDescent="0.35">
      <c r="B103" s="8"/>
      <c r="E103" s="8"/>
      <c r="G103" s="8"/>
    </row>
    <row r="104" spans="2:7" ht="14.25" customHeight="1" x14ac:dyDescent="0.35">
      <c r="B104" s="8"/>
      <c r="E104" s="8"/>
      <c r="G104" s="8"/>
    </row>
    <row r="105" spans="2:7" ht="14.25" customHeight="1" x14ac:dyDescent="0.35">
      <c r="B105" s="8"/>
      <c r="E105" s="8"/>
      <c r="G105" s="8"/>
    </row>
    <row r="106" spans="2:7" ht="14.25" customHeight="1" x14ac:dyDescent="0.35">
      <c r="B106" s="8"/>
      <c r="E106" s="8"/>
      <c r="G106" s="8"/>
    </row>
    <row r="107" spans="2:7" ht="14.25" customHeight="1" x14ac:dyDescent="0.35">
      <c r="B107" s="8"/>
      <c r="E107" s="8"/>
      <c r="G107" s="8"/>
    </row>
    <row r="108" spans="2:7" ht="14.25" customHeight="1" x14ac:dyDescent="0.35">
      <c r="B108" s="8"/>
      <c r="E108" s="8"/>
      <c r="G108" s="8"/>
    </row>
    <row r="109" spans="2:7" ht="14.25" customHeight="1" x14ac:dyDescent="0.35">
      <c r="B109" s="8"/>
      <c r="E109" s="8"/>
      <c r="G109" s="8"/>
    </row>
    <row r="110" spans="2:7" ht="14.25" customHeight="1" x14ac:dyDescent="0.35">
      <c r="B110" s="8"/>
      <c r="E110" s="8"/>
      <c r="G110" s="8"/>
    </row>
    <row r="111" spans="2:7" ht="14.25" customHeight="1" x14ac:dyDescent="0.35">
      <c r="B111" s="8"/>
      <c r="E111" s="8"/>
      <c r="G111" s="8"/>
    </row>
    <row r="112" spans="2:7" ht="14.25" customHeight="1" x14ac:dyDescent="0.35">
      <c r="B112" s="8"/>
      <c r="E112" s="8"/>
      <c r="G112" s="8"/>
    </row>
    <row r="113" spans="2:7" ht="14.25" customHeight="1" x14ac:dyDescent="0.35">
      <c r="B113" s="8"/>
      <c r="E113" s="8"/>
      <c r="G113" s="8"/>
    </row>
    <row r="114" spans="2:7" ht="14.25" customHeight="1" x14ac:dyDescent="0.35">
      <c r="B114" s="8"/>
      <c r="E114" s="8"/>
      <c r="G114" s="8"/>
    </row>
    <row r="115" spans="2:7" ht="14.25" customHeight="1" x14ac:dyDescent="0.35">
      <c r="B115" s="8"/>
      <c r="E115" s="8"/>
      <c r="G115" s="8"/>
    </row>
    <row r="116" spans="2:7" ht="14.25" customHeight="1" x14ac:dyDescent="0.35">
      <c r="B116" s="8"/>
      <c r="E116" s="8"/>
      <c r="G116" s="8"/>
    </row>
    <row r="117" spans="2:7" ht="14.25" customHeight="1" x14ac:dyDescent="0.35">
      <c r="B117" s="8"/>
      <c r="E117" s="8"/>
      <c r="G117" s="8"/>
    </row>
    <row r="118" spans="2:7" ht="14.25" customHeight="1" x14ac:dyDescent="0.35">
      <c r="B118" s="8"/>
      <c r="E118" s="8"/>
      <c r="G118" s="8"/>
    </row>
    <row r="119" spans="2:7" ht="14.25" customHeight="1" x14ac:dyDescent="0.35">
      <c r="B119" s="8"/>
      <c r="E119" s="8"/>
      <c r="G119" s="8"/>
    </row>
    <row r="120" spans="2:7" ht="14.25" customHeight="1" x14ac:dyDescent="0.35">
      <c r="B120" s="8"/>
      <c r="E120" s="8"/>
      <c r="G120" s="8"/>
    </row>
    <row r="121" spans="2:7" ht="14.25" customHeight="1" x14ac:dyDescent="0.35">
      <c r="B121" s="8"/>
      <c r="E121" s="8"/>
      <c r="G121" s="8"/>
    </row>
    <row r="122" spans="2:7" ht="14.25" customHeight="1" x14ac:dyDescent="0.35">
      <c r="B122" s="8"/>
      <c r="E122" s="8"/>
      <c r="G122" s="8"/>
    </row>
    <row r="123" spans="2:7" ht="14.25" customHeight="1" x14ac:dyDescent="0.35">
      <c r="B123" s="8"/>
      <c r="E123" s="8"/>
      <c r="G123" s="8"/>
    </row>
    <row r="124" spans="2:7" ht="14.25" customHeight="1" x14ac:dyDescent="0.35">
      <c r="B124" s="8"/>
      <c r="E124" s="8"/>
      <c r="G124" s="8"/>
    </row>
    <row r="125" spans="2:7" ht="14.25" customHeight="1" x14ac:dyDescent="0.35">
      <c r="B125" s="8"/>
      <c r="E125" s="8"/>
      <c r="G125" s="8"/>
    </row>
    <row r="126" spans="2:7" ht="14.25" customHeight="1" x14ac:dyDescent="0.35">
      <c r="B126" s="8"/>
      <c r="E126" s="8"/>
      <c r="G126" s="8"/>
    </row>
    <row r="127" spans="2:7" ht="14.25" customHeight="1" x14ac:dyDescent="0.35">
      <c r="B127" s="8"/>
      <c r="E127" s="8"/>
      <c r="G127" s="8"/>
    </row>
    <row r="128" spans="2:7" ht="14.25" customHeight="1" x14ac:dyDescent="0.35">
      <c r="B128" s="8"/>
      <c r="E128" s="8"/>
      <c r="G128" s="8"/>
    </row>
    <row r="129" spans="2:7" ht="14.25" customHeight="1" x14ac:dyDescent="0.35">
      <c r="B129" s="8"/>
      <c r="E129" s="8"/>
      <c r="G129" s="8"/>
    </row>
    <row r="130" spans="2:7" ht="14.25" customHeight="1" x14ac:dyDescent="0.35">
      <c r="B130" s="8"/>
      <c r="E130" s="8"/>
      <c r="G130" s="8"/>
    </row>
    <row r="131" spans="2:7" ht="14.25" customHeight="1" x14ac:dyDescent="0.35">
      <c r="B131" s="8"/>
      <c r="E131" s="8"/>
      <c r="G131" s="8"/>
    </row>
    <row r="132" spans="2:7" ht="14.25" customHeight="1" x14ac:dyDescent="0.35">
      <c r="B132" s="8"/>
      <c r="E132" s="8"/>
      <c r="G132" s="8"/>
    </row>
    <row r="133" spans="2:7" ht="14.25" customHeight="1" x14ac:dyDescent="0.35">
      <c r="B133" s="8"/>
      <c r="E133" s="8"/>
      <c r="G133" s="8"/>
    </row>
    <row r="134" spans="2:7" ht="14.25" customHeight="1" x14ac:dyDescent="0.35">
      <c r="B134" s="8"/>
      <c r="E134" s="8"/>
      <c r="G134" s="8"/>
    </row>
    <row r="135" spans="2:7" ht="14.25" customHeight="1" x14ac:dyDescent="0.35">
      <c r="B135" s="8"/>
      <c r="E135" s="8"/>
      <c r="G135" s="8"/>
    </row>
    <row r="136" spans="2:7" ht="14.25" customHeight="1" x14ac:dyDescent="0.35">
      <c r="B136" s="8"/>
      <c r="E136" s="8"/>
      <c r="G136" s="8"/>
    </row>
    <row r="137" spans="2:7" ht="14.25" customHeight="1" x14ac:dyDescent="0.35">
      <c r="B137" s="8"/>
      <c r="E137" s="8"/>
      <c r="G137" s="8"/>
    </row>
    <row r="138" spans="2:7" ht="14.25" customHeight="1" x14ac:dyDescent="0.35">
      <c r="B138" s="8"/>
      <c r="E138" s="8"/>
      <c r="G138" s="8"/>
    </row>
    <row r="139" spans="2:7" ht="14.25" customHeight="1" x14ac:dyDescent="0.35">
      <c r="B139" s="8"/>
      <c r="E139" s="8"/>
      <c r="G139" s="8"/>
    </row>
    <row r="140" spans="2:7" ht="14.25" customHeight="1" x14ac:dyDescent="0.35">
      <c r="B140" s="8"/>
      <c r="E140" s="8"/>
      <c r="G140" s="8"/>
    </row>
    <row r="141" spans="2:7" ht="14.25" customHeight="1" x14ac:dyDescent="0.35">
      <c r="B141" s="8"/>
      <c r="E141" s="8"/>
      <c r="G141" s="8"/>
    </row>
    <row r="142" spans="2:7" ht="14.25" customHeight="1" x14ac:dyDescent="0.35">
      <c r="B142" s="8"/>
      <c r="E142" s="8"/>
      <c r="G142" s="8"/>
    </row>
    <row r="143" spans="2:7" ht="14.25" customHeight="1" x14ac:dyDescent="0.35">
      <c r="B143" s="8"/>
      <c r="E143" s="8"/>
      <c r="G143" s="8"/>
    </row>
    <row r="144" spans="2:7" ht="14.25" customHeight="1" x14ac:dyDescent="0.35">
      <c r="B144" s="8"/>
      <c r="E144" s="8"/>
      <c r="G144" s="8"/>
    </row>
    <row r="145" spans="2:7" ht="14.25" customHeight="1" x14ac:dyDescent="0.35">
      <c r="B145" s="8"/>
      <c r="E145" s="8"/>
      <c r="G145" s="8"/>
    </row>
    <row r="146" spans="2:7" ht="14.25" customHeight="1" x14ac:dyDescent="0.35">
      <c r="B146" s="8"/>
      <c r="E146" s="8"/>
      <c r="G146" s="8"/>
    </row>
    <row r="147" spans="2:7" ht="14.25" customHeight="1" x14ac:dyDescent="0.35">
      <c r="B147" s="8"/>
      <c r="E147" s="8"/>
      <c r="G147" s="8"/>
    </row>
    <row r="148" spans="2:7" ht="14.25" customHeight="1" x14ac:dyDescent="0.35">
      <c r="B148" s="8"/>
      <c r="E148" s="8"/>
      <c r="G148" s="8"/>
    </row>
    <row r="149" spans="2:7" ht="14.25" customHeight="1" x14ac:dyDescent="0.35">
      <c r="B149" s="8"/>
      <c r="E149" s="8"/>
      <c r="G149" s="8"/>
    </row>
    <row r="150" spans="2:7" ht="14.25" customHeight="1" x14ac:dyDescent="0.35">
      <c r="B150" s="8"/>
      <c r="E150" s="8"/>
      <c r="G150" s="8"/>
    </row>
    <row r="151" spans="2:7" ht="14.25" customHeight="1" x14ac:dyDescent="0.35">
      <c r="B151" s="8"/>
      <c r="E151" s="8"/>
      <c r="G151" s="8"/>
    </row>
    <row r="152" spans="2:7" ht="14.25" customHeight="1" x14ac:dyDescent="0.35">
      <c r="B152" s="8"/>
      <c r="E152" s="8"/>
      <c r="G152" s="8"/>
    </row>
    <row r="153" spans="2:7" ht="14.25" customHeight="1" x14ac:dyDescent="0.35">
      <c r="B153" s="8"/>
      <c r="E153" s="8"/>
      <c r="G153" s="8"/>
    </row>
    <row r="154" spans="2:7" ht="14.25" customHeight="1" x14ac:dyDescent="0.35">
      <c r="B154" s="8"/>
      <c r="E154" s="8"/>
      <c r="G154" s="8"/>
    </row>
    <row r="155" spans="2:7" ht="14.25" customHeight="1" x14ac:dyDescent="0.35">
      <c r="B155" s="8"/>
      <c r="E155" s="8"/>
      <c r="G155" s="8"/>
    </row>
    <row r="156" spans="2:7" ht="14.25" customHeight="1" x14ac:dyDescent="0.35">
      <c r="B156" s="8"/>
      <c r="E156" s="8"/>
      <c r="G156" s="8"/>
    </row>
    <row r="157" spans="2:7" ht="14.25" customHeight="1" x14ac:dyDescent="0.35">
      <c r="B157" s="8"/>
      <c r="E157" s="8"/>
      <c r="G157" s="8"/>
    </row>
    <row r="158" spans="2:7" ht="14.25" customHeight="1" x14ac:dyDescent="0.35">
      <c r="B158" s="8"/>
      <c r="E158" s="8"/>
      <c r="G158" s="8"/>
    </row>
    <row r="159" spans="2:7" ht="14.25" customHeight="1" x14ac:dyDescent="0.35">
      <c r="B159" s="8"/>
      <c r="E159" s="8"/>
      <c r="G159" s="8"/>
    </row>
    <row r="160" spans="2:7" ht="14.25" customHeight="1" x14ac:dyDescent="0.35">
      <c r="B160" s="8"/>
      <c r="E160" s="8"/>
      <c r="G160" s="8"/>
    </row>
    <row r="161" spans="2:7" ht="14.25" customHeight="1" x14ac:dyDescent="0.35">
      <c r="B161" s="8"/>
      <c r="E161" s="8"/>
      <c r="G161" s="8"/>
    </row>
    <row r="162" spans="2:7" ht="14.25" customHeight="1" x14ac:dyDescent="0.35">
      <c r="B162" s="8"/>
      <c r="E162" s="8"/>
      <c r="G162" s="8"/>
    </row>
    <row r="163" spans="2:7" ht="14.25" customHeight="1" x14ac:dyDescent="0.35">
      <c r="B163" s="8"/>
      <c r="E163" s="8"/>
      <c r="G163" s="8"/>
    </row>
    <row r="164" spans="2:7" ht="14.25" customHeight="1" x14ac:dyDescent="0.35">
      <c r="B164" s="8"/>
      <c r="E164" s="8"/>
      <c r="G164" s="8"/>
    </row>
    <row r="165" spans="2:7" ht="14.25" customHeight="1" x14ac:dyDescent="0.35">
      <c r="B165" s="8"/>
      <c r="E165" s="8"/>
      <c r="G165" s="8"/>
    </row>
    <row r="166" spans="2:7" ht="14.25" customHeight="1" x14ac:dyDescent="0.35">
      <c r="B166" s="8"/>
      <c r="E166" s="8"/>
      <c r="G166" s="8"/>
    </row>
    <row r="167" spans="2:7" ht="14.25" customHeight="1" x14ac:dyDescent="0.35">
      <c r="B167" s="8"/>
      <c r="E167" s="8"/>
      <c r="G167" s="8"/>
    </row>
    <row r="168" spans="2:7" ht="14.25" customHeight="1" x14ac:dyDescent="0.35">
      <c r="B168" s="8"/>
      <c r="E168" s="8"/>
      <c r="G168" s="8"/>
    </row>
    <row r="169" spans="2:7" ht="14.25" customHeight="1" x14ac:dyDescent="0.35">
      <c r="B169" s="8"/>
      <c r="E169" s="8"/>
      <c r="G169" s="8"/>
    </row>
    <row r="170" spans="2:7" ht="14.25" customHeight="1" x14ac:dyDescent="0.35">
      <c r="B170" s="8"/>
      <c r="E170" s="8"/>
      <c r="G170" s="8"/>
    </row>
    <row r="171" spans="2:7" ht="14.25" customHeight="1" x14ac:dyDescent="0.35">
      <c r="B171" s="8"/>
      <c r="E171" s="8"/>
      <c r="G171" s="8"/>
    </row>
    <row r="172" spans="2:7" ht="14.25" customHeight="1" x14ac:dyDescent="0.35">
      <c r="B172" s="8"/>
      <c r="E172" s="8"/>
      <c r="G172" s="8"/>
    </row>
    <row r="173" spans="2:7" ht="14.25" customHeight="1" x14ac:dyDescent="0.35">
      <c r="B173" s="8"/>
      <c r="E173" s="8"/>
      <c r="G173" s="8"/>
    </row>
    <row r="174" spans="2:7" ht="14.25" customHeight="1" x14ac:dyDescent="0.35">
      <c r="B174" s="8"/>
      <c r="E174" s="8"/>
      <c r="G174" s="8"/>
    </row>
    <row r="175" spans="2:7" ht="14.25" customHeight="1" x14ac:dyDescent="0.35">
      <c r="B175" s="8"/>
      <c r="E175" s="8"/>
      <c r="G175" s="8"/>
    </row>
    <row r="176" spans="2:7" ht="14.25" customHeight="1" x14ac:dyDescent="0.35">
      <c r="B176" s="8"/>
      <c r="E176" s="8"/>
      <c r="G176" s="8"/>
    </row>
    <row r="177" spans="2:7" ht="14.25" customHeight="1" x14ac:dyDescent="0.35">
      <c r="B177" s="8"/>
      <c r="E177" s="8"/>
      <c r="G177" s="8"/>
    </row>
    <row r="178" spans="2:7" ht="14.25" customHeight="1" x14ac:dyDescent="0.35">
      <c r="B178" s="8"/>
      <c r="E178" s="8"/>
      <c r="G178" s="8"/>
    </row>
    <row r="179" spans="2:7" ht="14.25" customHeight="1" x14ac:dyDescent="0.35">
      <c r="B179" s="8"/>
      <c r="E179" s="8"/>
      <c r="G179" s="8"/>
    </row>
    <row r="180" spans="2:7" ht="14.25" customHeight="1" x14ac:dyDescent="0.35">
      <c r="B180" s="8"/>
      <c r="E180" s="8"/>
      <c r="G180" s="8"/>
    </row>
    <row r="181" spans="2:7" ht="14.25" customHeight="1" x14ac:dyDescent="0.35">
      <c r="B181" s="8"/>
      <c r="E181" s="8"/>
      <c r="G181" s="8"/>
    </row>
    <row r="182" spans="2:7" ht="14.25" customHeight="1" x14ac:dyDescent="0.35">
      <c r="B182" s="8"/>
      <c r="E182" s="8"/>
      <c r="G182" s="8"/>
    </row>
    <row r="183" spans="2:7" ht="14.25" customHeight="1" x14ac:dyDescent="0.35">
      <c r="B183" s="8"/>
      <c r="E183" s="8"/>
      <c r="G183" s="8"/>
    </row>
    <row r="184" spans="2:7" ht="14.25" customHeight="1" x14ac:dyDescent="0.35">
      <c r="B184" s="8"/>
      <c r="E184" s="8"/>
      <c r="G184" s="8"/>
    </row>
    <row r="185" spans="2:7" ht="14.25" customHeight="1" x14ac:dyDescent="0.35">
      <c r="B185" s="8"/>
      <c r="E185" s="8"/>
      <c r="G185" s="8"/>
    </row>
    <row r="186" spans="2:7" ht="14.25" customHeight="1" x14ac:dyDescent="0.35">
      <c r="B186" s="8"/>
      <c r="E186" s="8"/>
      <c r="G186" s="8"/>
    </row>
    <row r="187" spans="2:7" ht="14.25" customHeight="1" x14ac:dyDescent="0.35">
      <c r="B187" s="8"/>
      <c r="E187" s="8"/>
      <c r="G187" s="8"/>
    </row>
    <row r="188" spans="2:7" ht="14.25" customHeight="1" x14ac:dyDescent="0.35">
      <c r="B188" s="8"/>
      <c r="E188" s="8"/>
      <c r="G188" s="8"/>
    </row>
    <row r="189" spans="2:7" ht="14.25" customHeight="1" x14ac:dyDescent="0.35">
      <c r="B189" s="8"/>
      <c r="E189" s="8"/>
      <c r="G189" s="8"/>
    </row>
    <row r="190" spans="2:7" ht="14.25" customHeight="1" x14ac:dyDescent="0.35">
      <c r="B190" s="8"/>
      <c r="E190" s="8"/>
      <c r="G190" s="8"/>
    </row>
    <row r="191" spans="2:7" ht="14.25" customHeight="1" x14ac:dyDescent="0.35">
      <c r="B191" s="8"/>
      <c r="E191" s="8"/>
      <c r="G191" s="8"/>
    </row>
    <row r="192" spans="2:7" ht="14.25" customHeight="1" x14ac:dyDescent="0.35">
      <c r="B192" s="8"/>
      <c r="E192" s="8"/>
      <c r="G192" s="8"/>
    </row>
    <row r="193" spans="2:7" ht="14.25" customHeight="1" x14ac:dyDescent="0.35">
      <c r="B193" s="8"/>
      <c r="E193" s="8"/>
      <c r="G193" s="8"/>
    </row>
    <row r="194" spans="2:7" ht="14.25" customHeight="1" x14ac:dyDescent="0.35">
      <c r="B194" s="8"/>
      <c r="E194" s="8"/>
      <c r="G194" s="8"/>
    </row>
    <row r="195" spans="2:7" ht="14.25" customHeight="1" x14ac:dyDescent="0.35">
      <c r="B195" s="8"/>
      <c r="E195" s="8"/>
      <c r="G195" s="8"/>
    </row>
    <row r="196" spans="2:7" ht="14.25" customHeight="1" x14ac:dyDescent="0.35">
      <c r="B196" s="8"/>
      <c r="E196" s="8"/>
      <c r="G196" s="8"/>
    </row>
    <row r="197" spans="2:7" ht="14.25" customHeight="1" x14ac:dyDescent="0.35">
      <c r="B197" s="8"/>
      <c r="E197" s="8"/>
      <c r="G197" s="8"/>
    </row>
    <row r="198" spans="2:7" ht="14.25" customHeight="1" x14ac:dyDescent="0.35">
      <c r="B198" s="8"/>
      <c r="E198" s="8"/>
      <c r="G198" s="8"/>
    </row>
    <row r="199" spans="2:7" ht="14.25" customHeight="1" x14ac:dyDescent="0.35">
      <c r="B199" s="8"/>
      <c r="E199" s="8"/>
      <c r="G199" s="8"/>
    </row>
    <row r="200" spans="2:7" ht="14.25" customHeight="1" x14ac:dyDescent="0.35">
      <c r="B200" s="8"/>
      <c r="E200" s="8"/>
      <c r="G200" s="8"/>
    </row>
    <row r="201" spans="2:7" ht="14.25" customHeight="1" x14ac:dyDescent="0.35">
      <c r="B201" s="8"/>
      <c r="E201" s="8"/>
      <c r="G201" s="8"/>
    </row>
    <row r="202" spans="2:7" ht="14.25" customHeight="1" x14ac:dyDescent="0.35">
      <c r="B202" s="8"/>
      <c r="E202" s="8"/>
      <c r="G202" s="8"/>
    </row>
    <row r="203" spans="2:7" ht="14.25" customHeight="1" x14ac:dyDescent="0.35">
      <c r="B203" s="8"/>
      <c r="E203" s="8"/>
      <c r="G203" s="8"/>
    </row>
    <row r="204" spans="2:7" ht="14.25" customHeight="1" x14ac:dyDescent="0.35">
      <c r="B204" s="8"/>
      <c r="E204" s="8"/>
      <c r="G204" s="8"/>
    </row>
    <row r="205" spans="2:7" ht="14.25" customHeight="1" x14ac:dyDescent="0.35">
      <c r="B205" s="8"/>
      <c r="E205" s="8"/>
      <c r="G205" s="8"/>
    </row>
    <row r="206" spans="2:7" ht="14.25" customHeight="1" x14ac:dyDescent="0.35">
      <c r="B206" s="8"/>
      <c r="E206" s="8"/>
      <c r="G206" s="8"/>
    </row>
    <row r="207" spans="2:7" ht="14.25" customHeight="1" x14ac:dyDescent="0.35">
      <c r="B207" s="8"/>
      <c r="E207" s="8"/>
      <c r="G207" s="8"/>
    </row>
    <row r="208" spans="2:7" ht="14.25" customHeight="1" x14ac:dyDescent="0.35">
      <c r="B208" s="8"/>
      <c r="E208" s="8"/>
      <c r="G208" s="8"/>
    </row>
    <row r="209" spans="2:7" ht="14.25" customHeight="1" x14ac:dyDescent="0.35">
      <c r="B209" s="8"/>
      <c r="E209" s="8"/>
      <c r="G209" s="8"/>
    </row>
    <row r="210" spans="2:7" ht="14.25" customHeight="1" x14ac:dyDescent="0.35">
      <c r="B210" s="8"/>
      <c r="E210" s="8"/>
      <c r="G210" s="8"/>
    </row>
    <row r="211" spans="2:7" ht="14.25" customHeight="1" x14ac:dyDescent="0.35">
      <c r="B211" s="8"/>
      <c r="E211" s="8"/>
      <c r="G211" s="8"/>
    </row>
    <row r="212" spans="2:7" ht="14.25" customHeight="1" x14ac:dyDescent="0.35">
      <c r="B212" s="8"/>
      <c r="E212" s="8"/>
      <c r="G212" s="8"/>
    </row>
    <row r="213" spans="2:7" ht="14.25" customHeight="1" x14ac:dyDescent="0.35">
      <c r="B213" s="8"/>
      <c r="E213" s="8"/>
      <c r="G213" s="8"/>
    </row>
    <row r="214" spans="2:7" ht="14.25" customHeight="1" x14ac:dyDescent="0.35">
      <c r="B214" s="8"/>
      <c r="E214" s="8"/>
      <c r="G214" s="8"/>
    </row>
    <row r="215" spans="2:7" ht="14.25" customHeight="1" x14ac:dyDescent="0.35">
      <c r="B215" s="8"/>
      <c r="E215" s="8"/>
      <c r="G215" s="8"/>
    </row>
    <row r="216" spans="2:7" ht="14.25" customHeight="1" x14ac:dyDescent="0.35">
      <c r="B216" s="8"/>
      <c r="E216" s="8"/>
      <c r="G216" s="8"/>
    </row>
    <row r="217" spans="2:7" ht="14.25" customHeight="1" x14ac:dyDescent="0.35">
      <c r="B217" s="8"/>
      <c r="E217" s="8"/>
      <c r="G217" s="8"/>
    </row>
    <row r="218" spans="2:7" ht="14.25" customHeight="1" x14ac:dyDescent="0.35">
      <c r="B218" s="8"/>
      <c r="E218" s="8"/>
      <c r="G218" s="8"/>
    </row>
    <row r="219" spans="2:7" ht="14.25" customHeight="1" x14ac:dyDescent="0.35">
      <c r="B219" s="8"/>
      <c r="E219" s="8"/>
      <c r="G219" s="8"/>
    </row>
    <row r="220" spans="2:7" ht="14.25" customHeight="1" x14ac:dyDescent="0.35">
      <c r="B220" s="8"/>
      <c r="E220" s="8"/>
      <c r="G220" s="8"/>
    </row>
    <row r="221" spans="2:7" ht="14.25" customHeight="1" x14ac:dyDescent="0.35">
      <c r="B221" s="8"/>
      <c r="E221" s="8"/>
      <c r="G221" s="8"/>
    </row>
    <row r="222" spans="2:7" ht="14.25" customHeight="1" x14ac:dyDescent="0.35">
      <c r="B222" s="8"/>
      <c r="E222" s="8"/>
      <c r="G222" s="8"/>
    </row>
    <row r="223" spans="2:7" ht="14.25" customHeight="1" x14ac:dyDescent="0.35">
      <c r="B223" s="8"/>
      <c r="E223" s="8"/>
      <c r="G223" s="8"/>
    </row>
    <row r="224" spans="2:7" ht="14.25" customHeight="1" x14ac:dyDescent="0.35">
      <c r="B224" s="8"/>
      <c r="E224" s="8"/>
      <c r="G224" s="8"/>
    </row>
    <row r="225" spans="2:7" ht="14.25" customHeight="1" x14ac:dyDescent="0.35">
      <c r="B225" s="8"/>
      <c r="E225" s="8"/>
      <c r="G225" s="8"/>
    </row>
    <row r="226" spans="2:7" ht="14.25" customHeight="1" x14ac:dyDescent="0.35">
      <c r="B226" s="8"/>
      <c r="E226" s="8"/>
      <c r="G226" s="8"/>
    </row>
    <row r="227" spans="2:7" ht="14.25" customHeight="1" x14ac:dyDescent="0.35">
      <c r="B227" s="8"/>
      <c r="E227" s="8"/>
      <c r="G227" s="8"/>
    </row>
    <row r="228" spans="2:7" ht="14.25" customHeight="1" x14ac:dyDescent="0.35">
      <c r="B228" s="8"/>
      <c r="E228" s="8"/>
      <c r="G228" s="8"/>
    </row>
    <row r="229" spans="2:7" ht="14.25" customHeight="1" x14ac:dyDescent="0.35">
      <c r="B229" s="8"/>
      <c r="E229" s="8"/>
      <c r="G229" s="8"/>
    </row>
    <row r="230" spans="2:7" ht="14.25" customHeight="1" x14ac:dyDescent="0.35">
      <c r="B230" s="8"/>
      <c r="E230" s="8"/>
      <c r="G230" s="8"/>
    </row>
    <row r="231" spans="2:7" ht="14.25" customHeight="1" x14ac:dyDescent="0.35">
      <c r="B231" s="8"/>
      <c r="E231" s="8"/>
      <c r="G231" s="8"/>
    </row>
    <row r="232" spans="2:7" ht="14.25" customHeight="1" x14ac:dyDescent="0.35">
      <c r="B232" s="8"/>
      <c r="E232" s="8"/>
      <c r="G232" s="8"/>
    </row>
    <row r="233" spans="2:7" ht="14.25" customHeight="1" x14ac:dyDescent="0.35">
      <c r="B233" s="8"/>
      <c r="E233" s="8"/>
      <c r="G233" s="8"/>
    </row>
    <row r="234" spans="2:7" ht="14.25" customHeight="1" x14ac:dyDescent="0.35">
      <c r="B234" s="8"/>
      <c r="E234" s="8"/>
      <c r="G234" s="8"/>
    </row>
    <row r="235" spans="2:7" ht="14.25" customHeight="1" x14ac:dyDescent="0.35">
      <c r="B235" s="8"/>
      <c r="E235" s="8"/>
      <c r="G235" s="8"/>
    </row>
    <row r="236" spans="2:7" ht="14.25" customHeight="1" x14ac:dyDescent="0.35">
      <c r="B236" s="8"/>
      <c r="E236" s="8"/>
      <c r="G236" s="8"/>
    </row>
    <row r="237" spans="2:7" ht="14.25" customHeight="1" x14ac:dyDescent="0.35">
      <c r="B237" s="8"/>
      <c r="E237" s="8"/>
      <c r="G237" s="8"/>
    </row>
    <row r="238" spans="2:7" ht="14.25" customHeight="1" x14ac:dyDescent="0.35">
      <c r="B238" s="8"/>
      <c r="E238" s="8"/>
      <c r="G238" s="8"/>
    </row>
    <row r="239" spans="2:7" ht="14.25" customHeight="1" x14ac:dyDescent="0.35">
      <c r="B239" s="8"/>
      <c r="E239" s="8"/>
      <c r="G239" s="8"/>
    </row>
    <row r="240" spans="2:7" ht="14.25" customHeight="1" x14ac:dyDescent="0.35">
      <c r="B240" s="8"/>
      <c r="E240" s="8"/>
      <c r="G240" s="8"/>
    </row>
    <row r="241" spans="2:7" ht="14.25" customHeight="1" x14ac:dyDescent="0.35">
      <c r="B241" s="8"/>
      <c r="E241" s="8"/>
      <c r="G241" s="8"/>
    </row>
    <row r="242" spans="2:7" ht="14.25" customHeight="1" x14ac:dyDescent="0.35">
      <c r="B242" s="8"/>
      <c r="E242" s="8"/>
      <c r="G242" s="8"/>
    </row>
    <row r="243" spans="2:7" ht="14.25" customHeight="1" x14ac:dyDescent="0.35">
      <c r="B243" s="8"/>
      <c r="E243" s="8"/>
      <c r="G243" s="8"/>
    </row>
    <row r="244" spans="2:7" ht="14.25" customHeight="1" x14ac:dyDescent="0.35">
      <c r="B244" s="8"/>
      <c r="E244" s="8"/>
      <c r="G244" s="8"/>
    </row>
    <row r="245" spans="2:7" ht="14.25" customHeight="1" x14ac:dyDescent="0.35">
      <c r="B245" s="8"/>
      <c r="E245" s="8"/>
      <c r="G245" s="8"/>
    </row>
    <row r="246" spans="2:7" ht="14.25" customHeight="1" x14ac:dyDescent="0.35">
      <c r="B246" s="8"/>
      <c r="E246" s="8"/>
      <c r="G246" s="8"/>
    </row>
    <row r="247" spans="2:7" ht="14.25" customHeight="1" x14ac:dyDescent="0.35">
      <c r="B247" s="8"/>
      <c r="E247" s="8"/>
      <c r="G247" s="8"/>
    </row>
    <row r="248" spans="2:7" ht="14.25" customHeight="1" x14ac:dyDescent="0.35">
      <c r="B248" s="8"/>
      <c r="E248" s="8"/>
      <c r="G248" s="8"/>
    </row>
    <row r="249" spans="2:7" ht="14.25" customHeight="1" x14ac:dyDescent="0.35">
      <c r="B249" s="8"/>
      <c r="E249" s="8"/>
      <c r="G249" s="8"/>
    </row>
    <row r="250" spans="2:7" ht="14.25" customHeight="1" x14ac:dyDescent="0.35">
      <c r="B250" s="8"/>
      <c r="E250" s="8"/>
      <c r="G250" s="8"/>
    </row>
    <row r="251" spans="2:7" ht="14.25" customHeight="1" x14ac:dyDescent="0.35">
      <c r="B251" s="8"/>
      <c r="E251" s="8"/>
      <c r="G251" s="8"/>
    </row>
    <row r="252" spans="2:7" ht="14.25" customHeight="1" x14ac:dyDescent="0.35">
      <c r="B252" s="8"/>
      <c r="E252" s="8"/>
      <c r="G252" s="8"/>
    </row>
    <row r="253" spans="2:7" ht="14.25" customHeight="1" x14ac:dyDescent="0.35">
      <c r="B253" s="8"/>
      <c r="E253" s="8"/>
      <c r="G253" s="8"/>
    </row>
    <row r="254" spans="2:7" ht="14.25" customHeight="1" x14ac:dyDescent="0.35">
      <c r="B254" s="8"/>
      <c r="E254" s="8"/>
      <c r="G254" s="8"/>
    </row>
    <row r="255" spans="2:7" ht="14.25" customHeight="1" x14ac:dyDescent="0.35">
      <c r="B255" s="8"/>
      <c r="E255" s="8"/>
      <c r="G255" s="8"/>
    </row>
    <row r="256" spans="2:7" ht="14.25" customHeight="1" x14ac:dyDescent="0.35">
      <c r="B256" s="8"/>
      <c r="E256" s="8"/>
      <c r="G256" s="8"/>
    </row>
    <row r="257" spans="2:7" ht="14.25" customHeight="1" x14ac:dyDescent="0.35">
      <c r="B257" s="8"/>
      <c r="E257" s="8"/>
      <c r="G257" s="8"/>
    </row>
    <row r="258" spans="2:7" ht="14.25" customHeight="1" x14ac:dyDescent="0.35">
      <c r="B258" s="8"/>
      <c r="E258" s="8"/>
      <c r="G258" s="8"/>
    </row>
    <row r="259" spans="2:7" ht="14.25" customHeight="1" x14ac:dyDescent="0.35">
      <c r="B259" s="8"/>
      <c r="E259" s="8"/>
      <c r="G259" s="8"/>
    </row>
    <row r="260" spans="2:7" ht="14.25" customHeight="1" x14ac:dyDescent="0.35">
      <c r="B260" s="8"/>
      <c r="E260" s="8"/>
      <c r="G260" s="8"/>
    </row>
    <row r="261" spans="2:7" ht="14.25" customHeight="1" x14ac:dyDescent="0.35">
      <c r="B261" s="8"/>
      <c r="E261" s="8"/>
      <c r="G261" s="8"/>
    </row>
    <row r="262" spans="2:7" ht="14.25" customHeight="1" x14ac:dyDescent="0.35">
      <c r="B262" s="8"/>
      <c r="E262" s="8"/>
      <c r="G262" s="8"/>
    </row>
    <row r="263" spans="2:7" ht="14.25" customHeight="1" x14ac:dyDescent="0.35">
      <c r="B263" s="8"/>
      <c r="E263" s="8"/>
      <c r="G263" s="8"/>
    </row>
    <row r="264" spans="2:7" ht="14.25" customHeight="1" x14ac:dyDescent="0.35">
      <c r="B264" s="8"/>
      <c r="E264" s="8"/>
      <c r="G264" s="8"/>
    </row>
    <row r="265" spans="2:7" ht="14.25" customHeight="1" x14ac:dyDescent="0.35">
      <c r="B265" s="8"/>
      <c r="E265" s="8"/>
      <c r="G265" s="8"/>
    </row>
    <row r="266" spans="2:7" ht="14.25" customHeight="1" x14ac:dyDescent="0.35">
      <c r="B266" s="8"/>
      <c r="E266" s="8"/>
      <c r="G266" s="8"/>
    </row>
    <row r="267" spans="2:7" ht="14.25" customHeight="1" x14ac:dyDescent="0.35">
      <c r="B267" s="8"/>
      <c r="E267" s="8"/>
      <c r="G267" s="8"/>
    </row>
    <row r="268" spans="2:7" ht="14.25" customHeight="1" x14ac:dyDescent="0.35">
      <c r="B268" s="8"/>
      <c r="E268" s="8"/>
      <c r="G268" s="8"/>
    </row>
    <row r="269" spans="2:7" ht="14.25" customHeight="1" x14ac:dyDescent="0.35">
      <c r="B269" s="8"/>
      <c r="E269" s="8"/>
      <c r="G269" s="8"/>
    </row>
    <row r="270" spans="2:7" ht="14.25" customHeight="1" x14ac:dyDescent="0.35">
      <c r="B270" s="8"/>
      <c r="E270" s="8"/>
      <c r="G270" s="8"/>
    </row>
    <row r="271" spans="2:7" ht="14.25" customHeight="1" x14ac:dyDescent="0.35">
      <c r="B271" s="8"/>
      <c r="E271" s="8"/>
      <c r="G271" s="8"/>
    </row>
    <row r="272" spans="2:7" ht="14.25" customHeight="1" x14ac:dyDescent="0.35">
      <c r="B272" s="8"/>
      <c r="E272" s="8"/>
      <c r="G272" s="8"/>
    </row>
    <row r="273" spans="2:7" ht="14.25" customHeight="1" x14ac:dyDescent="0.35">
      <c r="B273" s="8"/>
      <c r="E273" s="8"/>
      <c r="G273" s="8"/>
    </row>
    <row r="274" spans="2:7" ht="14.25" customHeight="1" x14ac:dyDescent="0.35">
      <c r="B274" s="8"/>
      <c r="E274" s="8"/>
      <c r="G274" s="8"/>
    </row>
    <row r="275" spans="2:7" ht="14.25" customHeight="1" x14ac:dyDescent="0.35">
      <c r="B275" s="8"/>
      <c r="E275" s="8"/>
      <c r="G275" s="8"/>
    </row>
    <row r="276" spans="2:7" ht="14.25" customHeight="1" x14ac:dyDescent="0.35">
      <c r="B276" s="8"/>
      <c r="E276" s="8"/>
      <c r="G276" s="8"/>
    </row>
    <row r="277" spans="2:7" ht="14.25" customHeight="1" x14ac:dyDescent="0.35">
      <c r="B277" s="8"/>
      <c r="E277" s="8"/>
      <c r="G277" s="8"/>
    </row>
    <row r="278" spans="2:7" ht="14.25" customHeight="1" x14ac:dyDescent="0.35">
      <c r="B278" s="8"/>
      <c r="E278" s="8"/>
      <c r="G278" s="8"/>
    </row>
    <row r="279" spans="2:7" ht="14.25" customHeight="1" x14ac:dyDescent="0.35">
      <c r="B279" s="8"/>
      <c r="E279" s="8"/>
      <c r="G279" s="8"/>
    </row>
    <row r="280" spans="2:7" ht="14.25" customHeight="1" x14ac:dyDescent="0.35">
      <c r="B280" s="8"/>
      <c r="E280" s="8"/>
      <c r="G280" s="8"/>
    </row>
    <row r="281" spans="2:7" ht="14.25" customHeight="1" x14ac:dyDescent="0.35">
      <c r="B281" s="8"/>
      <c r="E281" s="8"/>
      <c r="G281" s="8"/>
    </row>
    <row r="282" spans="2:7" ht="14.25" customHeight="1" x14ac:dyDescent="0.35">
      <c r="B282" s="8"/>
      <c r="E282" s="8"/>
      <c r="G282" s="8"/>
    </row>
    <row r="283" spans="2:7" ht="14.25" customHeight="1" x14ac:dyDescent="0.35">
      <c r="B283" s="8"/>
      <c r="E283" s="8"/>
      <c r="G283" s="8"/>
    </row>
    <row r="284" spans="2:7" ht="14.25" customHeight="1" x14ac:dyDescent="0.35">
      <c r="B284" s="8"/>
      <c r="E284" s="8"/>
      <c r="G284" s="8"/>
    </row>
    <row r="285" spans="2:7" ht="14.25" customHeight="1" x14ac:dyDescent="0.35">
      <c r="B285" s="8"/>
      <c r="E285" s="8"/>
      <c r="G285" s="8"/>
    </row>
    <row r="286" spans="2:7" ht="14.25" customHeight="1" x14ac:dyDescent="0.35">
      <c r="B286" s="8"/>
      <c r="E286" s="8"/>
      <c r="G286" s="8"/>
    </row>
    <row r="287" spans="2:7" ht="14.25" customHeight="1" x14ac:dyDescent="0.35">
      <c r="B287" s="8"/>
      <c r="E287" s="8"/>
      <c r="G287" s="8"/>
    </row>
    <row r="288" spans="2:7" ht="14.25" customHeight="1" x14ac:dyDescent="0.35">
      <c r="B288" s="8"/>
      <c r="E288" s="8"/>
      <c r="G288" s="8"/>
    </row>
    <row r="289" spans="2:7" ht="14.25" customHeight="1" x14ac:dyDescent="0.35">
      <c r="B289" s="8"/>
      <c r="E289" s="8"/>
      <c r="G289" s="8"/>
    </row>
    <row r="290" spans="2:7" ht="14.25" customHeight="1" x14ac:dyDescent="0.35">
      <c r="B290" s="8"/>
      <c r="E290" s="8"/>
      <c r="G290" s="8"/>
    </row>
    <row r="291" spans="2:7" ht="14.25" customHeight="1" x14ac:dyDescent="0.35">
      <c r="B291" s="8"/>
      <c r="E291" s="8"/>
      <c r="G291" s="8"/>
    </row>
    <row r="292" spans="2:7" ht="14.25" customHeight="1" x14ac:dyDescent="0.35">
      <c r="B292" s="8"/>
      <c r="E292" s="8"/>
      <c r="G292" s="8"/>
    </row>
    <row r="293" spans="2:7" ht="14.25" customHeight="1" x14ac:dyDescent="0.35">
      <c r="B293" s="8"/>
      <c r="E293" s="8"/>
      <c r="G293" s="8"/>
    </row>
    <row r="294" spans="2:7" ht="14.25" customHeight="1" x14ac:dyDescent="0.35">
      <c r="B294" s="8"/>
      <c r="E294" s="8"/>
      <c r="G294" s="8"/>
    </row>
    <row r="295" spans="2:7" ht="14.25" customHeight="1" x14ac:dyDescent="0.35">
      <c r="B295" s="8"/>
      <c r="E295" s="8"/>
      <c r="G295" s="8"/>
    </row>
    <row r="296" spans="2:7" ht="14.25" customHeight="1" x14ac:dyDescent="0.35">
      <c r="B296" s="8"/>
      <c r="E296" s="8"/>
      <c r="G296" s="8"/>
    </row>
    <row r="297" spans="2:7" ht="14.25" customHeight="1" x14ac:dyDescent="0.35">
      <c r="B297" s="8"/>
      <c r="E297" s="8"/>
      <c r="G297" s="8"/>
    </row>
    <row r="298" spans="2:7" ht="14.25" customHeight="1" x14ac:dyDescent="0.35">
      <c r="B298" s="8"/>
      <c r="E298" s="8"/>
      <c r="G298" s="8"/>
    </row>
    <row r="299" spans="2:7" ht="14.25" customHeight="1" x14ac:dyDescent="0.35">
      <c r="B299" s="8"/>
      <c r="E299" s="8"/>
      <c r="G299" s="8"/>
    </row>
    <row r="300" spans="2:7" ht="14.25" customHeight="1" x14ac:dyDescent="0.35">
      <c r="B300" s="8"/>
      <c r="E300" s="8"/>
      <c r="G300" s="8"/>
    </row>
    <row r="301" spans="2:7" ht="14.25" customHeight="1" x14ac:dyDescent="0.35">
      <c r="B301" s="8"/>
      <c r="E301" s="8"/>
      <c r="G301" s="8"/>
    </row>
    <row r="302" spans="2:7" ht="14.25" customHeight="1" x14ac:dyDescent="0.35">
      <c r="B302" s="8"/>
      <c r="E302" s="8"/>
      <c r="G302" s="8"/>
    </row>
    <row r="303" spans="2:7" ht="14.25" customHeight="1" x14ac:dyDescent="0.35">
      <c r="B303" s="8"/>
      <c r="E303" s="8"/>
      <c r="G303" s="8"/>
    </row>
    <row r="304" spans="2:7" ht="14.25" customHeight="1" x14ac:dyDescent="0.35">
      <c r="B304" s="8"/>
      <c r="E304" s="8"/>
      <c r="G304" s="8"/>
    </row>
    <row r="305" spans="2:7" ht="14.25" customHeight="1" x14ac:dyDescent="0.35">
      <c r="B305" s="8"/>
      <c r="E305" s="8"/>
      <c r="G305" s="8"/>
    </row>
    <row r="306" spans="2:7" ht="14.25" customHeight="1" x14ac:dyDescent="0.35">
      <c r="B306" s="8"/>
      <c r="E306" s="8"/>
      <c r="G306" s="8"/>
    </row>
    <row r="307" spans="2:7" ht="14.25" customHeight="1" x14ac:dyDescent="0.35">
      <c r="B307" s="8"/>
      <c r="E307" s="8"/>
      <c r="G307" s="8"/>
    </row>
    <row r="308" spans="2:7" ht="14.25" customHeight="1" x14ac:dyDescent="0.35">
      <c r="B308" s="8"/>
      <c r="E308" s="8"/>
      <c r="G308" s="8"/>
    </row>
    <row r="309" spans="2:7" ht="14.25" customHeight="1" x14ac:dyDescent="0.35">
      <c r="B309" s="8"/>
      <c r="E309" s="8"/>
      <c r="G309" s="8"/>
    </row>
    <row r="310" spans="2:7" ht="14.25" customHeight="1" x14ac:dyDescent="0.35">
      <c r="B310" s="8"/>
      <c r="E310" s="8"/>
      <c r="G310" s="8"/>
    </row>
    <row r="311" spans="2:7" ht="14.25" customHeight="1" x14ac:dyDescent="0.35">
      <c r="B311" s="8"/>
      <c r="E311" s="8"/>
      <c r="G311" s="8"/>
    </row>
    <row r="312" spans="2:7" ht="14.25" customHeight="1" x14ac:dyDescent="0.35">
      <c r="B312" s="8"/>
      <c r="E312" s="8"/>
      <c r="G312" s="8"/>
    </row>
    <row r="313" spans="2:7" ht="14.25" customHeight="1" x14ac:dyDescent="0.35">
      <c r="B313" s="8"/>
      <c r="E313" s="8"/>
      <c r="G313" s="8"/>
    </row>
    <row r="314" spans="2:7" ht="14.25" customHeight="1" x14ac:dyDescent="0.35">
      <c r="B314" s="8"/>
      <c r="E314" s="8"/>
      <c r="G314" s="8"/>
    </row>
    <row r="315" spans="2:7" ht="14.25" customHeight="1" x14ac:dyDescent="0.35">
      <c r="B315" s="8"/>
      <c r="E315" s="8"/>
      <c r="G315" s="8"/>
    </row>
    <row r="316" spans="2:7" ht="14.25" customHeight="1" x14ac:dyDescent="0.35">
      <c r="B316" s="8"/>
      <c r="E316" s="8"/>
      <c r="G316" s="8"/>
    </row>
    <row r="317" spans="2:7" ht="14.25" customHeight="1" x14ac:dyDescent="0.35">
      <c r="B317" s="8"/>
      <c r="E317" s="8"/>
      <c r="G317" s="8"/>
    </row>
    <row r="318" spans="2:7" ht="14.25" customHeight="1" x14ac:dyDescent="0.35">
      <c r="B318" s="8"/>
      <c r="E318" s="8"/>
      <c r="G318" s="8"/>
    </row>
    <row r="319" spans="2:7" ht="14.25" customHeight="1" x14ac:dyDescent="0.35">
      <c r="B319" s="8"/>
      <c r="E319" s="8"/>
      <c r="G319" s="8"/>
    </row>
    <row r="320" spans="2:7" ht="14.25" customHeight="1" x14ac:dyDescent="0.35">
      <c r="B320" s="8"/>
      <c r="E320" s="8"/>
      <c r="G320" s="8"/>
    </row>
    <row r="321" spans="2:7" ht="14.25" customHeight="1" x14ac:dyDescent="0.35">
      <c r="B321" s="8"/>
      <c r="E321" s="8"/>
      <c r="G321" s="8"/>
    </row>
    <row r="322" spans="2:7" ht="14.25" customHeight="1" x14ac:dyDescent="0.35">
      <c r="B322" s="8"/>
      <c r="E322" s="8"/>
      <c r="G322" s="8"/>
    </row>
    <row r="323" spans="2:7" ht="14.25" customHeight="1" x14ac:dyDescent="0.35">
      <c r="B323" s="8"/>
      <c r="E323" s="8"/>
      <c r="G323" s="8"/>
    </row>
    <row r="324" spans="2:7" ht="14.25" customHeight="1" x14ac:dyDescent="0.35">
      <c r="B324" s="8"/>
      <c r="E324" s="8"/>
      <c r="G324" s="8"/>
    </row>
    <row r="325" spans="2:7" ht="14.25" customHeight="1" x14ac:dyDescent="0.35">
      <c r="B325" s="8"/>
      <c r="E325" s="8"/>
      <c r="G325" s="8"/>
    </row>
    <row r="326" spans="2:7" ht="14.25" customHeight="1" x14ac:dyDescent="0.35">
      <c r="B326" s="8"/>
      <c r="E326" s="8"/>
      <c r="G326" s="8"/>
    </row>
    <row r="327" spans="2:7" ht="14.25" customHeight="1" x14ac:dyDescent="0.35">
      <c r="B327" s="8"/>
      <c r="E327" s="8"/>
      <c r="G327" s="8"/>
    </row>
    <row r="328" spans="2:7" ht="14.25" customHeight="1" x14ac:dyDescent="0.35">
      <c r="B328" s="8"/>
      <c r="E328" s="8"/>
      <c r="G328" s="8"/>
    </row>
    <row r="329" spans="2:7" ht="14.25" customHeight="1" x14ac:dyDescent="0.35">
      <c r="B329" s="8"/>
      <c r="E329" s="8"/>
      <c r="G329" s="8"/>
    </row>
    <row r="330" spans="2:7" ht="14.25" customHeight="1" x14ac:dyDescent="0.35">
      <c r="B330" s="8"/>
      <c r="E330" s="8"/>
      <c r="G330" s="8"/>
    </row>
    <row r="331" spans="2:7" ht="14.25" customHeight="1" x14ac:dyDescent="0.35">
      <c r="B331" s="8"/>
      <c r="E331" s="8"/>
      <c r="G331" s="8"/>
    </row>
    <row r="332" spans="2:7" ht="14.25" customHeight="1" x14ac:dyDescent="0.35">
      <c r="B332" s="8"/>
      <c r="E332" s="8"/>
      <c r="G332" s="8"/>
    </row>
    <row r="333" spans="2:7" ht="14.25" customHeight="1" x14ac:dyDescent="0.35">
      <c r="B333" s="8"/>
      <c r="E333" s="8"/>
      <c r="G333" s="8"/>
    </row>
    <row r="334" spans="2:7" ht="14.25" customHeight="1" x14ac:dyDescent="0.35">
      <c r="B334" s="8"/>
      <c r="E334" s="8"/>
      <c r="G334" s="8"/>
    </row>
    <row r="335" spans="2:7" ht="14.25" customHeight="1" x14ac:dyDescent="0.35">
      <c r="B335" s="8"/>
      <c r="E335" s="8"/>
      <c r="G335" s="8"/>
    </row>
    <row r="336" spans="2:7" ht="14.25" customHeight="1" x14ac:dyDescent="0.35">
      <c r="B336" s="8"/>
      <c r="E336" s="8"/>
      <c r="G336" s="8"/>
    </row>
    <row r="337" spans="2:7" ht="14.25" customHeight="1" x14ac:dyDescent="0.35">
      <c r="B337" s="8"/>
      <c r="E337" s="8"/>
      <c r="G337" s="8"/>
    </row>
    <row r="338" spans="2:7" ht="14.25" customHeight="1" x14ac:dyDescent="0.35">
      <c r="B338" s="8"/>
      <c r="E338" s="8"/>
      <c r="G338" s="8"/>
    </row>
    <row r="339" spans="2:7" ht="14.25" customHeight="1" x14ac:dyDescent="0.35">
      <c r="B339" s="8"/>
      <c r="E339" s="8"/>
      <c r="G339" s="8"/>
    </row>
    <row r="340" spans="2:7" ht="14.25" customHeight="1" x14ac:dyDescent="0.35">
      <c r="B340" s="8"/>
      <c r="E340" s="8"/>
      <c r="G340" s="8"/>
    </row>
    <row r="341" spans="2:7" ht="14.25" customHeight="1" x14ac:dyDescent="0.35">
      <c r="B341" s="8"/>
      <c r="E341" s="8"/>
      <c r="G341" s="8"/>
    </row>
    <row r="342" spans="2:7" ht="14.25" customHeight="1" x14ac:dyDescent="0.35">
      <c r="B342" s="8"/>
      <c r="E342" s="8"/>
      <c r="G342" s="8"/>
    </row>
    <row r="343" spans="2:7" ht="14.25" customHeight="1" x14ac:dyDescent="0.35">
      <c r="B343" s="8"/>
      <c r="E343" s="8"/>
      <c r="G343" s="8"/>
    </row>
    <row r="344" spans="2:7" ht="14.25" customHeight="1" x14ac:dyDescent="0.35">
      <c r="B344" s="8"/>
      <c r="E344" s="8"/>
      <c r="G344" s="8"/>
    </row>
    <row r="345" spans="2:7" ht="14.25" customHeight="1" x14ac:dyDescent="0.35">
      <c r="B345" s="8"/>
      <c r="E345" s="8"/>
      <c r="G345" s="8"/>
    </row>
    <row r="346" spans="2:7" ht="14.25" customHeight="1" x14ac:dyDescent="0.35">
      <c r="B346" s="8"/>
      <c r="E346" s="8"/>
      <c r="G346" s="8"/>
    </row>
    <row r="347" spans="2:7" ht="14.25" customHeight="1" x14ac:dyDescent="0.35">
      <c r="B347" s="8"/>
      <c r="E347" s="8"/>
      <c r="G347" s="8"/>
    </row>
    <row r="348" spans="2:7" ht="14.25" customHeight="1" x14ac:dyDescent="0.35">
      <c r="B348" s="8"/>
      <c r="E348" s="8"/>
      <c r="G348" s="8"/>
    </row>
    <row r="349" spans="2:7" ht="14.25" customHeight="1" x14ac:dyDescent="0.35">
      <c r="B349" s="8"/>
      <c r="E349" s="8"/>
      <c r="G349" s="8"/>
    </row>
    <row r="350" spans="2:7" ht="14.25" customHeight="1" x14ac:dyDescent="0.35">
      <c r="B350" s="8"/>
      <c r="E350" s="8"/>
      <c r="G350" s="8"/>
    </row>
    <row r="351" spans="2:7" ht="14.25" customHeight="1" x14ac:dyDescent="0.35">
      <c r="B351" s="8"/>
      <c r="E351" s="8"/>
      <c r="G351" s="8"/>
    </row>
    <row r="352" spans="2:7" ht="14.25" customHeight="1" x14ac:dyDescent="0.35">
      <c r="B352" s="8"/>
      <c r="E352" s="8"/>
      <c r="G352" s="8"/>
    </row>
    <row r="353" spans="2:7" ht="14.25" customHeight="1" x14ac:dyDescent="0.35">
      <c r="B353" s="8"/>
      <c r="E353" s="8"/>
      <c r="G353" s="8"/>
    </row>
    <row r="354" spans="2:7" ht="14.25" customHeight="1" x14ac:dyDescent="0.35">
      <c r="B354" s="8"/>
      <c r="E354" s="8"/>
      <c r="G354" s="8"/>
    </row>
    <row r="355" spans="2:7" ht="14.25" customHeight="1" x14ac:dyDescent="0.35">
      <c r="B355" s="8"/>
      <c r="E355" s="8"/>
      <c r="G355" s="8"/>
    </row>
    <row r="356" spans="2:7" ht="14.25" customHeight="1" x14ac:dyDescent="0.35">
      <c r="B356" s="8"/>
      <c r="E356" s="8"/>
      <c r="G356" s="8"/>
    </row>
    <row r="357" spans="2:7" ht="14.25" customHeight="1" x14ac:dyDescent="0.35">
      <c r="B357" s="8"/>
      <c r="E357" s="8"/>
      <c r="G357" s="8"/>
    </row>
    <row r="358" spans="2:7" ht="14.25" customHeight="1" x14ac:dyDescent="0.35">
      <c r="B358" s="8"/>
      <c r="E358" s="8"/>
      <c r="G358" s="8"/>
    </row>
    <row r="359" spans="2:7" ht="14.25" customHeight="1" x14ac:dyDescent="0.35">
      <c r="B359" s="8"/>
      <c r="E359" s="8"/>
      <c r="G359" s="8"/>
    </row>
    <row r="360" spans="2:7" ht="14.25" customHeight="1" x14ac:dyDescent="0.35">
      <c r="B360" s="8"/>
      <c r="E360" s="8"/>
      <c r="G360" s="8"/>
    </row>
    <row r="361" spans="2:7" ht="14.25" customHeight="1" x14ac:dyDescent="0.35">
      <c r="B361" s="8"/>
      <c r="E361" s="8"/>
      <c r="G361" s="8"/>
    </row>
    <row r="362" spans="2:7" ht="14.25" customHeight="1" x14ac:dyDescent="0.35">
      <c r="B362" s="8"/>
      <c r="E362" s="8"/>
      <c r="G362" s="8"/>
    </row>
    <row r="363" spans="2:7" ht="14.25" customHeight="1" x14ac:dyDescent="0.35">
      <c r="B363" s="8"/>
      <c r="E363" s="8"/>
      <c r="G363" s="8"/>
    </row>
    <row r="364" spans="2:7" ht="14.25" customHeight="1" x14ac:dyDescent="0.35">
      <c r="B364" s="8"/>
      <c r="E364" s="8"/>
      <c r="G364" s="8"/>
    </row>
    <row r="365" spans="2:7" ht="14.25" customHeight="1" x14ac:dyDescent="0.35">
      <c r="B365" s="8"/>
      <c r="E365" s="8"/>
      <c r="G365" s="8"/>
    </row>
    <row r="366" spans="2:7" ht="14.25" customHeight="1" x14ac:dyDescent="0.35">
      <c r="B366" s="8"/>
      <c r="E366" s="8"/>
      <c r="G366" s="8"/>
    </row>
    <row r="367" spans="2:7" ht="14.25" customHeight="1" x14ac:dyDescent="0.35">
      <c r="B367" s="8"/>
      <c r="E367" s="8"/>
      <c r="G367" s="8"/>
    </row>
    <row r="368" spans="2:7" ht="14.25" customHeight="1" x14ac:dyDescent="0.35">
      <c r="B368" s="8"/>
      <c r="E368" s="8"/>
      <c r="G368" s="8"/>
    </row>
    <row r="369" spans="2:7" ht="14.25" customHeight="1" x14ac:dyDescent="0.35">
      <c r="B369" s="8"/>
      <c r="E369" s="8"/>
      <c r="G369" s="8"/>
    </row>
    <row r="370" spans="2:7" ht="14.25" customHeight="1" x14ac:dyDescent="0.35">
      <c r="B370" s="8"/>
      <c r="E370" s="8"/>
      <c r="G370" s="8"/>
    </row>
    <row r="371" spans="2:7" ht="14.25" customHeight="1" x14ac:dyDescent="0.35">
      <c r="B371" s="8"/>
      <c r="E371" s="8"/>
      <c r="G371" s="8"/>
    </row>
    <row r="372" spans="2:7" ht="14.25" customHeight="1" x14ac:dyDescent="0.35">
      <c r="B372" s="8"/>
      <c r="E372" s="8"/>
      <c r="G372" s="8"/>
    </row>
    <row r="373" spans="2:7" ht="14.25" customHeight="1" x14ac:dyDescent="0.35">
      <c r="B373" s="8"/>
      <c r="E373" s="8"/>
      <c r="G373" s="8"/>
    </row>
    <row r="374" spans="2:7" ht="14.25" customHeight="1" x14ac:dyDescent="0.35">
      <c r="B374" s="8"/>
      <c r="E374" s="8"/>
      <c r="G374" s="8"/>
    </row>
    <row r="375" spans="2:7" ht="14.25" customHeight="1" x14ac:dyDescent="0.35">
      <c r="B375" s="8"/>
      <c r="E375" s="8"/>
      <c r="G375" s="8"/>
    </row>
    <row r="376" spans="2:7" ht="14.25" customHeight="1" x14ac:dyDescent="0.35">
      <c r="B376" s="8"/>
      <c r="E376" s="8"/>
      <c r="G376" s="8"/>
    </row>
    <row r="377" spans="2:7" ht="14.25" customHeight="1" x14ac:dyDescent="0.35">
      <c r="B377" s="8"/>
      <c r="E377" s="8"/>
      <c r="G377" s="8"/>
    </row>
    <row r="378" spans="2:7" ht="14.25" customHeight="1" x14ac:dyDescent="0.35">
      <c r="B378" s="8"/>
      <c r="E378" s="8"/>
      <c r="G378" s="8"/>
    </row>
    <row r="379" spans="2:7" ht="14.25" customHeight="1" x14ac:dyDescent="0.35">
      <c r="B379" s="8"/>
      <c r="E379" s="8"/>
      <c r="G379" s="8"/>
    </row>
    <row r="380" spans="2:7" ht="14.25" customHeight="1" x14ac:dyDescent="0.35">
      <c r="B380" s="8"/>
      <c r="E380" s="8"/>
      <c r="G380" s="8"/>
    </row>
    <row r="381" spans="2:7" ht="14.25" customHeight="1" x14ac:dyDescent="0.35">
      <c r="B381" s="8"/>
      <c r="E381" s="8"/>
      <c r="G381" s="8"/>
    </row>
    <row r="382" spans="2:7" ht="14.25" customHeight="1" x14ac:dyDescent="0.35">
      <c r="B382" s="8"/>
      <c r="E382" s="8"/>
      <c r="G382" s="8"/>
    </row>
    <row r="383" spans="2:7" ht="14.25" customHeight="1" x14ac:dyDescent="0.35">
      <c r="B383" s="8"/>
      <c r="E383" s="8"/>
      <c r="G383" s="8"/>
    </row>
    <row r="384" spans="2:7" ht="14.25" customHeight="1" x14ac:dyDescent="0.35">
      <c r="B384" s="8"/>
      <c r="E384" s="8"/>
      <c r="G384" s="8"/>
    </row>
    <row r="385" spans="2:7" ht="14.25" customHeight="1" x14ac:dyDescent="0.35">
      <c r="B385" s="8"/>
      <c r="E385" s="8"/>
      <c r="G385" s="8"/>
    </row>
    <row r="386" spans="2:7" ht="14.25" customHeight="1" x14ac:dyDescent="0.35">
      <c r="B386" s="8"/>
      <c r="E386" s="8"/>
      <c r="G386" s="8"/>
    </row>
    <row r="387" spans="2:7" ht="14.25" customHeight="1" x14ac:dyDescent="0.35">
      <c r="B387" s="8"/>
      <c r="E387" s="8"/>
      <c r="G387" s="8"/>
    </row>
    <row r="388" spans="2:7" ht="14.25" customHeight="1" x14ac:dyDescent="0.35">
      <c r="B388" s="8"/>
      <c r="E388" s="8"/>
      <c r="G388" s="8"/>
    </row>
    <row r="389" spans="2:7" ht="14.25" customHeight="1" x14ac:dyDescent="0.35">
      <c r="B389" s="8"/>
      <c r="E389" s="8"/>
      <c r="G389" s="8"/>
    </row>
    <row r="390" spans="2:7" ht="14.25" customHeight="1" x14ac:dyDescent="0.35">
      <c r="B390" s="8"/>
      <c r="E390" s="8"/>
      <c r="G390" s="8"/>
    </row>
    <row r="391" spans="2:7" ht="14.25" customHeight="1" x14ac:dyDescent="0.35">
      <c r="B391" s="8"/>
      <c r="E391" s="8"/>
      <c r="G391" s="8"/>
    </row>
    <row r="392" spans="2:7" ht="14.25" customHeight="1" x14ac:dyDescent="0.35">
      <c r="B392" s="8"/>
      <c r="E392" s="8"/>
      <c r="G392" s="8"/>
    </row>
    <row r="393" spans="2:7" ht="14.25" customHeight="1" x14ac:dyDescent="0.35">
      <c r="B393" s="8"/>
      <c r="E393" s="8"/>
      <c r="G393" s="8"/>
    </row>
    <row r="394" spans="2:7" ht="14.25" customHeight="1" x14ac:dyDescent="0.35">
      <c r="B394" s="8"/>
      <c r="E394" s="8"/>
      <c r="G394" s="8"/>
    </row>
    <row r="395" spans="2:7" ht="14.25" customHeight="1" x14ac:dyDescent="0.35">
      <c r="B395" s="8"/>
      <c r="E395" s="8"/>
      <c r="G395" s="8"/>
    </row>
    <row r="396" spans="2:7" ht="14.25" customHeight="1" x14ac:dyDescent="0.35">
      <c r="B396" s="8"/>
      <c r="E396" s="8"/>
      <c r="G396" s="8"/>
    </row>
    <row r="397" spans="2:7" ht="14.25" customHeight="1" x14ac:dyDescent="0.35">
      <c r="B397" s="8"/>
      <c r="E397" s="8"/>
      <c r="G397" s="8"/>
    </row>
    <row r="398" spans="2:7" ht="14.25" customHeight="1" x14ac:dyDescent="0.35">
      <c r="B398" s="8"/>
      <c r="E398" s="8"/>
      <c r="G398" s="8"/>
    </row>
    <row r="399" spans="2:7" ht="14.25" customHeight="1" x14ac:dyDescent="0.35">
      <c r="B399" s="8"/>
      <c r="E399" s="8"/>
      <c r="G399" s="8"/>
    </row>
    <row r="400" spans="2:7" ht="14.25" customHeight="1" x14ac:dyDescent="0.35">
      <c r="B400" s="8"/>
      <c r="E400" s="8"/>
      <c r="G400" s="8"/>
    </row>
    <row r="401" spans="2:7" ht="14.25" customHeight="1" x14ac:dyDescent="0.35">
      <c r="B401" s="8"/>
      <c r="E401" s="8"/>
      <c r="G401" s="8"/>
    </row>
    <row r="402" spans="2:7" ht="14.25" customHeight="1" x14ac:dyDescent="0.35">
      <c r="B402" s="8"/>
      <c r="E402" s="8"/>
      <c r="G402" s="8"/>
    </row>
    <row r="403" spans="2:7" ht="14.25" customHeight="1" x14ac:dyDescent="0.35">
      <c r="B403" s="8"/>
      <c r="E403" s="8"/>
      <c r="G403" s="8"/>
    </row>
    <row r="404" spans="2:7" ht="14.25" customHeight="1" x14ac:dyDescent="0.35">
      <c r="B404" s="8"/>
      <c r="E404" s="8"/>
      <c r="G404" s="8"/>
    </row>
    <row r="405" spans="2:7" ht="14.25" customHeight="1" x14ac:dyDescent="0.35">
      <c r="B405" s="8"/>
      <c r="E405" s="8"/>
      <c r="G405" s="8"/>
    </row>
    <row r="406" spans="2:7" ht="14.25" customHeight="1" x14ac:dyDescent="0.35">
      <c r="B406" s="8"/>
      <c r="E406" s="8"/>
      <c r="G406" s="8"/>
    </row>
    <row r="407" spans="2:7" ht="14.25" customHeight="1" x14ac:dyDescent="0.35">
      <c r="B407" s="8"/>
      <c r="E407" s="8"/>
      <c r="G407" s="8"/>
    </row>
    <row r="408" spans="2:7" ht="14.25" customHeight="1" x14ac:dyDescent="0.35">
      <c r="B408" s="8"/>
      <c r="E408" s="8"/>
      <c r="G408" s="8"/>
    </row>
    <row r="409" spans="2:7" ht="14.25" customHeight="1" x14ac:dyDescent="0.35">
      <c r="B409" s="8"/>
      <c r="E409" s="8"/>
      <c r="G409" s="8"/>
    </row>
    <row r="410" spans="2:7" ht="14.25" customHeight="1" x14ac:dyDescent="0.35">
      <c r="B410" s="8"/>
      <c r="E410" s="8"/>
      <c r="G410" s="8"/>
    </row>
    <row r="411" spans="2:7" ht="14.25" customHeight="1" x14ac:dyDescent="0.35">
      <c r="B411" s="8"/>
      <c r="E411" s="8"/>
      <c r="G411" s="8"/>
    </row>
    <row r="412" spans="2:7" ht="14.25" customHeight="1" x14ac:dyDescent="0.35">
      <c r="B412" s="8"/>
      <c r="E412" s="8"/>
      <c r="G412" s="8"/>
    </row>
    <row r="413" spans="2:7" ht="14.25" customHeight="1" x14ac:dyDescent="0.35">
      <c r="B413" s="8"/>
      <c r="E413" s="8"/>
      <c r="G413" s="8"/>
    </row>
    <row r="414" spans="2:7" ht="14.25" customHeight="1" x14ac:dyDescent="0.35">
      <c r="B414" s="8"/>
      <c r="E414" s="8"/>
      <c r="G414" s="8"/>
    </row>
    <row r="415" spans="2:7" ht="14.25" customHeight="1" x14ac:dyDescent="0.35">
      <c r="B415" s="8"/>
      <c r="E415" s="8"/>
      <c r="G415" s="8"/>
    </row>
    <row r="416" spans="2:7" ht="14.25" customHeight="1" x14ac:dyDescent="0.35">
      <c r="B416" s="8"/>
      <c r="E416" s="8"/>
      <c r="G416" s="8"/>
    </row>
    <row r="417" spans="2:7" ht="14.25" customHeight="1" x14ac:dyDescent="0.35">
      <c r="B417" s="8"/>
      <c r="E417" s="8"/>
      <c r="G417" s="8"/>
    </row>
    <row r="418" spans="2:7" ht="14.25" customHeight="1" x14ac:dyDescent="0.35">
      <c r="B418" s="8"/>
      <c r="E418" s="8"/>
      <c r="G418" s="8"/>
    </row>
    <row r="419" spans="2:7" ht="14.25" customHeight="1" x14ac:dyDescent="0.35">
      <c r="B419" s="8"/>
      <c r="E419" s="8"/>
      <c r="G419" s="8"/>
    </row>
    <row r="420" spans="2:7" ht="14.25" customHeight="1" x14ac:dyDescent="0.35">
      <c r="B420" s="8"/>
      <c r="E420" s="8"/>
      <c r="G420" s="8"/>
    </row>
    <row r="421" spans="2:7" ht="14.25" customHeight="1" x14ac:dyDescent="0.35">
      <c r="B421" s="8"/>
      <c r="E421" s="8"/>
      <c r="G421" s="8"/>
    </row>
    <row r="422" spans="2:7" ht="14.25" customHeight="1" x14ac:dyDescent="0.35">
      <c r="B422" s="8"/>
      <c r="E422" s="8"/>
      <c r="G422" s="8"/>
    </row>
    <row r="423" spans="2:7" ht="14.25" customHeight="1" x14ac:dyDescent="0.35">
      <c r="B423" s="8"/>
      <c r="E423" s="8"/>
      <c r="G423" s="8"/>
    </row>
    <row r="424" spans="2:7" ht="14.25" customHeight="1" x14ac:dyDescent="0.35">
      <c r="B424" s="8"/>
      <c r="E424" s="8"/>
      <c r="G424" s="8"/>
    </row>
    <row r="425" spans="2:7" ht="14.25" customHeight="1" x14ac:dyDescent="0.35">
      <c r="B425" s="8"/>
      <c r="E425" s="8"/>
      <c r="G425" s="8"/>
    </row>
    <row r="426" spans="2:7" ht="14.25" customHeight="1" x14ac:dyDescent="0.35">
      <c r="B426" s="8"/>
      <c r="E426" s="8"/>
      <c r="G426" s="8"/>
    </row>
    <row r="427" spans="2:7" ht="14.25" customHeight="1" x14ac:dyDescent="0.35">
      <c r="B427" s="8"/>
      <c r="E427" s="8"/>
      <c r="G427" s="8"/>
    </row>
    <row r="428" spans="2:7" ht="14.25" customHeight="1" x14ac:dyDescent="0.35">
      <c r="B428" s="8"/>
      <c r="E428" s="8"/>
      <c r="G428" s="8"/>
    </row>
    <row r="429" spans="2:7" ht="14.25" customHeight="1" x14ac:dyDescent="0.35">
      <c r="B429" s="8"/>
      <c r="E429" s="8"/>
      <c r="G429" s="8"/>
    </row>
    <row r="430" spans="2:7" ht="14.25" customHeight="1" x14ac:dyDescent="0.35">
      <c r="B430" s="8"/>
      <c r="E430" s="8"/>
      <c r="G430" s="8"/>
    </row>
    <row r="431" spans="2:7" ht="14.25" customHeight="1" x14ac:dyDescent="0.35">
      <c r="B431" s="8"/>
      <c r="E431" s="8"/>
      <c r="G431" s="8"/>
    </row>
    <row r="432" spans="2:7" ht="14.25" customHeight="1" x14ac:dyDescent="0.35">
      <c r="B432" s="8"/>
      <c r="E432" s="8"/>
      <c r="G432" s="8"/>
    </row>
    <row r="433" spans="2:7" ht="14.25" customHeight="1" x14ac:dyDescent="0.35">
      <c r="B433" s="8"/>
      <c r="E433" s="8"/>
      <c r="G433" s="8"/>
    </row>
    <row r="434" spans="2:7" ht="14.25" customHeight="1" x14ac:dyDescent="0.35">
      <c r="B434" s="8"/>
      <c r="E434" s="8"/>
      <c r="G434" s="8"/>
    </row>
    <row r="435" spans="2:7" ht="14.25" customHeight="1" x14ac:dyDescent="0.35">
      <c r="B435" s="8"/>
      <c r="E435" s="8"/>
      <c r="G435" s="8"/>
    </row>
    <row r="436" spans="2:7" ht="14.25" customHeight="1" x14ac:dyDescent="0.35">
      <c r="B436" s="8"/>
      <c r="E436" s="8"/>
      <c r="G436" s="8"/>
    </row>
    <row r="437" spans="2:7" ht="14.25" customHeight="1" x14ac:dyDescent="0.35">
      <c r="B437" s="8"/>
      <c r="E437" s="8"/>
      <c r="G437" s="8"/>
    </row>
    <row r="438" spans="2:7" ht="14.25" customHeight="1" x14ac:dyDescent="0.35">
      <c r="B438" s="8"/>
      <c r="E438" s="8"/>
      <c r="G438" s="8"/>
    </row>
    <row r="439" spans="2:7" ht="14.25" customHeight="1" x14ac:dyDescent="0.35">
      <c r="B439" s="8"/>
      <c r="E439" s="8"/>
      <c r="G439" s="8"/>
    </row>
    <row r="440" spans="2:7" ht="14.25" customHeight="1" x14ac:dyDescent="0.35">
      <c r="B440" s="8"/>
      <c r="E440" s="8"/>
      <c r="G440" s="8"/>
    </row>
    <row r="441" spans="2:7" ht="14.25" customHeight="1" x14ac:dyDescent="0.35">
      <c r="B441" s="8"/>
      <c r="E441" s="8"/>
      <c r="G441" s="8"/>
    </row>
    <row r="442" spans="2:7" ht="14.25" customHeight="1" x14ac:dyDescent="0.35">
      <c r="B442" s="8"/>
      <c r="E442" s="8"/>
      <c r="G442" s="8"/>
    </row>
    <row r="443" spans="2:7" ht="14.25" customHeight="1" x14ac:dyDescent="0.35">
      <c r="B443" s="8"/>
      <c r="E443" s="8"/>
      <c r="G443" s="8"/>
    </row>
    <row r="444" spans="2:7" ht="14.25" customHeight="1" x14ac:dyDescent="0.35">
      <c r="B444" s="8"/>
      <c r="E444" s="8"/>
      <c r="G444" s="8"/>
    </row>
    <row r="445" spans="2:7" ht="14.25" customHeight="1" x14ac:dyDescent="0.35">
      <c r="B445" s="8"/>
      <c r="E445" s="8"/>
      <c r="G445" s="8"/>
    </row>
    <row r="446" spans="2:7" ht="14.25" customHeight="1" x14ac:dyDescent="0.35">
      <c r="B446" s="8"/>
      <c r="E446" s="8"/>
      <c r="G446" s="8"/>
    </row>
    <row r="447" spans="2:7" ht="14.25" customHeight="1" x14ac:dyDescent="0.35">
      <c r="B447" s="8"/>
      <c r="E447" s="8"/>
      <c r="G447" s="8"/>
    </row>
    <row r="448" spans="2:7" ht="14.25" customHeight="1" x14ac:dyDescent="0.35">
      <c r="B448" s="8"/>
      <c r="E448" s="8"/>
      <c r="G448" s="8"/>
    </row>
    <row r="449" spans="2:7" ht="14.25" customHeight="1" x14ac:dyDescent="0.35">
      <c r="B449" s="8"/>
      <c r="E449" s="8"/>
      <c r="G449" s="8"/>
    </row>
    <row r="450" spans="2:7" ht="14.25" customHeight="1" x14ac:dyDescent="0.35">
      <c r="B450" s="8"/>
      <c r="E450" s="8"/>
      <c r="G450" s="8"/>
    </row>
    <row r="451" spans="2:7" ht="14.25" customHeight="1" x14ac:dyDescent="0.35">
      <c r="B451" s="8"/>
      <c r="E451" s="8"/>
      <c r="G451" s="8"/>
    </row>
    <row r="452" spans="2:7" ht="14.25" customHeight="1" x14ac:dyDescent="0.35">
      <c r="B452" s="8"/>
      <c r="E452" s="8"/>
      <c r="G452" s="8"/>
    </row>
    <row r="453" spans="2:7" ht="14.25" customHeight="1" x14ac:dyDescent="0.35">
      <c r="B453" s="8"/>
      <c r="E453" s="8"/>
      <c r="G453" s="8"/>
    </row>
    <row r="454" spans="2:7" ht="14.25" customHeight="1" x14ac:dyDescent="0.35">
      <c r="B454" s="8"/>
      <c r="E454" s="8"/>
      <c r="G454" s="8"/>
    </row>
    <row r="455" spans="2:7" ht="14.25" customHeight="1" x14ac:dyDescent="0.35">
      <c r="B455" s="8"/>
      <c r="E455" s="8"/>
      <c r="G455" s="8"/>
    </row>
    <row r="456" spans="2:7" ht="14.25" customHeight="1" x14ac:dyDescent="0.35">
      <c r="B456" s="8"/>
      <c r="E456" s="8"/>
      <c r="G456" s="8"/>
    </row>
    <row r="457" spans="2:7" ht="14.25" customHeight="1" x14ac:dyDescent="0.35">
      <c r="B457" s="8"/>
      <c r="E457" s="8"/>
      <c r="G457" s="8"/>
    </row>
    <row r="458" spans="2:7" ht="14.25" customHeight="1" x14ac:dyDescent="0.35">
      <c r="B458" s="8"/>
      <c r="E458" s="8"/>
      <c r="G458" s="8"/>
    </row>
    <row r="459" spans="2:7" ht="14.25" customHeight="1" x14ac:dyDescent="0.35">
      <c r="B459" s="8"/>
      <c r="E459" s="8"/>
      <c r="G459" s="8"/>
    </row>
    <row r="460" spans="2:7" ht="14.25" customHeight="1" x14ac:dyDescent="0.35">
      <c r="B460" s="8"/>
      <c r="E460" s="8"/>
      <c r="G460" s="8"/>
    </row>
    <row r="461" spans="2:7" ht="14.25" customHeight="1" x14ac:dyDescent="0.35">
      <c r="B461" s="8"/>
      <c r="E461" s="8"/>
      <c r="G461" s="8"/>
    </row>
    <row r="462" spans="2:7" ht="14.25" customHeight="1" x14ac:dyDescent="0.35">
      <c r="B462" s="8"/>
      <c r="E462" s="8"/>
      <c r="G462" s="8"/>
    </row>
    <row r="463" spans="2:7" ht="14.25" customHeight="1" x14ac:dyDescent="0.35">
      <c r="B463" s="8"/>
      <c r="E463" s="8"/>
      <c r="G463" s="8"/>
    </row>
    <row r="464" spans="2:7" ht="14.25" customHeight="1" x14ac:dyDescent="0.35">
      <c r="B464" s="8"/>
      <c r="E464" s="8"/>
      <c r="G464" s="8"/>
    </row>
    <row r="465" spans="2:7" ht="14.25" customHeight="1" x14ac:dyDescent="0.35">
      <c r="B465" s="8"/>
      <c r="E465" s="8"/>
      <c r="G465" s="8"/>
    </row>
    <row r="466" spans="2:7" ht="14.25" customHeight="1" x14ac:dyDescent="0.35">
      <c r="B466" s="8"/>
      <c r="E466" s="8"/>
      <c r="G466" s="8"/>
    </row>
    <row r="467" spans="2:7" ht="14.25" customHeight="1" x14ac:dyDescent="0.35">
      <c r="B467" s="8"/>
      <c r="E467" s="8"/>
      <c r="G467" s="8"/>
    </row>
    <row r="468" spans="2:7" ht="14.25" customHeight="1" x14ac:dyDescent="0.35">
      <c r="B468" s="8"/>
      <c r="E468" s="8"/>
      <c r="G468" s="8"/>
    </row>
    <row r="469" spans="2:7" ht="14.25" customHeight="1" x14ac:dyDescent="0.35">
      <c r="B469" s="8"/>
      <c r="E469" s="8"/>
      <c r="G469" s="8"/>
    </row>
    <row r="470" spans="2:7" ht="14.25" customHeight="1" x14ac:dyDescent="0.35">
      <c r="B470" s="8"/>
      <c r="E470" s="8"/>
      <c r="G470" s="8"/>
    </row>
    <row r="471" spans="2:7" ht="14.25" customHeight="1" x14ac:dyDescent="0.35">
      <c r="B471" s="8"/>
      <c r="E471" s="8"/>
      <c r="G471" s="8"/>
    </row>
    <row r="472" spans="2:7" ht="14.25" customHeight="1" x14ac:dyDescent="0.35">
      <c r="B472" s="8"/>
      <c r="E472" s="8"/>
      <c r="G472" s="8"/>
    </row>
    <row r="473" spans="2:7" ht="14.25" customHeight="1" x14ac:dyDescent="0.35">
      <c r="B473" s="8"/>
      <c r="E473" s="8"/>
      <c r="G473" s="8"/>
    </row>
    <row r="474" spans="2:7" ht="14.25" customHeight="1" x14ac:dyDescent="0.35">
      <c r="B474" s="8"/>
      <c r="E474" s="8"/>
      <c r="G474" s="8"/>
    </row>
    <row r="475" spans="2:7" ht="14.25" customHeight="1" x14ac:dyDescent="0.35">
      <c r="B475" s="8"/>
      <c r="E475" s="8"/>
      <c r="G475" s="8"/>
    </row>
    <row r="476" spans="2:7" ht="14.25" customHeight="1" x14ac:dyDescent="0.35">
      <c r="B476" s="8"/>
      <c r="E476" s="8"/>
      <c r="G476" s="8"/>
    </row>
    <row r="477" spans="2:7" ht="14.25" customHeight="1" x14ac:dyDescent="0.35">
      <c r="B477" s="8"/>
      <c r="E477" s="8"/>
      <c r="G477" s="8"/>
    </row>
    <row r="478" spans="2:7" ht="14.25" customHeight="1" x14ac:dyDescent="0.35">
      <c r="B478" s="8"/>
      <c r="E478" s="8"/>
      <c r="G478" s="8"/>
    </row>
    <row r="479" spans="2:7" ht="14.25" customHeight="1" x14ac:dyDescent="0.35">
      <c r="B479" s="8"/>
      <c r="E479" s="8"/>
      <c r="G479" s="8"/>
    </row>
    <row r="480" spans="2:7" ht="14.25" customHeight="1" x14ac:dyDescent="0.35">
      <c r="B480" s="8"/>
      <c r="E480" s="8"/>
      <c r="G480" s="8"/>
    </row>
    <row r="481" spans="2:7" ht="14.25" customHeight="1" x14ac:dyDescent="0.35">
      <c r="B481" s="8"/>
      <c r="E481" s="8"/>
      <c r="G481" s="8"/>
    </row>
    <row r="482" spans="2:7" ht="14.25" customHeight="1" x14ac:dyDescent="0.35">
      <c r="B482" s="8"/>
      <c r="E482" s="8"/>
      <c r="G482" s="8"/>
    </row>
    <row r="483" spans="2:7" ht="14.25" customHeight="1" x14ac:dyDescent="0.35">
      <c r="B483" s="8"/>
      <c r="E483" s="8"/>
      <c r="G483" s="8"/>
    </row>
    <row r="484" spans="2:7" ht="14.25" customHeight="1" x14ac:dyDescent="0.35">
      <c r="B484" s="8"/>
      <c r="E484" s="8"/>
      <c r="G484" s="8"/>
    </row>
    <row r="485" spans="2:7" ht="14.25" customHeight="1" x14ac:dyDescent="0.35">
      <c r="B485" s="8"/>
      <c r="E485" s="8"/>
      <c r="G485" s="8"/>
    </row>
    <row r="486" spans="2:7" ht="14.25" customHeight="1" x14ac:dyDescent="0.35">
      <c r="B486" s="8"/>
      <c r="E486" s="8"/>
      <c r="G486" s="8"/>
    </row>
    <row r="487" spans="2:7" ht="14.25" customHeight="1" x14ac:dyDescent="0.35">
      <c r="B487" s="8"/>
      <c r="E487" s="8"/>
      <c r="G487" s="8"/>
    </row>
    <row r="488" spans="2:7" ht="14.25" customHeight="1" x14ac:dyDescent="0.35">
      <c r="B488" s="8"/>
      <c r="E488" s="8"/>
      <c r="G488" s="8"/>
    </row>
    <row r="489" spans="2:7" ht="14.25" customHeight="1" x14ac:dyDescent="0.35">
      <c r="B489" s="8"/>
      <c r="E489" s="8"/>
      <c r="G489" s="8"/>
    </row>
    <row r="490" spans="2:7" ht="14.25" customHeight="1" x14ac:dyDescent="0.35">
      <c r="B490" s="8"/>
      <c r="E490" s="8"/>
      <c r="G490" s="8"/>
    </row>
    <row r="491" spans="2:7" ht="14.25" customHeight="1" x14ac:dyDescent="0.35">
      <c r="B491" s="8"/>
      <c r="E491" s="8"/>
      <c r="G491" s="8"/>
    </row>
    <row r="492" spans="2:7" ht="14.25" customHeight="1" x14ac:dyDescent="0.35">
      <c r="B492" s="8"/>
      <c r="E492" s="8"/>
      <c r="G492" s="8"/>
    </row>
    <row r="493" spans="2:7" ht="14.25" customHeight="1" x14ac:dyDescent="0.35">
      <c r="B493" s="8"/>
      <c r="E493" s="8"/>
      <c r="G493" s="8"/>
    </row>
    <row r="494" spans="2:7" ht="14.25" customHeight="1" x14ac:dyDescent="0.35">
      <c r="B494" s="8"/>
      <c r="E494" s="8"/>
      <c r="G494" s="8"/>
    </row>
    <row r="495" spans="2:7" ht="14.25" customHeight="1" x14ac:dyDescent="0.35">
      <c r="B495" s="8"/>
      <c r="E495" s="8"/>
      <c r="G495" s="8"/>
    </row>
    <row r="496" spans="2:7" ht="14.25" customHeight="1" x14ac:dyDescent="0.35">
      <c r="B496" s="8"/>
      <c r="E496" s="8"/>
      <c r="G496" s="8"/>
    </row>
    <row r="497" spans="2:7" ht="14.25" customHeight="1" x14ac:dyDescent="0.35">
      <c r="B497" s="8"/>
      <c r="E497" s="8"/>
      <c r="G497" s="8"/>
    </row>
    <row r="498" spans="2:7" ht="14.25" customHeight="1" x14ac:dyDescent="0.35">
      <c r="B498" s="8"/>
      <c r="E498" s="8"/>
      <c r="G498" s="8"/>
    </row>
    <row r="499" spans="2:7" ht="14.25" customHeight="1" x14ac:dyDescent="0.35">
      <c r="B499" s="8"/>
      <c r="E499" s="8"/>
      <c r="G499" s="8"/>
    </row>
    <row r="500" spans="2:7" ht="14.25" customHeight="1" x14ac:dyDescent="0.35">
      <c r="B500" s="8"/>
      <c r="E500" s="8"/>
      <c r="G500" s="8"/>
    </row>
    <row r="501" spans="2:7" ht="14.25" customHeight="1" x14ac:dyDescent="0.35">
      <c r="B501" s="8"/>
      <c r="E501" s="8"/>
      <c r="G501" s="8"/>
    </row>
    <row r="502" spans="2:7" ht="14.25" customHeight="1" x14ac:dyDescent="0.35">
      <c r="B502" s="8"/>
      <c r="E502" s="8"/>
      <c r="G502" s="8"/>
    </row>
    <row r="503" spans="2:7" ht="14.25" customHeight="1" x14ac:dyDescent="0.35">
      <c r="B503" s="8"/>
      <c r="E503" s="8"/>
      <c r="G503" s="8"/>
    </row>
    <row r="504" spans="2:7" ht="14.25" customHeight="1" x14ac:dyDescent="0.35">
      <c r="B504" s="8"/>
      <c r="E504" s="8"/>
      <c r="G504" s="8"/>
    </row>
    <row r="505" spans="2:7" ht="14.25" customHeight="1" x14ac:dyDescent="0.35">
      <c r="B505" s="8"/>
      <c r="E505" s="8"/>
      <c r="G505" s="8"/>
    </row>
    <row r="506" spans="2:7" ht="14.25" customHeight="1" x14ac:dyDescent="0.35">
      <c r="B506" s="8"/>
      <c r="E506" s="8"/>
      <c r="G506" s="8"/>
    </row>
    <row r="507" spans="2:7" ht="14.25" customHeight="1" x14ac:dyDescent="0.35">
      <c r="B507" s="8"/>
      <c r="E507" s="8"/>
      <c r="G507" s="8"/>
    </row>
    <row r="508" spans="2:7" ht="14.25" customHeight="1" x14ac:dyDescent="0.35">
      <c r="B508" s="8"/>
      <c r="E508" s="8"/>
      <c r="G508" s="8"/>
    </row>
    <row r="509" spans="2:7" ht="14.25" customHeight="1" x14ac:dyDescent="0.35">
      <c r="B509" s="8"/>
      <c r="E509" s="8"/>
      <c r="G509" s="8"/>
    </row>
    <row r="510" spans="2:7" ht="14.25" customHeight="1" x14ac:dyDescent="0.35">
      <c r="B510" s="8"/>
      <c r="E510" s="8"/>
      <c r="G510" s="8"/>
    </row>
    <row r="511" spans="2:7" ht="14.25" customHeight="1" x14ac:dyDescent="0.35">
      <c r="B511" s="8"/>
      <c r="E511" s="8"/>
      <c r="G511" s="8"/>
    </row>
    <row r="512" spans="2:7" ht="14.25" customHeight="1" x14ac:dyDescent="0.35">
      <c r="B512" s="8"/>
      <c r="E512" s="8"/>
      <c r="G512" s="8"/>
    </row>
    <row r="513" spans="2:7" ht="14.25" customHeight="1" x14ac:dyDescent="0.35">
      <c r="B513" s="8"/>
      <c r="E513" s="8"/>
      <c r="G513" s="8"/>
    </row>
    <row r="514" spans="2:7" ht="14.25" customHeight="1" x14ac:dyDescent="0.35">
      <c r="B514" s="8"/>
      <c r="E514" s="8"/>
      <c r="G514" s="8"/>
    </row>
    <row r="515" spans="2:7" ht="14.25" customHeight="1" x14ac:dyDescent="0.35">
      <c r="B515" s="8"/>
      <c r="E515" s="8"/>
      <c r="G515" s="8"/>
    </row>
    <row r="516" spans="2:7" ht="14.25" customHeight="1" x14ac:dyDescent="0.35">
      <c r="B516" s="8"/>
      <c r="E516" s="8"/>
      <c r="G516" s="8"/>
    </row>
    <row r="517" spans="2:7" ht="14.25" customHeight="1" x14ac:dyDescent="0.35">
      <c r="B517" s="8"/>
      <c r="E517" s="8"/>
      <c r="G517" s="8"/>
    </row>
    <row r="518" spans="2:7" ht="14.25" customHeight="1" x14ac:dyDescent="0.35">
      <c r="B518" s="8"/>
      <c r="E518" s="8"/>
      <c r="G518" s="8"/>
    </row>
    <row r="519" spans="2:7" ht="14.25" customHeight="1" x14ac:dyDescent="0.35">
      <c r="B519" s="8"/>
      <c r="E519" s="8"/>
      <c r="G519" s="8"/>
    </row>
    <row r="520" spans="2:7" ht="14.25" customHeight="1" x14ac:dyDescent="0.35">
      <c r="B520" s="8"/>
      <c r="E520" s="8"/>
      <c r="G520" s="8"/>
    </row>
    <row r="521" spans="2:7" ht="14.25" customHeight="1" x14ac:dyDescent="0.35">
      <c r="B521" s="8"/>
      <c r="E521" s="8"/>
      <c r="G521" s="8"/>
    </row>
    <row r="522" spans="2:7" ht="14.25" customHeight="1" x14ac:dyDescent="0.35">
      <c r="B522" s="8"/>
      <c r="E522" s="8"/>
      <c r="G522" s="8"/>
    </row>
    <row r="523" spans="2:7" ht="14.25" customHeight="1" x14ac:dyDescent="0.35">
      <c r="B523" s="8"/>
      <c r="E523" s="8"/>
      <c r="G523" s="8"/>
    </row>
    <row r="524" spans="2:7" ht="14.25" customHeight="1" x14ac:dyDescent="0.35">
      <c r="B524" s="8"/>
      <c r="E524" s="8"/>
      <c r="G524" s="8"/>
    </row>
    <row r="525" spans="2:7" ht="14.25" customHeight="1" x14ac:dyDescent="0.35">
      <c r="B525" s="8"/>
      <c r="E525" s="8"/>
      <c r="G525" s="8"/>
    </row>
    <row r="526" spans="2:7" ht="14.25" customHeight="1" x14ac:dyDescent="0.35">
      <c r="B526" s="8"/>
      <c r="E526" s="8"/>
      <c r="G526" s="8"/>
    </row>
    <row r="527" spans="2:7" ht="14.25" customHeight="1" x14ac:dyDescent="0.35">
      <c r="B527" s="8"/>
      <c r="E527" s="8"/>
      <c r="G527" s="8"/>
    </row>
    <row r="528" spans="2:7" ht="14.25" customHeight="1" x14ac:dyDescent="0.35">
      <c r="B528" s="8"/>
      <c r="E528" s="8"/>
      <c r="G528" s="8"/>
    </row>
    <row r="529" spans="2:7" ht="14.25" customHeight="1" x14ac:dyDescent="0.35">
      <c r="B529" s="8"/>
      <c r="E529" s="8"/>
      <c r="G529" s="8"/>
    </row>
    <row r="530" spans="2:7" ht="14.25" customHeight="1" x14ac:dyDescent="0.35">
      <c r="B530" s="8"/>
      <c r="E530" s="8"/>
      <c r="G530" s="8"/>
    </row>
    <row r="531" spans="2:7" ht="14.25" customHeight="1" x14ac:dyDescent="0.35">
      <c r="B531" s="8"/>
      <c r="E531" s="8"/>
      <c r="G531" s="8"/>
    </row>
    <row r="532" spans="2:7" ht="14.25" customHeight="1" x14ac:dyDescent="0.35">
      <c r="B532" s="8"/>
      <c r="E532" s="8"/>
      <c r="G532" s="8"/>
    </row>
    <row r="533" spans="2:7" ht="14.25" customHeight="1" x14ac:dyDescent="0.35">
      <c r="B533" s="8"/>
      <c r="E533" s="8"/>
      <c r="G533" s="8"/>
    </row>
    <row r="534" spans="2:7" ht="14.25" customHeight="1" x14ac:dyDescent="0.35">
      <c r="B534" s="8"/>
      <c r="E534" s="8"/>
      <c r="G534" s="8"/>
    </row>
    <row r="535" spans="2:7" ht="14.25" customHeight="1" x14ac:dyDescent="0.35">
      <c r="B535" s="8"/>
      <c r="E535" s="8"/>
      <c r="G535" s="8"/>
    </row>
    <row r="536" spans="2:7" ht="14.25" customHeight="1" x14ac:dyDescent="0.35">
      <c r="B536" s="8"/>
      <c r="E536" s="8"/>
      <c r="G536" s="8"/>
    </row>
    <row r="537" spans="2:7" ht="14.25" customHeight="1" x14ac:dyDescent="0.35">
      <c r="B537" s="8"/>
      <c r="E537" s="8"/>
      <c r="G537" s="8"/>
    </row>
    <row r="538" spans="2:7" ht="14.25" customHeight="1" x14ac:dyDescent="0.35">
      <c r="B538" s="8"/>
      <c r="E538" s="8"/>
      <c r="G538" s="8"/>
    </row>
    <row r="539" spans="2:7" ht="14.25" customHeight="1" x14ac:dyDescent="0.35">
      <c r="B539" s="8"/>
      <c r="E539" s="8"/>
      <c r="G539" s="8"/>
    </row>
    <row r="540" spans="2:7" ht="14.25" customHeight="1" x14ac:dyDescent="0.35">
      <c r="B540" s="8"/>
      <c r="E540" s="8"/>
      <c r="G540" s="8"/>
    </row>
    <row r="541" spans="2:7" ht="14.25" customHeight="1" x14ac:dyDescent="0.35">
      <c r="B541" s="8"/>
      <c r="E541" s="8"/>
      <c r="G541" s="8"/>
    </row>
    <row r="542" spans="2:7" ht="14.25" customHeight="1" x14ac:dyDescent="0.35">
      <c r="B542" s="8"/>
      <c r="E542" s="8"/>
      <c r="G542" s="8"/>
    </row>
    <row r="543" spans="2:7" ht="14.25" customHeight="1" x14ac:dyDescent="0.35">
      <c r="B543" s="8"/>
      <c r="E543" s="8"/>
      <c r="G543" s="8"/>
    </row>
    <row r="544" spans="2:7" ht="14.25" customHeight="1" x14ac:dyDescent="0.35">
      <c r="B544" s="8"/>
      <c r="E544" s="8"/>
      <c r="G544" s="8"/>
    </row>
    <row r="545" spans="2:7" ht="14.25" customHeight="1" x14ac:dyDescent="0.35">
      <c r="B545" s="8"/>
      <c r="E545" s="8"/>
      <c r="G545" s="8"/>
    </row>
    <row r="546" spans="2:7" ht="14.25" customHeight="1" x14ac:dyDescent="0.35">
      <c r="B546" s="8"/>
      <c r="E546" s="8"/>
      <c r="G546" s="8"/>
    </row>
    <row r="547" spans="2:7" ht="14.25" customHeight="1" x14ac:dyDescent="0.35">
      <c r="B547" s="8"/>
      <c r="E547" s="8"/>
      <c r="G547" s="8"/>
    </row>
    <row r="548" spans="2:7" ht="14.25" customHeight="1" x14ac:dyDescent="0.35">
      <c r="B548" s="8"/>
      <c r="E548" s="8"/>
      <c r="G548" s="8"/>
    </row>
    <row r="549" spans="2:7" ht="14.25" customHeight="1" x14ac:dyDescent="0.35">
      <c r="B549" s="8"/>
      <c r="E549" s="8"/>
      <c r="G549" s="8"/>
    </row>
    <row r="550" spans="2:7" ht="14.25" customHeight="1" x14ac:dyDescent="0.35">
      <c r="B550" s="8"/>
      <c r="E550" s="8"/>
      <c r="G550" s="8"/>
    </row>
    <row r="551" spans="2:7" ht="14.25" customHeight="1" x14ac:dyDescent="0.35">
      <c r="B551" s="8"/>
      <c r="E551" s="8"/>
      <c r="G551" s="8"/>
    </row>
    <row r="552" spans="2:7" ht="14.25" customHeight="1" x14ac:dyDescent="0.35">
      <c r="B552" s="8"/>
      <c r="E552" s="8"/>
      <c r="G552" s="8"/>
    </row>
    <row r="553" spans="2:7" ht="14.25" customHeight="1" x14ac:dyDescent="0.35">
      <c r="B553" s="8"/>
      <c r="E553" s="8"/>
      <c r="G553" s="8"/>
    </row>
    <row r="554" spans="2:7" ht="14.25" customHeight="1" x14ac:dyDescent="0.35">
      <c r="B554" s="8"/>
      <c r="E554" s="8"/>
      <c r="G554" s="8"/>
    </row>
    <row r="555" spans="2:7" ht="14.25" customHeight="1" x14ac:dyDescent="0.35">
      <c r="B555" s="8"/>
      <c r="E555" s="8"/>
      <c r="G555" s="8"/>
    </row>
    <row r="556" spans="2:7" ht="14.25" customHeight="1" x14ac:dyDescent="0.35">
      <c r="B556" s="8"/>
      <c r="E556" s="8"/>
      <c r="G556" s="8"/>
    </row>
    <row r="557" spans="2:7" ht="14.25" customHeight="1" x14ac:dyDescent="0.35">
      <c r="B557" s="8"/>
      <c r="E557" s="8"/>
      <c r="G557" s="8"/>
    </row>
    <row r="558" spans="2:7" ht="14.25" customHeight="1" x14ac:dyDescent="0.35">
      <c r="B558" s="8"/>
      <c r="E558" s="8"/>
      <c r="G558" s="8"/>
    </row>
    <row r="559" spans="2:7" ht="14.25" customHeight="1" x14ac:dyDescent="0.35">
      <c r="B559" s="8"/>
      <c r="E559" s="8"/>
      <c r="G559" s="8"/>
    </row>
    <row r="560" spans="2:7" ht="14.25" customHeight="1" x14ac:dyDescent="0.35">
      <c r="B560" s="8"/>
      <c r="E560" s="8"/>
      <c r="G560" s="8"/>
    </row>
    <row r="561" spans="2:7" ht="14.25" customHeight="1" x14ac:dyDescent="0.35">
      <c r="B561" s="8"/>
      <c r="E561" s="8"/>
      <c r="G561" s="8"/>
    </row>
    <row r="562" spans="2:7" ht="14.25" customHeight="1" x14ac:dyDescent="0.35">
      <c r="B562" s="8"/>
      <c r="E562" s="8"/>
      <c r="G562" s="8"/>
    </row>
    <row r="563" spans="2:7" ht="14.25" customHeight="1" x14ac:dyDescent="0.35">
      <c r="B563" s="8"/>
      <c r="E563" s="8"/>
      <c r="G563" s="8"/>
    </row>
    <row r="564" spans="2:7" ht="14.25" customHeight="1" x14ac:dyDescent="0.35">
      <c r="B564" s="8"/>
      <c r="E564" s="8"/>
      <c r="G564" s="8"/>
    </row>
    <row r="565" spans="2:7" ht="14.25" customHeight="1" x14ac:dyDescent="0.35">
      <c r="B565" s="8"/>
      <c r="E565" s="8"/>
      <c r="G565" s="8"/>
    </row>
    <row r="566" spans="2:7" ht="14.25" customHeight="1" x14ac:dyDescent="0.35">
      <c r="B566" s="8"/>
      <c r="E566" s="8"/>
      <c r="G566" s="8"/>
    </row>
    <row r="567" spans="2:7" ht="14.25" customHeight="1" x14ac:dyDescent="0.35">
      <c r="B567" s="8"/>
      <c r="E567" s="8"/>
      <c r="G567" s="8"/>
    </row>
    <row r="568" spans="2:7" ht="14.25" customHeight="1" x14ac:dyDescent="0.35">
      <c r="B568" s="8"/>
      <c r="E568" s="8"/>
      <c r="G568" s="8"/>
    </row>
    <row r="569" spans="2:7" ht="14.25" customHeight="1" x14ac:dyDescent="0.35">
      <c r="B569" s="8"/>
      <c r="E569" s="8"/>
      <c r="G569" s="8"/>
    </row>
    <row r="570" spans="2:7" ht="14.25" customHeight="1" x14ac:dyDescent="0.35">
      <c r="B570" s="8"/>
      <c r="E570" s="8"/>
      <c r="G570" s="8"/>
    </row>
    <row r="571" spans="2:7" ht="14.25" customHeight="1" x14ac:dyDescent="0.35">
      <c r="B571" s="8"/>
      <c r="E571" s="8"/>
      <c r="G571" s="8"/>
    </row>
    <row r="572" spans="2:7" ht="14.25" customHeight="1" x14ac:dyDescent="0.35">
      <c r="B572" s="8"/>
      <c r="E572" s="8"/>
      <c r="G572" s="8"/>
    </row>
    <row r="573" spans="2:7" ht="14.25" customHeight="1" x14ac:dyDescent="0.35">
      <c r="B573" s="8"/>
      <c r="E573" s="8"/>
      <c r="G573" s="8"/>
    </row>
    <row r="574" spans="2:7" ht="14.25" customHeight="1" x14ac:dyDescent="0.35">
      <c r="B574" s="8"/>
      <c r="E574" s="8"/>
      <c r="G574" s="8"/>
    </row>
    <row r="575" spans="2:7" ht="14.25" customHeight="1" x14ac:dyDescent="0.35">
      <c r="B575" s="8"/>
      <c r="E575" s="8"/>
      <c r="G575" s="8"/>
    </row>
    <row r="576" spans="2:7" ht="14.25" customHeight="1" x14ac:dyDescent="0.35">
      <c r="B576" s="8"/>
      <c r="E576" s="8"/>
      <c r="G576" s="8"/>
    </row>
    <row r="577" spans="2:7" ht="14.25" customHeight="1" x14ac:dyDescent="0.35">
      <c r="B577" s="8"/>
      <c r="E577" s="8"/>
      <c r="G577" s="8"/>
    </row>
    <row r="578" spans="2:7" ht="14.25" customHeight="1" x14ac:dyDescent="0.35">
      <c r="B578" s="8"/>
      <c r="E578" s="8"/>
      <c r="G578" s="8"/>
    </row>
    <row r="579" spans="2:7" ht="14.25" customHeight="1" x14ac:dyDescent="0.35">
      <c r="B579" s="8"/>
      <c r="E579" s="8"/>
      <c r="G579" s="8"/>
    </row>
    <row r="580" spans="2:7" ht="14.25" customHeight="1" x14ac:dyDescent="0.35">
      <c r="B580" s="8"/>
      <c r="E580" s="8"/>
      <c r="G580" s="8"/>
    </row>
    <row r="581" spans="2:7" ht="14.25" customHeight="1" x14ac:dyDescent="0.35">
      <c r="B581" s="8"/>
      <c r="E581" s="8"/>
      <c r="G581" s="8"/>
    </row>
    <row r="582" spans="2:7" ht="14.25" customHeight="1" x14ac:dyDescent="0.35">
      <c r="B582" s="8"/>
      <c r="E582" s="8"/>
      <c r="G582" s="8"/>
    </row>
    <row r="583" spans="2:7" ht="14.25" customHeight="1" x14ac:dyDescent="0.35">
      <c r="B583" s="8"/>
      <c r="E583" s="8"/>
      <c r="G583" s="8"/>
    </row>
    <row r="584" spans="2:7" ht="14.25" customHeight="1" x14ac:dyDescent="0.35">
      <c r="B584" s="8"/>
      <c r="E584" s="8"/>
      <c r="G584" s="8"/>
    </row>
    <row r="585" spans="2:7" ht="14.25" customHeight="1" x14ac:dyDescent="0.35">
      <c r="B585" s="8"/>
      <c r="E585" s="8"/>
      <c r="G585" s="8"/>
    </row>
    <row r="586" spans="2:7" ht="14.25" customHeight="1" x14ac:dyDescent="0.35">
      <c r="B586" s="8"/>
      <c r="E586" s="8"/>
      <c r="G586" s="8"/>
    </row>
    <row r="587" spans="2:7" ht="14.25" customHeight="1" x14ac:dyDescent="0.35">
      <c r="B587" s="8"/>
      <c r="E587" s="8"/>
      <c r="G587" s="8"/>
    </row>
    <row r="588" spans="2:7" ht="14.25" customHeight="1" x14ac:dyDescent="0.35">
      <c r="B588" s="8"/>
      <c r="E588" s="8"/>
      <c r="G588" s="8"/>
    </row>
    <row r="589" spans="2:7" ht="14.25" customHeight="1" x14ac:dyDescent="0.35">
      <c r="B589" s="8"/>
      <c r="E589" s="8"/>
      <c r="G589" s="8"/>
    </row>
    <row r="590" spans="2:7" ht="14.25" customHeight="1" x14ac:dyDescent="0.35">
      <c r="B590" s="8"/>
      <c r="E590" s="8"/>
      <c r="G590" s="8"/>
    </row>
    <row r="591" spans="2:7" ht="14.25" customHeight="1" x14ac:dyDescent="0.35">
      <c r="B591" s="8"/>
      <c r="E591" s="8"/>
      <c r="G591" s="8"/>
    </row>
    <row r="592" spans="2:7" ht="14.25" customHeight="1" x14ac:dyDescent="0.35">
      <c r="B592" s="8"/>
      <c r="E592" s="8"/>
      <c r="G592" s="8"/>
    </row>
    <row r="593" spans="2:7" ht="14.25" customHeight="1" x14ac:dyDescent="0.35">
      <c r="B593" s="8"/>
      <c r="E593" s="8"/>
      <c r="G593" s="8"/>
    </row>
    <row r="594" spans="2:7" ht="14.25" customHeight="1" x14ac:dyDescent="0.35">
      <c r="B594" s="8"/>
      <c r="E594" s="8"/>
      <c r="G594" s="8"/>
    </row>
    <row r="595" spans="2:7" ht="14.25" customHeight="1" x14ac:dyDescent="0.35">
      <c r="B595" s="8"/>
      <c r="E595" s="8"/>
      <c r="G595" s="8"/>
    </row>
    <row r="596" spans="2:7" ht="14.25" customHeight="1" x14ac:dyDescent="0.35">
      <c r="B596" s="8"/>
      <c r="E596" s="8"/>
      <c r="G596" s="8"/>
    </row>
    <row r="597" spans="2:7" ht="14.25" customHeight="1" x14ac:dyDescent="0.35">
      <c r="B597" s="8"/>
      <c r="E597" s="8"/>
      <c r="G597" s="8"/>
    </row>
    <row r="598" spans="2:7" ht="14.25" customHeight="1" x14ac:dyDescent="0.35">
      <c r="B598" s="8"/>
      <c r="E598" s="8"/>
      <c r="G598" s="8"/>
    </row>
    <row r="599" spans="2:7" ht="14.25" customHeight="1" x14ac:dyDescent="0.35">
      <c r="B599" s="8"/>
      <c r="E599" s="8"/>
      <c r="G599" s="8"/>
    </row>
    <row r="600" spans="2:7" ht="14.25" customHeight="1" x14ac:dyDescent="0.35">
      <c r="B600" s="8"/>
      <c r="E600" s="8"/>
      <c r="G600" s="8"/>
    </row>
    <row r="601" spans="2:7" ht="14.25" customHeight="1" x14ac:dyDescent="0.35">
      <c r="B601" s="8"/>
      <c r="E601" s="8"/>
      <c r="G601" s="8"/>
    </row>
    <row r="602" spans="2:7" ht="14.25" customHeight="1" x14ac:dyDescent="0.35">
      <c r="B602" s="8"/>
      <c r="E602" s="8"/>
      <c r="G602" s="8"/>
    </row>
    <row r="603" spans="2:7" ht="14.25" customHeight="1" x14ac:dyDescent="0.35">
      <c r="B603" s="8"/>
      <c r="E603" s="8"/>
      <c r="G603" s="8"/>
    </row>
    <row r="604" spans="2:7" ht="14.25" customHeight="1" x14ac:dyDescent="0.35">
      <c r="B604" s="8"/>
      <c r="E604" s="8"/>
      <c r="G604" s="8"/>
    </row>
    <row r="605" spans="2:7" ht="14.25" customHeight="1" x14ac:dyDescent="0.35">
      <c r="B605" s="8"/>
      <c r="E605" s="8"/>
      <c r="G605" s="8"/>
    </row>
    <row r="606" spans="2:7" ht="14.25" customHeight="1" x14ac:dyDescent="0.35">
      <c r="B606" s="8"/>
      <c r="E606" s="8"/>
      <c r="G606" s="8"/>
    </row>
    <row r="607" spans="2:7" ht="14.25" customHeight="1" x14ac:dyDescent="0.35">
      <c r="B607" s="8"/>
      <c r="E607" s="8"/>
      <c r="G607" s="8"/>
    </row>
    <row r="608" spans="2:7" ht="14.25" customHeight="1" x14ac:dyDescent="0.35">
      <c r="B608" s="8"/>
      <c r="E608" s="8"/>
      <c r="G608" s="8"/>
    </row>
    <row r="609" spans="2:7" ht="14.25" customHeight="1" x14ac:dyDescent="0.35">
      <c r="B609" s="8"/>
      <c r="E609" s="8"/>
      <c r="G609" s="8"/>
    </row>
    <row r="610" spans="2:7" ht="14.25" customHeight="1" x14ac:dyDescent="0.35">
      <c r="B610" s="8"/>
      <c r="E610" s="8"/>
      <c r="G610" s="8"/>
    </row>
    <row r="611" spans="2:7" ht="14.25" customHeight="1" x14ac:dyDescent="0.35">
      <c r="B611" s="8"/>
      <c r="E611" s="8"/>
      <c r="G611" s="8"/>
    </row>
    <row r="612" spans="2:7" ht="14.25" customHeight="1" x14ac:dyDescent="0.35">
      <c r="B612" s="8"/>
      <c r="E612" s="8"/>
      <c r="G612" s="8"/>
    </row>
    <row r="613" spans="2:7" ht="14.25" customHeight="1" x14ac:dyDescent="0.35">
      <c r="B613" s="8"/>
      <c r="E613" s="8"/>
      <c r="G613" s="8"/>
    </row>
    <row r="614" spans="2:7" ht="14.25" customHeight="1" x14ac:dyDescent="0.35">
      <c r="B614" s="8"/>
      <c r="E614" s="8"/>
      <c r="G614" s="8"/>
    </row>
    <row r="615" spans="2:7" ht="14.25" customHeight="1" x14ac:dyDescent="0.35">
      <c r="B615" s="8"/>
      <c r="E615" s="8"/>
      <c r="G615" s="8"/>
    </row>
    <row r="616" spans="2:7" ht="14.25" customHeight="1" x14ac:dyDescent="0.35">
      <c r="B616" s="8"/>
      <c r="E616" s="8"/>
      <c r="G616" s="8"/>
    </row>
    <row r="617" spans="2:7" ht="14.25" customHeight="1" x14ac:dyDescent="0.35">
      <c r="B617" s="8"/>
      <c r="E617" s="8"/>
      <c r="G617" s="8"/>
    </row>
    <row r="618" spans="2:7" ht="14.25" customHeight="1" x14ac:dyDescent="0.35">
      <c r="B618" s="8"/>
      <c r="E618" s="8"/>
      <c r="G618" s="8"/>
    </row>
    <row r="619" spans="2:7" ht="14.25" customHeight="1" x14ac:dyDescent="0.35">
      <c r="B619" s="8"/>
      <c r="E619" s="8"/>
      <c r="G619" s="8"/>
    </row>
    <row r="620" spans="2:7" ht="14.25" customHeight="1" x14ac:dyDescent="0.35">
      <c r="B620" s="8"/>
      <c r="E620" s="8"/>
      <c r="G620" s="8"/>
    </row>
    <row r="621" spans="2:7" ht="14.25" customHeight="1" x14ac:dyDescent="0.35">
      <c r="B621" s="8"/>
      <c r="E621" s="8"/>
      <c r="G621" s="8"/>
    </row>
    <row r="622" spans="2:7" ht="14.25" customHeight="1" x14ac:dyDescent="0.35">
      <c r="B622" s="8"/>
      <c r="E622" s="8"/>
      <c r="G622" s="8"/>
    </row>
    <row r="623" spans="2:7" ht="14.25" customHeight="1" x14ac:dyDescent="0.35">
      <c r="B623" s="8"/>
      <c r="E623" s="8"/>
      <c r="G623" s="8"/>
    </row>
    <row r="624" spans="2:7" ht="14.25" customHeight="1" x14ac:dyDescent="0.35">
      <c r="B624" s="8"/>
      <c r="E624" s="8"/>
      <c r="G624" s="8"/>
    </row>
    <row r="625" spans="2:7" ht="14.25" customHeight="1" x14ac:dyDescent="0.35">
      <c r="B625" s="8"/>
      <c r="E625" s="8"/>
      <c r="G625" s="8"/>
    </row>
    <row r="626" spans="2:7" ht="14.25" customHeight="1" x14ac:dyDescent="0.35">
      <c r="B626" s="8"/>
      <c r="E626" s="8"/>
      <c r="G626" s="8"/>
    </row>
    <row r="627" spans="2:7" ht="14.25" customHeight="1" x14ac:dyDescent="0.35">
      <c r="B627" s="8"/>
      <c r="E627" s="8"/>
      <c r="G627" s="8"/>
    </row>
    <row r="628" spans="2:7" ht="14.25" customHeight="1" x14ac:dyDescent="0.35">
      <c r="B628" s="8"/>
      <c r="E628" s="8"/>
      <c r="G628" s="8"/>
    </row>
    <row r="629" spans="2:7" ht="14.25" customHeight="1" x14ac:dyDescent="0.35">
      <c r="B629" s="8"/>
      <c r="E629" s="8"/>
      <c r="G629" s="8"/>
    </row>
    <row r="630" spans="2:7" ht="14.25" customHeight="1" x14ac:dyDescent="0.35">
      <c r="B630" s="8"/>
      <c r="E630" s="8"/>
      <c r="G630" s="8"/>
    </row>
    <row r="631" spans="2:7" ht="14.25" customHeight="1" x14ac:dyDescent="0.35">
      <c r="B631" s="8"/>
      <c r="E631" s="8"/>
      <c r="G631" s="8"/>
    </row>
    <row r="632" spans="2:7" ht="14.25" customHeight="1" x14ac:dyDescent="0.35">
      <c r="B632" s="8"/>
      <c r="E632" s="8"/>
      <c r="G632" s="8"/>
    </row>
    <row r="633" spans="2:7" ht="14.25" customHeight="1" x14ac:dyDescent="0.35">
      <c r="B633" s="8"/>
      <c r="E633" s="8"/>
      <c r="G633" s="8"/>
    </row>
    <row r="634" spans="2:7" ht="14.25" customHeight="1" x14ac:dyDescent="0.35">
      <c r="B634" s="8"/>
      <c r="E634" s="8"/>
      <c r="G634" s="8"/>
    </row>
    <row r="635" spans="2:7" ht="14.25" customHeight="1" x14ac:dyDescent="0.35">
      <c r="B635" s="8"/>
      <c r="E635" s="8"/>
      <c r="G635" s="8"/>
    </row>
    <row r="636" spans="2:7" ht="14.25" customHeight="1" x14ac:dyDescent="0.35">
      <c r="B636" s="8"/>
      <c r="E636" s="8"/>
      <c r="G636" s="8"/>
    </row>
    <row r="637" spans="2:7" ht="14.25" customHeight="1" x14ac:dyDescent="0.35">
      <c r="B637" s="8"/>
      <c r="E637" s="8"/>
      <c r="G637" s="8"/>
    </row>
    <row r="638" spans="2:7" ht="14.25" customHeight="1" x14ac:dyDescent="0.35">
      <c r="B638" s="8"/>
      <c r="E638" s="8"/>
      <c r="G638" s="8"/>
    </row>
    <row r="639" spans="2:7" ht="14.25" customHeight="1" x14ac:dyDescent="0.35">
      <c r="B639" s="8"/>
      <c r="E639" s="8"/>
      <c r="G639" s="8"/>
    </row>
    <row r="640" spans="2:7" ht="14.25" customHeight="1" x14ac:dyDescent="0.35">
      <c r="B640" s="8"/>
      <c r="E640" s="8"/>
      <c r="G640" s="8"/>
    </row>
    <row r="641" spans="2:7" ht="14.25" customHeight="1" x14ac:dyDescent="0.35">
      <c r="B641" s="8"/>
      <c r="E641" s="8"/>
      <c r="G641" s="8"/>
    </row>
    <row r="642" spans="2:7" ht="14.25" customHeight="1" x14ac:dyDescent="0.35">
      <c r="B642" s="8"/>
      <c r="E642" s="8"/>
      <c r="G642" s="8"/>
    </row>
    <row r="643" spans="2:7" ht="14.25" customHeight="1" x14ac:dyDescent="0.35">
      <c r="B643" s="8"/>
      <c r="E643" s="8"/>
      <c r="G643" s="8"/>
    </row>
    <row r="644" spans="2:7" ht="14.25" customHeight="1" x14ac:dyDescent="0.35">
      <c r="B644" s="8"/>
      <c r="E644" s="8"/>
      <c r="G644" s="8"/>
    </row>
    <row r="645" spans="2:7" ht="14.25" customHeight="1" x14ac:dyDescent="0.35">
      <c r="B645" s="8"/>
      <c r="E645" s="8"/>
      <c r="G645" s="8"/>
    </row>
    <row r="646" spans="2:7" ht="14.25" customHeight="1" x14ac:dyDescent="0.35">
      <c r="B646" s="8"/>
      <c r="E646" s="8"/>
      <c r="G646" s="8"/>
    </row>
    <row r="647" spans="2:7" ht="14.25" customHeight="1" x14ac:dyDescent="0.35">
      <c r="B647" s="8"/>
      <c r="E647" s="8"/>
      <c r="G647" s="8"/>
    </row>
    <row r="648" spans="2:7" ht="14.25" customHeight="1" x14ac:dyDescent="0.35">
      <c r="B648" s="8"/>
      <c r="E648" s="8"/>
      <c r="G648" s="8"/>
    </row>
    <row r="649" spans="2:7" ht="14.25" customHeight="1" x14ac:dyDescent="0.35">
      <c r="B649" s="8"/>
      <c r="E649" s="8"/>
      <c r="G649" s="8"/>
    </row>
    <row r="650" spans="2:7" ht="14.25" customHeight="1" x14ac:dyDescent="0.35">
      <c r="B650" s="8"/>
      <c r="E650" s="8"/>
      <c r="G650" s="8"/>
    </row>
    <row r="651" spans="2:7" ht="14.25" customHeight="1" x14ac:dyDescent="0.35">
      <c r="B651" s="8"/>
      <c r="E651" s="8"/>
      <c r="G651" s="8"/>
    </row>
    <row r="652" spans="2:7" ht="14.25" customHeight="1" x14ac:dyDescent="0.35">
      <c r="B652" s="8"/>
      <c r="E652" s="8"/>
      <c r="G652" s="8"/>
    </row>
    <row r="653" spans="2:7" ht="14.25" customHeight="1" x14ac:dyDescent="0.35">
      <c r="B653" s="8"/>
      <c r="E653" s="8"/>
      <c r="G653" s="8"/>
    </row>
    <row r="654" spans="2:7" ht="14.25" customHeight="1" x14ac:dyDescent="0.35">
      <c r="B654" s="8"/>
      <c r="E654" s="8"/>
      <c r="G654" s="8"/>
    </row>
    <row r="655" spans="2:7" ht="14.25" customHeight="1" x14ac:dyDescent="0.35">
      <c r="B655" s="8"/>
      <c r="E655" s="8"/>
      <c r="G655" s="8"/>
    </row>
    <row r="656" spans="2:7" ht="14.25" customHeight="1" x14ac:dyDescent="0.35">
      <c r="B656" s="8"/>
      <c r="E656" s="8"/>
      <c r="G656" s="8"/>
    </row>
    <row r="657" spans="2:7" ht="14.25" customHeight="1" x14ac:dyDescent="0.35">
      <c r="B657" s="8"/>
      <c r="E657" s="8"/>
      <c r="G657" s="8"/>
    </row>
    <row r="658" spans="2:7" ht="14.25" customHeight="1" x14ac:dyDescent="0.35">
      <c r="B658" s="8"/>
      <c r="E658" s="8"/>
      <c r="G658" s="8"/>
    </row>
    <row r="659" spans="2:7" ht="14.25" customHeight="1" x14ac:dyDescent="0.35">
      <c r="B659" s="8"/>
      <c r="E659" s="8"/>
      <c r="G659" s="8"/>
    </row>
    <row r="660" spans="2:7" ht="14.25" customHeight="1" x14ac:dyDescent="0.35">
      <c r="B660" s="8"/>
      <c r="E660" s="8"/>
      <c r="G660" s="8"/>
    </row>
    <row r="661" spans="2:7" ht="14.25" customHeight="1" x14ac:dyDescent="0.35">
      <c r="B661" s="8"/>
      <c r="E661" s="8"/>
      <c r="G661" s="8"/>
    </row>
    <row r="662" spans="2:7" ht="14.25" customHeight="1" x14ac:dyDescent="0.35">
      <c r="B662" s="8"/>
      <c r="E662" s="8"/>
      <c r="G662" s="8"/>
    </row>
    <row r="663" spans="2:7" ht="14.25" customHeight="1" x14ac:dyDescent="0.35">
      <c r="B663" s="8"/>
      <c r="E663" s="8"/>
      <c r="G663" s="8"/>
    </row>
    <row r="664" spans="2:7" ht="14.25" customHeight="1" x14ac:dyDescent="0.35">
      <c r="B664" s="8"/>
      <c r="E664" s="8"/>
      <c r="G664" s="8"/>
    </row>
    <row r="665" spans="2:7" ht="14.25" customHeight="1" x14ac:dyDescent="0.35">
      <c r="B665" s="8"/>
      <c r="E665" s="8"/>
      <c r="G665" s="8"/>
    </row>
    <row r="666" spans="2:7" ht="14.25" customHeight="1" x14ac:dyDescent="0.35">
      <c r="B666" s="8"/>
      <c r="E666" s="8"/>
      <c r="G666" s="8"/>
    </row>
    <row r="667" spans="2:7" ht="14.25" customHeight="1" x14ac:dyDescent="0.35">
      <c r="B667" s="8"/>
      <c r="E667" s="8"/>
      <c r="G667" s="8"/>
    </row>
    <row r="668" spans="2:7" ht="14.25" customHeight="1" x14ac:dyDescent="0.35">
      <c r="B668" s="8"/>
      <c r="E668" s="8"/>
      <c r="G668" s="8"/>
    </row>
    <row r="669" spans="2:7" ht="14.25" customHeight="1" x14ac:dyDescent="0.35">
      <c r="B669" s="8"/>
      <c r="E669" s="8"/>
      <c r="G669" s="8"/>
    </row>
    <row r="670" spans="2:7" ht="14.25" customHeight="1" x14ac:dyDescent="0.35">
      <c r="B670" s="8"/>
      <c r="E670" s="8"/>
      <c r="G670" s="8"/>
    </row>
    <row r="671" spans="2:7" ht="14.25" customHeight="1" x14ac:dyDescent="0.35">
      <c r="B671" s="8"/>
      <c r="E671" s="8"/>
      <c r="G671" s="8"/>
    </row>
    <row r="672" spans="2:7" ht="14.25" customHeight="1" x14ac:dyDescent="0.35">
      <c r="B672" s="8"/>
      <c r="E672" s="8"/>
      <c r="G672" s="8"/>
    </row>
    <row r="673" spans="2:7" ht="14.25" customHeight="1" x14ac:dyDescent="0.35">
      <c r="B673" s="8"/>
      <c r="E673" s="8"/>
      <c r="G673" s="8"/>
    </row>
    <row r="674" spans="2:7" ht="14.25" customHeight="1" x14ac:dyDescent="0.35">
      <c r="B674" s="8"/>
      <c r="E674" s="8"/>
      <c r="G674" s="8"/>
    </row>
    <row r="675" spans="2:7" ht="14.25" customHeight="1" x14ac:dyDescent="0.35">
      <c r="B675" s="8"/>
      <c r="E675" s="8"/>
      <c r="G675" s="8"/>
    </row>
    <row r="676" spans="2:7" ht="14.25" customHeight="1" x14ac:dyDescent="0.35">
      <c r="B676" s="8"/>
      <c r="E676" s="8"/>
      <c r="G676" s="8"/>
    </row>
    <row r="677" spans="2:7" ht="14.25" customHeight="1" x14ac:dyDescent="0.35">
      <c r="B677" s="8"/>
      <c r="E677" s="8"/>
      <c r="G677" s="8"/>
    </row>
    <row r="678" spans="2:7" ht="14.25" customHeight="1" x14ac:dyDescent="0.35">
      <c r="B678" s="8"/>
      <c r="E678" s="8"/>
      <c r="G678" s="8"/>
    </row>
    <row r="679" spans="2:7" ht="14.25" customHeight="1" x14ac:dyDescent="0.35">
      <c r="B679" s="8"/>
      <c r="E679" s="8"/>
      <c r="G679" s="8"/>
    </row>
    <row r="680" spans="2:7" ht="14.25" customHeight="1" x14ac:dyDescent="0.35">
      <c r="B680" s="8"/>
      <c r="E680" s="8"/>
      <c r="G680" s="8"/>
    </row>
    <row r="681" spans="2:7" ht="14.25" customHeight="1" x14ac:dyDescent="0.35">
      <c r="B681" s="8"/>
      <c r="E681" s="8"/>
      <c r="G681" s="8"/>
    </row>
    <row r="682" spans="2:7" ht="14.25" customHeight="1" x14ac:dyDescent="0.35">
      <c r="B682" s="8"/>
      <c r="E682" s="8"/>
      <c r="G682" s="8"/>
    </row>
    <row r="683" spans="2:7" ht="14.25" customHeight="1" x14ac:dyDescent="0.35">
      <c r="B683" s="8"/>
      <c r="E683" s="8"/>
      <c r="G683" s="8"/>
    </row>
    <row r="684" spans="2:7" ht="14.25" customHeight="1" x14ac:dyDescent="0.35">
      <c r="B684" s="8"/>
      <c r="E684" s="8"/>
      <c r="G684" s="8"/>
    </row>
    <row r="685" spans="2:7" ht="14.25" customHeight="1" x14ac:dyDescent="0.35">
      <c r="B685" s="8"/>
      <c r="E685" s="8"/>
      <c r="G685" s="8"/>
    </row>
    <row r="686" spans="2:7" ht="14.25" customHeight="1" x14ac:dyDescent="0.35">
      <c r="B686" s="8"/>
      <c r="E686" s="8"/>
      <c r="G686" s="8"/>
    </row>
    <row r="687" spans="2:7" ht="14.25" customHeight="1" x14ac:dyDescent="0.35">
      <c r="B687" s="8"/>
      <c r="E687" s="8"/>
      <c r="G687" s="8"/>
    </row>
    <row r="688" spans="2:7" ht="14.25" customHeight="1" x14ac:dyDescent="0.35">
      <c r="B688" s="8"/>
      <c r="E688" s="8"/>
      <c r="G688" s="8"/>
    </row>
    <row r="689" spans="2:7" ht="14.25" customHeight="1" x14ac:dyDescent="0.35">
      <c r="B689" s="8"/>
      <c r="E689" s="8"/>
      <c r="G689" s="8"/>
    </row>
    <row r="690" spans="2:7" ht="14.25" customHeight="1" x14ac:dyDescent="0.35">
      <c r="B690" s="8"/>
      <c r="E690" s="8"/>
      <c r="G690" s="8"/>
    </row>
    <row r="691" spans="2:7" ht="14.25" customHeight="1" x14ac:dyDescent="0.35">
      <c r="B691" s="8"/>
      <c r="E691" s="8"/>
      <c r="G691" s="8"/>
    </row>
    <row r="692" spans="2:7" ht="14.25" customHeight="1" x14ac:dyDescent="0.35">
      <c r="B692" s="8"/>
      <c r="E692" s="8"/>
      <c r="G692" s="8"/>
    </row>
    <row r="693" spans="2:7" ht="14.25" customHeight="1" x14ac:dyDescent="0.35">
      <c r="B693" s="8"/>
      <c r="E693" s="8"/>
      <c r="G693" s="8"/>
    </row>
    <row r="694" spans="2:7" ht="14.25" customHeight="1" x14ac:dyDescent="0.35">
      <c r="B694" s="8"/>
      <c r="E694" s="8"/>
      <c r="G694" s="8"/>
    </row>
    <row r="695" spans="2:7" ht="14.25" customHeight="1" x14ac:dyDescent="0.35">
      <c r="B695" s="8"/>
      <c r="E695" s="8"/>
      <c r="G695" s="8"/>
    </row>
    <row r="696" spans="2:7" ht="14.25" customHeight="1" x14ac:dyDescent="0.35">
      <c r="B696" s="8"/>
      <c r="E696" s="8"/>
      <c r="G696" s="8"/>
    </row>
    <row r="697" spans="2:7" ht="14.25" customHeight="1" x14ac:dyDescent="0.35">
      <c r="B697" s="8"/>
      <c r="E697" s="8"/>
      <c r="G697" s="8"/>
    </row>
    <row r="698" spans="2:7" ht="14.25" customHeight="1" x14ac:dyDescent="0.35">
      <c r="B698" s="8"/>
      <c r="E698" s="8"/>
      <c r="G698" s="8"/>
    </row>
    <row r="699" spans="2:7" ht="14.25" customHeight="1" x14ac:dyDescent="0.35">
      <c r="B699" s="8"/>
      <c r="E699" s="8"/>
      <c r="G699" s="8"/>
    </row>
    <row r="700" spans="2:7" ht="14.25" customHeight="1" x14ac:dyDescent="0.35">
      <c r="B700" s="8"/>
      <c r="E700" s="8"/>
      <c r="G700" s="8"/>
    </row>
    <row r="701" spans="2:7" ht="14.25" customHeight="1" x14ac:dyDescent="0.35">
      <c r="B701" s="8"/>
      <c r="E701" s="8"/>
      <c r="G701" s="8"/>
    </row>
    <row r="702" spans="2:7" ht="14.25" customHeight="1" x14ac:dyDescent="0.35">
      <c r="B702" s="8"/>
      <c r="E702" s="8"/>
      <c r="G702" s="8"/>
    </row>
    <row r="703" spans="2:7" ht="14.25" customHeight="1" x14ac:dyDescent="0.35">
      <c r="B703" s="8"/>
      <c r="E703" s="8"/>
      <c r="G703" s="8"/>
    </row>
    <row r="704" spans="2:7" ht="14.25" customHeight="1" x14ac:dyDescent="0.35">
      <c r="B704" s="8"/>
      <c r="E704" s="8"/>
      <c r="G704" s="8"/>
    </row>
    <row r="705" spans="2:7" ht="14.25" customHeight="1" x14ac:dyDescent="0.35">
      <c r="B705" s="8"/>
      <c r="E705" s="8"/>
      <c r="G705" s="8"/>
    </row>
    <row r="706" spans="2:7" ht="14.25" customHeight="1" x14ac:dyDescent="0.35">
      <c r="B706" s="8"/>
      <c r="E706" s="8"/>
      <c r="G706" s="8"/>
    </row>
    <row r="707" spans="2:7" ht="14.25" customHeight="1" x14ac:dyDescent="0.35">
      <c r="B707" s="8"/>
      <c r="E707" s="8"/>
      <c r="G707" s="8"/>
    </row>
    <row r="708" spans="2:7" ht="14.25" customHeight="1" x14ac:dyDescent="0.35">
      <c r="B708" s="8"/>
      <c r="E708" s="8"/>
      <c r="G708" s="8"/>
    </row>
    <row r="709" spans="2:7" ht="14.25" customHeight="1" x14ac:dyDescent="0.35">
      <c r="B709" s="8"/>
      <c r="E709" s="8"/>
      <c r="G709" s="8"/>
    </row>
    <row r="710" spans="2:7" ht="14.25" customHeight="1" x14ac:dyDescent="0.35">
      <c r="B710" s="8"/>
      <c r="E710" s="8"/>
      <c r="G710" s="8"/>
    </row>
    <row r="711" spans="2:7" ht="14.25" customHeight="1" x14ac:dyDescent="0.35">
      <c r="B711" s="8"/>
      <c r="E711" s="8"/>
      <c r="G711" s="8"/>
    </row>
    <row r="712" spans="2:7" ht="14.25" customHeight="1" x14ac:dyDescent="0.35">
      <c r="B712" s="8"/>
      <c r="E712" s="8"/>
      <c r="G712" s="8"/>
    </row>
    <row r="713" spans="2:7" ht="14.25" customHeight="1" x14ac:dyDescent="0.35">
      <c r="B713" s="8"/>
      <c r="E713" s="8"/>
      <c r="G713" s="8"/>
    </row>
    <row r="714" spans="2:7" ht="14.25" customHeight="1" x14ac:dyDescent="0.35">
      <c r="B714" s="8"/>
      <c r="E714" s="8"/>
      <c r="G714" s="8"/>
    </row>
    <row r="715" spans="2:7" ht="14.25" customHeight="1" x14ac:dyDescent="0.35">
      <c r="B715" s="8"/>
      <c r="E715" s="8"/>
      <c r="G715" s="8"/>
    </row>
    <row r="716" spans="2:7" ht="14.25" customHeight="1" x14ac:dyDescent="0.35">
      <c r="B716" s="8"/>
      <c r="E716" s="8"/>
      <c r="G716" s="8"/>
    </row>
    <row r="717" spans="2:7" ht="14.25" customHeight="1" x14ac:dyDescent="0.35">
      <c r="B717" s="8"/>
      <c r="E717" s="8"/>
      <c r="G717" s="8"/>
    </row>
    <row r="718" spans="2:7" ht="14.25" customHeight="1" x14ac:dyDescent="0.35">
      <c r="B718" s="8"/>
      <c r="E718" s="8"/>
      <c r="G718" s="8"/>
    </row>
    <row r="719" spans="2:7" ht="14.25" customHeight="1" x14ac:dyDescent="0.35">
      <c r="B719" s="8"/>
      <c r="E719" s="8"/>
      <c r="G719" s="8"/>
    </row>
    <row r="720" spans="2:7" ht="14.25" customHeight="1" x14ac:dyDescent="0.35">
      <c r="B720" s="8"/>
      <c r="E720" s="8"/>
      <c r="G720" s="8"/>
    </row>
    <row r="721" spans="2:7" ht="14.25" customHeight="1" x14ac:dyDescent="0.35">
      <c r="B721" s="8"/>
      <c r="E721" s="8"/>
      <c r="G721" s="8"/>
    </row>
    <row r="722" spans="2:7" ht="14.25" customHeight="1" x14ac:dyDescent="0.35">
      <c r="B722" s="8"/>
      <c r="E722" s="8"/>
      <c r="G722" s="8"/>
    </row>
    <row r="723" spans="2:7" ht="14.25" customHeight="1" x14ac:dyDescent="0.35">
      <c r="B723" s="8"/>
      <c r="E723" s="8"/>
      <c r="G723" s="8"/>
    </row>
    <row r="724" spans="2:7" ht="14.25" customHeight="1" x14ac:dyDescent="0.35">
      <c r="B724" s="8"/>
      <c r="E724" s="8"/>
      <c r="G724" s="8"/>
    </row>
    <row r="725" spans="2:7" ht="14.25" customHeight="1" x14ac:dyDescent="0.35">
      <c r="B725" s="8"/>
      <c r="E725" s="8"/>
      <c r="G725" s="8"/>
    </row>
    <row r="726" spans="2:7" ht="14.25" customHeight="1" x14ac:dyDescent="0.35">
      <c r="B726" s="8"/>
      <c r="E726" s="8"/>
      <c r="G726" s="8"/>
    </row>
    <row r="727" spans="2:7" ht="14.25" customHeight="1" x14ac:dyDescent="0.35">
      <c r="B727" s="8"/>
      <c r="E727" s="8"/>
      <c r="G727" s="8"/>
    </row>
    <row r="728" spans="2:7" ht="14.25" customHeight="1" x14ac:dyDescent="0.35">
      <c r="B728" s="8"/>
      <c r="E728" s="8"/>
      <c r="G728" s="8"/>
    </row>
    <row r="729" spans="2:7" ht="14.25" customHeight="1" x14ac:dyDescent="0.35">
      <c r="B729" s="8"/>
      <c r="E729" s="8"/>
      <c r="G729" s="8"/>
    </row>
    <row r="730" spans="2:7" ht="14.25" customHeight="1" x14ac:dyDescent="0.35">
      <c r="B730" s="8"/>
      <c r="E730" s="8"/>
      <c r="G730" s="8"/>
    </row>
    <row r="731" spans="2:7" ht="14.25" customHeight="1" x14ac:dyDescent="0.35">
      <c r="B731" s="8"/>
      <c r="E731" s="8"/>
      <c r="G731" s="8"/>
    </row>
    <row r="732" spans="2:7" ht="14.25" customHeight="1" x14ac:dyDescent="0.35">
      <c r="B732" s="8"/>
      <c r="E732" s="8"/>
      <c r="G732" s="8"/>
    </row>
    <row r="733" spans="2:7" ht="14.25" customHeight="1" x14ac:dyDescent="0.35">
      <c r="B733" s="8"/>
      <c r="E733" s="8"/>
      <c r="G733" s="8"/>
    </row>
    <row r="734" spans="2:7" ht="14.25" customHeight="1" x14ac:dyDescent="0.35">
      <c r="B734" s="8"/>
      <c r="E734" s="8"/>
      <c r="G734" s="8"/>
    </row>
    <row r="735" spans="2:7" ht="14.25" customHeight="1" x14ac:dyDescent="0.35">
      <c r="B735" s="8"/>
      <c r="E735" s="8"/>
      <c r="G735" s="8"/>
    </row>
    <row r="736" spans="2:7" ht="14.25" customHeight="1" x14ac:dyDescent="0.35">
      <c r="B736" s="8"/>
      <c r="E736" s="8"/>
      <c r="G736" s="8"/>
    </row>
    <row r="737" spans="2:7" ht="14.25" customHeight="1" x14ac:dyDescent="0.35">
      <c r="B737" s="8"/>
      <c r="E737" s="8"/>
      <c r="G737" s="8"/>
    </row>
    <row r="738" spans="2:7" ht="14.25" customHeight="1" x14ac:dyDescent="0.35">
      <c r="B738" s="8"/>
      <c r="E738" s="8"/>
      <c r="G738" s="8"/>
    </row>
    <row r="739" spans="2:7" ht="14.25" customHeight="1" x14ac:dyDescent="0.35">
      <c r="B739" s="8"/>
      <c r="E739" s="8"/>
      <c r="G739" s="8"/>
    </row>
    <row r="740" spans="2:7" ht="14.25" customHeight="1" x14ac:dyDescent="0.35">
      <c r="B740" s="8"/>
      <c r="E740" s="8"/>
      <c r="G740" s="8"/>
    </row>
    <row r="741" spans="2:7" ht="14.25" customHeight="1" x14ac:dyDescent="0.35">
      <c r="B741" s="8"/>
      <c r="E741" s="8"/>
      <c r="G741" s="8"/>
    </row>
    <row r="742" spans="2:7" ht="14.25" customHeight="1" x14ac:dyDescent="0.35">
      <c r="B742" s="8"/>
      <c r="E742" s="8"/>
      <c r="G742" s="8"/>
    </row>
    <row r="743" spans="2:7" ht="14.25" customHeight="1" x14ac:dyDescent="0.35">
      <c r="B743" s="8"/>
      <c r="E743" s="8"/>
      <c r="G743" s="8"/>
    </row>
    <row r="744" spans="2:7" ht="14.25" customHeight="1" x14ac:dyDescent="0.35">
      <c r="B744" s="8"/>
      <c r="E744" s="8"/>
      <c r="G744" s="8"/>
    </row>
    <row r="745" spans="2:7" ht="14.25" customHeight="1" x14ac:dyDescent="0.35">
      <c r="B745" s="8"/>
      <c r="E745" s="8"/>
      <c r="G745" s="8"/>
    </row>
    <row r="746" spans="2:7" ht="14.25" customHeight="1" x14ac:dyDescent="0.35">
      <c r="B746" s="8"/>
      <c r="E746" s="8"/>
      <c r="G746" s="8"/>
    </row>
    <row r="747" spans="2:7" ht="14.25" customHeight="1" x14ac:dyDescent="0.35">
      <c r="B747" s="8"/>
      <c r="E747" s="8"/>
      <c r="G747" s="8"/>
    </row>
    <row r="748" spans="2:7" ht="14.25" customHeight="1" x14ac:dyDescent="0.35">
      <c r="B748" s="8"/>
      <c r="E748" s="8"/>
      <c r="G748" s="8"/>
    </row>
    <row r="749" spans="2:7" ht="14.25" customHeight="1" x14ac:dyDescent="0.35">
      <c r="B749" s="8"/>
      <c r="E749" s="8"/>
      <c r="G749" s="8"/>
    </row>
    <row r="750" spans="2:7" ht="14.25" customHeight="1" x14ac:dyDescent="0.35">
      <c r="B750" s="8"/>
      <c r="E750" s="8"/>
      <c r="G750" s="8"/>
    </row>
    <row r="751" spans="2:7" ht="14.25" customHeight="1" x14ac:dyDescent="0.35">
      <c r="B751" s="8"/>
      <c r="E751" s="8"/>
      <c r="G751" s="8"/>
    </row>
    <row r="752" spans="2:7" ht="14.25" customHeight="1" x14ac:dyDescent="0.35">
      <c r="B752" s="8"/>
      <c r="E752" s="8"/>
      <c r="G752" s="8"/>
    </row>
    <row r="753" spans="2:7" ht="14.25" customHeight="1" x14ac:dyDescent="0.35">
      <c r="B753" s="8"/>
      <c r="E753" s="8"/>
      <c r="G753" s="8"/>
    </row>
    <row r="754" spans="2:7" ht="14.25" customHeight="1" x14ac:dyDescent="0.35">
      <c r="B754" s="8"/>
      <c r="E754" s="8"/>
      <c r="G754" s="8"/>
    </row>
    <row r="755" spans="2:7" ht="14.25" customHeight="1" x14ac:dyDescent="0.35">
      <c r="B755" s="8"/>
      <c r="E755" s="8"/>
      <c r="G755" s="8"/>
    </row>
    <row r="756" spans="2:7" ht="14.25" customHeight="1" x14ac:dyDescent="0.35">
      <c r="B756" s="8"/>
      <c r="E756" s="8"/>
      <c r="G756" s="8"/>
    </row>
    <row r="757" spans="2:7" ht="14.25" customHeight="1" x14ac:dyDescent="0.35">
      <c r="B757" s="8"/>
      <c r="E757" s="8"/>
      <c r="G757" s="8"/>
    </row>
    <row r="758" spans="2:7" ht="14.25" customHeight="1" x14ac:dyDescent="0.35">
      <c r="B758" s="8"/>
      <c r="E758" s="8"/>
      <c r="G758" s="8"/>
    </row>
    <row r="759" spans="2:7" ht="14.25" customHeight="1" x14ac:dyDescent="0.35">
      <c r="B759" s="8"/>
      <c r="E759" s="8"/>
      <c r="G759" s="8"/>
    </row>
    <row r="760" spans="2:7" ht="14.25" customHeight="1" x14ac:dyDescent="0.35">
      <c r="B760" s="8"/>
      <c r="E760" s="8"/>
      <c r="G760" s="8"/>
    </row>
    <row r="761" spans="2:7" ht="14.25" customHeight="1" x14ac:dyDescent="0.35">
      <c r="B761" s="8"/>
      <c r="E761" s="8"/>
      <c r="G761" s="8"/>
    </row>
    <row r="762" spans="2:7" ht="14.25" customHeight="1" x14ac:dyDescent="0.35">
      <c r="B762" s="8"/>
      <c r="E762" s="8"/>
      <c r="G762" s="8"/>
    </row>
    <row r="763" spans="2:7" ht="14.25" customHeight="1" x14ac:dyDescent="0.35">
      <c r="B763" s="8"/>
      <c r="E763" s="8"/>
      <c r="G763" s="8"/>
    </row>
    <row r="764" spans="2:7" ht="14.25" customHeight="1" x14ac:dyDescent="0.35">
      <c r="B764" s="8"/>
      <c r="E764" s="8"/>
      <c r="G764" s="8"/>
    </row>
    <row r="765" spans="2:7" ht="14.25" customHeight="1" x14ac:dyDescent="0.35">
      <c r="B765" s="8"/>
      <c r="E765" s="8"/>
      <c r="G765" s="8"/>
    </row>
    <row r="766" spans="2:7" ht="14.25" customHeight="1" x14ac:dyDescent="0.35">
      <c r="B766" s="8"/>
      <c r="E766" s="8"/>
      <c r="G766" s="8"/>
    </row>
    <row r="767" spans="2:7" ht="14.25" customHeight="1" x14ac:dyDescent="0.35">
      <c r="B767" s="8"/>
      <c r="E767" s="8"/>
      <c r="G767" s="8"/>
    </row>
    <row r="768" spans="2:7" ht="14.25" customHeight="1" x14ac:dyDescent="0.35">
      <c r="B768" s="8"/>
      <c r="E768" s="8"/>
      <c r="G768" s="8"/>
    </row>
    <row r="769" spans="2:7" ht="14.25" customHeight="1" x14ac:dyDescent="0.35">
      <c r="B769" s="8"/>
      <c r="E769" s="8"/>
      <c r="G769" s="8"/>
    </row>
    <row r="770" spans="2:7" ht="14.25" customHeight="1" x14ac:dyDescent="0.35">
      <c r="B770" s="8"/>
      <c r="E770" s="8"/>
      <c r="G770" s="8"/>
    </row>
    <row r="771" spans="2:7" ht="14.25" customHeight="1" x14ac:dyDescent="0.35">
      <c r="B771" s="8"/>
      <c r="E771" s="8"/>
      <c r="G771" s="8"/>
    </row>
    <row r="772" spans="2:7" ht="14.25" customHeight="1" x14ac:dyDescent="0.35">
      <c r="B772" s="8"/>
      <c r="E772" s="8"/>
      <c r="G772" s="8"/>
    </row>
    <row r="773" spans="2:7" ht="14.25" customHeight="1" x14ac:dyDescent="0.35">
      <c r="B773" s="8"/>
      <c r="E773" s="8"/>
      <c r="G773" s="8"/>
    </row>
    <row r="774" spans="2:7" ht="14.25" customHeight="1" x14ac:dyDescent="0.35">
      <c r="B774" s="8"/>
      <c r="E774" s="8"/>
      <c r="G774" s="8"/>
    </row>
    <row r="775" spans="2:7" ht="14.25" customHeight="1" x14ac:dyDescent="0.35">
      <c r="B775" s="8"/>
      <c r="E775" s="8"/>
      <c r="G775" s="8"/>
    </row>
    <row r="776" spans="2:7" ht="14.25" customHeight="1" x14ac:dyDescent="0.35">
      <c r="B776" s="8"/>
      <c r="E776" s="8"/>
      <c r="G776" s="8"/>
    </row>
    <row r="777" spans="2:7" ht="14.25" customHeight="1" x14ac:dyDescent="0.35">
      <c r="B777" s="8"/>
      <c r="E777" s="8"/>
      <c r="G777" s="8"/>
    </row>
    <row r="778" spans="2:7" ht="14.25" customHeight="1" x14ac:dyDescent="0.35">
      <c r="B778" s="8"/>
      <c r="E778" s="8"/>
      <c r="G778" s="8"/>
    </row>
    <row r="779" spans="2:7" ht="14.25" customHeight="1" x14ac:dyDescent="0.35">
      <c r="B779" s="8"/>
      <c r="E779" s="8"/>
      <c r="G779" s="8"/>
    </row>
    <row r="780" spans="2:7" ht="14.25" customHeight="1" x14ac:dyDescent="0.35">
      <c r="B780" s="8"/>
      <c r="E780" s="8"/>
      <c r="G780" s="8"/>
    </row>
    <row r="781" spans="2:7" ht="14.25" customHeight="1" x14ac:dyDescent="0.35">
      <c r="B781" s="8"/>
      <c r="E781" s="8"/>
      <c r="G781" s="8"/>
    </row>
    <row r="782" spans="2:7" ht="14.25" customHeight="1" x14ac:dyDescent="0.35">
      <c r="B782" s="8"/>
      <c r="E782" s="8"/>
      <c r="G782" s="8"/>
    </row>
    <row r="783" spans="2:7" ht="14.25" customHeight="1" x14ac:dyDescent="0.35">
      <c r="B783" s="8"/>
      <c r="E783" s="8"/>
      <c r="G783" s="8"/>
    </row>
    <row r="784" spans="2:7" ht="14.25" customHeight="1" x14ac:dyDescent="0.35">
      <c r="B784" s="8"/>
      <c r="E784" s="8"/>
      <c r="G784" s="8"/>
    </row>
    <row r="785" spans="2:7" ht="14.25" customHeight="1" x14ac:dyDescent="0.35">
      <c r="B785" s="8"/>
      <c r="E785" s="8"/>
      <c r="G785" s="8"/>
    </row>
    <row r="786" spans="2:7" ht="14.25" customHeight="1" x14ac:dyDescent="0.35">
      <c r="B786" s="8"/>
      <c r="E786" s="8"/>
      <c r="G786" s="8"/>
    </row>
    <row r="787" spans="2:7" ht="14.25" customHeight="1" x14ac:dyDescent="0.35">
      <c r="B787" s="8"/>
      <c r="E787" s="8"/>
      <c r="G787" s="8"/>
    </row>
    <row r="788" spans="2:7" ht="14.25" customHeight="1" x14ac:dyDescent="0.35">
      <c r="B788" s="8"/>
      <c r="E788" s="8"/>
      <c r="G788" s="8"/>
    </row>
    <row r="789" spans="2:7" ht="14.25" customHeight="1" x14ac:dyDescent="0.35">
      <c r="B789" s="8"/>
      <c r="E789" s="8"/>
      <c r="G789" s="8"/>
    </row>
    <row r="790" spans="2:7" ht="14.25" customHeight="1" x14ac:dyDescent="0.35">
      <c r="B790" s="8"/>
      <c r="E790" s="8"/>
      <c r="G790" s="8"/>
    </row>
    <row r="791" spans="2:7" ht="14.25" customHeight="1" x14ac:dyDescent="0.35">
      <c r="B791" s="8"/>
      <c r="E791" s="8"/>
      <c r="G791" s="8"/>
    </row>
    <row r="792" spans="2:7" ht="14.25" customHeight="1" x14ac:dyDescent="0.35">
      <c r="B792" s="8"/>
      <c r="E792" s="8"/>
      <c r="G792" s="8"/>
    </row>
    <row r="793" spans="2:7" ht="14.25" customHeight="1" x14ac:dyDescent="0.35">
      <c r="B793" s="8"/>
      <c r="E793" s="8"/>
      <c r="G793" s="8"/>
    </row>
    <row r="794" spans="2:7" ht="14.25" customHeight="1" x14ac:dyDescent="0.35">
      <c r="B794" s="8"/>
      <c r="E794" s="8"/>
      <c r="G794" s="8"/>
    </row>
    <row r="795" spans="2:7" ht="14.25" customHeight="1" x14ac:dyDescent="0.35">
      <c r="B795" s="8"/>
      <c r="E795" s="8"/>
      <c r="G795" s="8"/>
    </row>
    <row r="796" spans="2:7" ht="14.25" customHeight="1" x14ac:dyDescent="0.35">
      <c r="B796" s="8"/>
      <c r="E796" s="8"/>
      <c r="G796" s="8"/>
    </row>
    <row r="797" spans="2:7" ht="14.25" customHeight="1" x14ac:dyDescent="0.35">
      <c r="B797" s="8"/>
      <c r="E797" s="8"/>
      <c r="G797" s="8"/>
    </row>
    <row r="798" spans="2:7" ht="14.25" customHeight="1" x14ac:dyDescent="0.35">
      <c r="B798" s="8"/>
      <c r="E798" s="8"/>
      <c r="G798" s="8"/>
    </row>
    <row r="799" spans="2:7" ht="14.25" customHeight="1" x14ac:dyDescent="0.35">
      <c r="B799" s="8"/>
      <c r="E799" s="8"/>
      <c r="G799" s="8"/>
    </row>
    <row r="800" spans="2:7" ht="14.25" customHeight="1" x14ac:dyDescent="0.35">
      <c r="B800" s="8"/>
      <c r="E800" s="8"/>
      <c r="G800" s="8"/>
    </row>
    <row r="801" spans="2:7" ht="14.25" customHeight="1" x14ac:dyDescent="0.35">
      <c r="B801" s="8"/>
      <c r="E801" s="8"/>
      <c r="G801" s="8"/>
    </row>
    <row r="802" spans="2:7" ht="14.25" customHeight="1" x14ac:dyDescent="0.35">
      <c r="B802" s="8"/>
      <c r="E802" s="8"/>
      <c r="G802" s="8"/>
    </row>
    <row r="803" spans="2:7" ht="14.25" customHeight="1" x14ac:dyDescent="0.35">
      <c r="B803" s="8"/>
      <c r="E803" s="8"/>
      <c r="G803" s="8"/>
    </row>
    <row r="804" spans="2:7" ht="14.25" customHeight="1" x14ac:dyDescent="0.35">
      <c r="B804" s="8"/>
      <c r="E804" s="8"/>
      <c r="G804" s="8"/>
    </row>
    <row r="805" spans="2:7" ht="14.25" customHeight="1" x14ac:dyDescent="0.35">
      <c r="B805" s="8"/>
      <c r="E805" s="8"/>
      <c r="G805" s="8"/>
    </row>
    <row r="806" spans="2:7" ht="14.25" customHeight="1" x14ac:dyDescent="0.35">
      <c r="B806" s="8"/>
      <c r="E806" s="8"/>
      <c r="G806" s="8"/>
    </row>
    <row r="807" spans="2:7" ht="14.25" customHeight="1" x14ac:dyDescent="0.35">
      <c r="B807" s="8"/>
      <c r="E807" s="8"/>
      <c r="G807" s="8"/>
    </row>
    <row r="808" spans="2:7" ht="14.25" customHeight="1" x14ac:dyDescent="0.35">
      <c r="B808" s="8"/>
      <c r="E808" s="8"/>
      <c r="G808" s="8"/>
    </row>
    <row r="809" spans="2:7" ht="14.25" customHeight="1" x14ac:dyDescent="0.35">
      <c r="B809" s="8"/>
      <c r="E809" s="8"/>
      <c r="G809" s="8"/>
    </row>
    <row r="810" spans="2:7" ht="14.25" customHeight="1" x14ac:dyDescent="0.35">
      <c r="B810" s="8"/>
      <c r="E810" s="8"/>
      <c r="G810" s="8"/>
    </row>
    <row r="811" spans="2:7" ht="14.25" customHeight="1" x14ac:dyDescent="0.35">
      <c r="B811" s="8"/>
      <c r="E811" s="8"/>
      <c r="G811" s="8"/>
    </row>
    <row r="812" spans="2:7" ht="14.25" customHeight="1" x14ac:dyDescent="0.35">
      <c r="B812" s="8"/>
      <c r="E812" s="8"/>
      <c r="G812" s="8"/>
    </row>
    <row r="813" spans="2:7" ht="14.25" customHeight="1" x14ac:dyDescent="0.35">
      <c r="B813" s="8"/>
      <c r="E813" s="8"/>
      <c r="G813" s="8"/>
    </row>
    <row r="814" spans="2:7" ht="14.25" customHeight="1" x14ac:dyDescent="0.35">
      <c r="B814" s="8"/>
      <c r="E814" s="8"/>
      <c r="G814" s="8"/>
    </row>
    <row r="815" spans="2:7" ht="14.25" customHeight="1" x14ac:dyDescent="0.35">
      <c r="B815" s="8"/>
      <c r="E815" s="8"/>
      <c r="G815" s="8"/>
    </row>
    <row r="816" spans="2:7" ht="14.25" customHeight="1" x14ac:dyDescent="0.35">
      <c r="B816" s="8"/>
      <c r="E816" s="8"/>
      <c r="G816" s="8"/>
    </row>
    <row r="817" spans="2:7" ht="14.25" customHeight="1" x14ac:dyDescent="0.35">
      <c r="B817" s="8"/>
      <c r="E817" s="8"/>
      <c r="G817" s="8"/>
    </row>
    <row r="818" spans="2:7" ht="14.25" customHeight="1" x14ac:dyDescent="0.35">
      <c r="B818" s="8"/>
      <c r="E818" s="8"/>
      <c r="G818" s="8"/>
    </row>
    <row r="819" spans="2:7" ht="14.25" customHeight="1" x14ac:dyDescent="0.35">
      <c r="B819" s="8"/>
      <c r="E819" s="8"/>
      <c r="G819" s="8"/>
    </row>
    <row r="820" spans="2:7" ht="14.25" customHeight="1" x14ac:dyDescent="0.35">
      <c r="B820" s="8"/>
      <c r="E820" s="8"/>
      <c r="G820" s="8"/>
    </row>
    <row r="821" spans="2:7" ht="14.25" customHeight="1" x14ac:dyDescent="0.35">
      <c r="B821" s="8"/>
      <c r="E821" s="8"/>
      <c r="G821" s="8"/>
    </row>
    <row r="822" spans="2:7" ht="14.25" customHeight="1" x14ac:dyDescent="0.35">
      <c r="B822" s="8"/>
      <c r="E822" s="8"/>
      <c r="G822" s="8"/>
    </row>
    <row r="823" spans="2:7" ht="14.25" customHeight="1" x14ac:dyDescent="0.35">
      <c r="B823" s="8"/>
      <c r="E823" s="8"/>
      <c r="G823" s="8"/>
    </row>
    <row r="824" spans="2:7" ht="14.25" customHeight="1" x14ac:dyDescent="0.35">
      <c r="B824" s="8"/>
      <c r="E824" s="8"/>
      <c r="G824" s="8"/>
    </row>
    <row r="825" spans="2:7" ht="14.25" customHeight="1" x14ac:dyDescent="0.35">
      <c r="B825" s="8"/>
      <c r="E825" s="8"/>
      <c r="G825" s="8"/>
    </row>
    <row r="826" spans="2:7" ht="14.25" customHeight="1" x14ac:dyDescent="0.35">
      <c r="B826" s="8"/>
      <c r="E826" s="8"/>
      <c r="G826" s="8"/>
    </row>
    <row r="827" spans="2:7" ht="14.25" customHeight="1" x14ac:dyDescent="0.35">
      <c r="B827" s="8"/>
      <c r="E827" s="8"/>
      <c r="G827" s="8"/>
    </row>
    <row r="828" spans="2:7" ht="14.25" customHeight="1" x14ac:dyDescent="0.35">
      <c r="B828" s="8"/>
      <c r="E828" s="8"/>
      <c r="G828" s="8"/>
    </row>
    <row r="829" spans="2:7" ht="14.25" customHeight="1" x14ac:dyDescent="0.35">
      <c r="B829" s="8"/>
      <c r="E829" s="8"/>
      <c r="G829" s="8"/>
    </row>
    <row r="830" spans="2:7" ht="14.25" customHeight="1" x14ac:dyDescent="0.35">
      <c r="B830" s="8"/>
      <c r="E830" s="8"/>
      <c r="G830" s="8"/>
    </row>
    <row r="831" spans="2:7" ht="14.25" customHeight="1" x14ac:dyDescent="0.35">
      <c r="B831" s="8"/>
      <c r="E831" s="8"/>
      <c r="G831" s="8"/>
    </row>
    <row r="832" spans="2:7" ht="14.25" customHeight="1" x14ac:dyDescent="0.35">
      <c r="B832" s="8"/>
      <c r="E832" s="8"/>
      <c r="G832" s="8"/>
    </row>
    <row r="833" spans="2:7" ht="14.25" customHeight="1" x14ac:dyDescent="0.35">
      <c r="B833" s="8"/>
      <c r="E833" s="8"/>
      <c r="G833" s="8"/>
    </row>
    <row r="834" spans="2:7" ht="14.25" customHeight="1" x14ac:dyDescent="0.35">
      <c r="B834" s="8"/>
      <c r="E834" s="8"/>
      <c r="G834" s="8"/>
    </row>
    <row r="835" spans="2:7" ht="14.25" customHeight="1" x14ac:dyDescent="0.35">
      <c r="B835" s="8"/>
      <c r="E835" s="8"/>
      <c r="G835" s="8"/>
    </row>
    <row r="836" spans="2:7" ht="14.25" customHeight="1" x14ac:dyDescent="0.35">
      <c r="B836" s="8"/>
      <c r="E836" s="8"/>
      <c r="G836" s="8"/>
    </row>
    <row r="837" spans="2:7" ht="14.25" customHeight="1" x14ac:dyDescent="0.35">
      <c r="B837" s="8"/>
      <c r="E837" s="8"/>
      <c r="G837" s="8"/>
    </row>
    <row r="838" spans="2:7" ht="14.25" customHeight="1" x14ac:dyDescent="0.35">
      <c r="B838" s="8"/>
      <c r="E838" s="8"/>
      <c r="G838" s="8"/>
    </row>
    <row r="839" spans="2:7" ht="14.25" customHeight="1" x14ac:dyDescent="0.35">
      <c r="B839" s="8"/>
      <c r="E839" s="8"/>
      <c r="G839" s="8"/>
    </row>
    <row r="840" spans="2:7" ht="14.25" customHeight="1" x14ac:dyDescent="0.35">
      <c r="B840" s="8"/>
      <c r="E840" s="8"/>
      <c r="G840" s="8"/>
    </row>
    <row r="841" spans="2:7" ht="14.25" customHeight="1" x14ac:dyDescent="0.35">
      <c r="B841" s="8"/>
      <c r="E841" s="8"/>
      <c r="G841" s="8"/>
    </row>
    <row r="842" spans="2:7" ht="14.25" customHeight="1" x14ac:dyDescent="0.35">
      <c r="B842" s="8"/>
      <c r="E842" s="8"/>
      <c r="G842" s="8"/>
    </row>
    <row r="843" spans="2:7" ht="14.25" customHeight="1" x14ac:dyDescent="0.35">
      <c r="B843" s="8"/>
      <c r="E843" s="8"/>
      <c r="G843" s="8"/>
    </row>
    <row r="844" spans="2:7" ht="14.25" customHeight="1" x14ac:dyDescent="0.35">
      <c r="B844" s="8"/>
      <c r="E844" s="8"/>
      <c r="G844" s="8"/>
    </row>
    <row r="845" spans="2:7" ht="14.25" customHeight="1" x14ac:dyDescent="0.35">
      <c r="B845" s="8"/>
      <c r="E845" s="8"/>
      <c r="G845" s="8"/>
    </row>
    <row r="846" spans="2:7" ht="14.25" customHeight="1" x14ac:dyDescent="0.35">
      <c r="B846" s="8"/>
      <c r="E846" s="8"/>
      <c r="G846" s="8"/>
    </row>
    <row r="847" spans="2:7" ht="14.25" customHeight="1" x14ac:dyDescent="0.35">
      <c r="B847" s="8"/>
      <c r="E847" s="8"/>
      <c r="G847" s="8"/>
    </row>
    <row r="848" spans="2:7" ht="14.25" customHeight="1" x14ac:dyDescent="0.35">
      <c r="B848" s="8"/>
      <c r="E848" s="8"/>
      <c r="G848" s="8"/>
    </row>
    <row r="849" spans="2:7" ht="14.25" customHeight="1" x14ac:dyDescent="0.35">
      <c r="B849" s="8"/>
      <c r="E849" s="8"/>
      <c r="G849" s="8"/>
    </row>
    <row r="850" spans="2:7" ht="14.25" customHeight="1" x14ac:dyDescent="0.35">
      <c r="B850" s="8"/>
      <c r="E850" s="8"/>
      <c r="G850" s="8"/>
    </row>
    <row r="851" spans="2:7" ht="14.25" customHeight="1" x14ac:dyDescent="0.35">
      <c r="B851" s="8"/>
      <c r="E851" s="8"/>
      <c r="G851" s="8"/>
    </row>
    <row r="852" spans="2:7" ht="14.25" customHeight="1" x14ac:dyDescent="0.35">
      <c r="B852" s="8"/>
      <c r="E852" s="8"/>
      <c r="G852" s="8"/>
    </row>
    <row r="853" spans="2:7" ht="14.25" customHeight="1" x14ac:dyDescent="0.35">
      <c r="B853" s="8"/>
      <c r="E853" s="8"/>
      <c r="G853" s="8"/>
    </row>
    <row r="854" spans="2:7" ht="14.25" customHeight="1" x14ac:dyDescent="0.35">
      <c r="B854" s="8"/>
      <c r="E854" s="8"/>
      <c r="G854" s="8"/>
    </row>
    <row r="855" spans="2:7" ht="14.25" customHeight="1" x14ac:dyDescent="0.35">
      <c r="B855" s="8"/>
      <c r="E855" s="8"/>
      <c r="G855" s="8"/>
    </row>
    <row r="856" spans="2:7" ht="14.25" customHeight="1" x14ac:dyDescent="0.35">
      <c r="B856" s="8"/>
      <c r="E856" s="8"/>
      <c r="G856" s="8"/>
    </row>
    <row r="857" spans="2:7" ht="14.25" customHeight="1" x14ac:dyDescent="0.35">
      <c r="B857" s="8"/>
      <c r="E857" s="8"/>
      <c r="G857" s="8"/>
    </row>
    <row r="858" spans="2:7" ht="14.25" customHeight="1" x14ac:dyDescent="0.35">
      <c r="B858" s="8"/>
      <c r="E858" s="8"/>
      <c r="G858" s="8"/>
    </row>
    <row r="859" spans="2:7" ht="14.25" customHeight="1" x14ac:dyDescent="0.35">
      <c r="B859" s="8"/>
      <c r="E859" s="8"/>
      <c r="G859" s="8"/>
    </row>
    <row r="860" spans="2:7" ht="14.25" customHeight="1" x14ac:dyDescent="0.35">
      <c r="B860" s="8"/>
      <c r="E860" s="8"/>
      <c r="G860" s="8"/>
    </row>
    <row r="861" spans="2:7" ht="14.25" customHeight="1" x14ac:dyDescent="0.35">
      <c r="B861" s="8"/>
      <c r="E861" s="8"/>
      <c r="G861" s="8"/>
    </row>
    <row r="862" spans="2:7" ht="14.25" customHeight="1" x14ac:dyDescent="0.35">
      <c r="B862" s="8"/>
      <c r="E862" s="8"/>
      <c r="G862" s="8"/>
    </row>
    <row r="863" spans="2:7" ht="14.25" customHeight="1" x14ac:dyDescent="0.35">
      <c r="B863" s="8"/>
      <c r="E863" s="8"/>
      <c r="G863" s="8"/>
    </row>
    <row r="864" spans="2:7" ht="14.25" customHeight="1" x14ac:dyDescent="0.35">
      <c r="B864" s="8"/>
      <c r="E864" s="8"/>
      <c r="G864" s="8"/>
    </row>
    <row r="865" spans="2:7" ht="14.25" customHeight="1" x14ac:dyDescent="0.35">
      <c r="B865" s="8"/>
      <c r="E865" s="8"/>
      <c r="G865" s="8"/>
    </row>
    <row r="866" spans="2:7" ht="14.25" customHeight="1" x14ac:dyDescent="0.35">
      <c r="B866" s="8"/>
      <c r="E866" s="8"/>
      <c r="G866" s="8"/>
    </row>
    <row r="867" spans="2:7" ht="14.25" customHeight="1" x14ac:dyDescent="0.35">
      <c r="B867" s="8"/>
      <c r="E867" s="8"/>
      <c r="G867" s="8"/>
    </row>
    <row r="868" spans="2:7" ht="14.25" customHeight="1" x14ac:dyDescent="0.35">
      <c r="B868" s="8"/>
      <c r="E868" s="8"/>
      <c r="G868" s="8"/>
    </row>
    <row r="869" spans="2:7" ht="14.25" customHeight="1" x14ac:dyDescent="0.35">
      <c r="B869" s="8"/>
      <c r="E869" s="8"/>
      <c r="G869" s="8"/>
    </row>
    <row r="870" spans="2:7" ht="14.25" customHeight="1" x14ac:dyDescent="0.35">
      <c r="B870" s="8"/>
      <c r="E870" s="8"/>
      <c r="G870" s="8"/>
    </row>
    <row r="871" spans="2:7" ht="14.25" customHeight="1" x14ac:dyDescent="0.35">
      <c r="B871" s="8"/>
      <c r="E871" s="8"/>
      <c r="G871" s="8"/>
    </row>
    <row r="872" spans="2:7" ht="14.25" customHeight="1" x14ac:dyDescent="0.35">
      <c r="B872" s="8"/>
      <c r="E872" s="8"/>
      <c r="G872" s="8"/>
    </row>
    <row r="873" spans="2:7" ht="14.25" customHeight="1" x14ac:dyDescent="0.35">
      <c r="B873" s="8"/>
      <c r="E873" s="8"/>
      <c r="G873" s="8"/>
    </row>
    <row r="874" spans="2:7" ht="14.25" customHeight="1" x14ac:dyDescent="0.35">
      <c r="B874" s="8"/>
      <c r="E874" s="8"/>
      <c r="G874" s="8"/>
    </row>
    <row r="875" spans="2:7" ht="14.25" customHeight="1" x14ac:dyDescent="0.35">
      <c r="B875" s="8"/>
      <c r="E875" s="8"/>
      <c r="G875" s="8"/>
    </row>
    <row r="876" spans="2:7" ht="14.25" customHeight="1" x14ac:dyDescent="0.35">
      <c r="B876" s="8"/>
      <c r="E876" s="8"/>
      <c r="G876" s="8"/>
    </row>
    <row r="877" spans="2:7" ht="14.25" customHeight="1" x14ac:dyDescent="0.35">
      <c r="B877" s="8"/>
      <c r="E877" s="8"/>
      <c r="G877" s="8"/>
    </row>
    <row r="878" spans="2:7" ht="14.25" customHeight="1" x14ac:dyDescent="0.35">
      <c r="B878" s="8"/>
      <c r="E878" s="8"/>
      <c r="G878" s="8"/>
    </row>
    <row r="879" spans="2:7" ht="14.25" customHeight="1" x14ac:dyDescent="0.35">
      <c r="B879" s="8"/>
      <c r="E879" s="8"/>
      <c r="G879" s="8"/>
    </row>
    <row r="880" spans="2:7" ht="14.25" customHeight="1" x14ac:dyDescent="0.35">
      <c r="B880" s="8"/>
      <c r="E880" s="8"/>
      <c r="G880" s="8"/>
    </row>
    <row r="881" spans="2:7" ht="14.25" customHeight="1" x14ac:dyDescent="0.35">
      <c r="B881" s="8"/>
      <c r="E881" s="8"/>
      <c r="G881" s="8"/>
    </row>
    <row r="882" spans="2:7" ht="14.25" customHeight="1" x14ac:dyDescent="0.35">
      <c r="B882" s="8"/>
      <c r="E882" s="8"/>
      <c r="G882" s="8"/>
    </row>
    <row r="883" spans="2:7" ht="14.25" customHeight="1" x14ac:dyDescent="0.35">
      <c r="B883" s="8"/>
      <c r="E883" s="8"/>
      <c r="G883" s="8"/>
    </row>
    <row r="884" spans="2:7" ht="14.25" customHeight="1" x14ac:dyDescent="0.35">
      <c r="B884" s="8"/>
      <c r="E884" s="8"/>
      <c r="G884" s="8"/>
    </row>
    <row r="885" spans="2:7" ht="14.25" customHeight="1" x14ac:dyDescent="0.35">
      <c r="B885" s="8"/>
      <c r="E885" s="8"/>
      <c r="G885" s="8"/>
    </row>
    <row r="886" spans="2:7" ht="14.25" customHeight="1" x14ac:dyDescent="0.35">
      <c r="B886" s="8"/>
      <c r="E886" s="8"/>
      <c r="G886" s="8"/>
    </row>
    <row r="887" spans="2:7" ht="14.25" customHeight="1" x14ac:dyDescent="0.35">
      <c r="B887" s="8"/>
      <c r="E887" s="8"/>
      <c r="G887" s="8"/>
    </row>
    <row r="888" spans="2:7" ht="14.25" customHeight="1" x14ac:dyDescent="0.35">
      <c r="B888" s="8"/>
      <c r="E888" s="8"/>
      <c r="G888" s="8"/>
    </row>
    <row r="889" spans="2:7" ht="14.25" customHeight="1" x14ac:dyDescent="0.35">
      <c r="B889" s="8"/>
      <c r="E889" s="8"/>
      <c r="G889" s="8"/>
    </row>
    <row r="890" spans="2:7" ht="14.25" customHeight="1" x14ac:dyDescent="0.35">
      <c r="B890" s="8"/>
      <c r="E890" s="8"/>
      <c r="G890" s="8"/>
    </row>
    <row r="891" spans="2:7" ht="14.25" customHeight="1" x14ac:dyDescent="0.35">
      <c r="B891" s="8"/>
      <c r="E891" s="8"/>
      <c r="G891" s="8"/>
    </row>
    <row r="892" spans="2:7" ht="14.25" customHeight="1" x14ac:dyDescent="0.35">
      <c r="B892" s="8"/>
      <c r="E892" s="8"/>
      <c r="G892" s="8"/>
    </row>
    <row r="893" spans="2:7" ht="14.25" customHeight="1" x14ac:dyDescent="0.35">
      <c r="B893" s="8"/>
      <c r="E893" s="8"/>
      <c r="G893" s="8"/>
    </row>
    <row r="894" spans="2:7" ht="14.25" customHeight="1" x14ac:dyDescent="0.35">
      <c r="B894" s="8"/>
      <c r="E894" s="8"/>
      <c r="G894" s="8"/>
    </row>
    <row r="895" spans="2:7" ht="14.25" customHeight="1" x14ac:dyDescent="0.35">
      <c r="B895" s="8"/>
      <c r="E895" s="8"/>
      <c r="G895" s="8"/>
    </row>
    <row r="896" spans="2:7" ht="14.25" customHeight="1" x14ac:dyDescent="0.35">
      <c r="B896" s="8"/>
      <c r="E896" s="8"/>
      <c r="G896" s="8"/>
    </row>
    <row r="897" spans="2:7" ht="14.25" customHeight="1" x14ac:dyDescent="0.35">
      <c r="B897" s="8"/>
      <c r="E897" s="8"/>
      <c r="G897" s="8"/>
    </row>
    <row r="898" spans="2:7" ht="14.25" customHeight="1" x14ac:dyDescent="0.35">
      <c r="B898" s="8"/>
      <c r="E898" s="8"/>
      <c r="G898" s="8"/>
    </row>
    <row r="899" spans="2:7" ht="14.25" customHeight="1" x14ac:dyDescent="0.35">
      <c r="B899" s="8"/>
      <c r="E899" s="8"/>
      <c r="G899" s="8"/>
    </row>
    <row r="900" spans="2:7" ht="14.25" customHeight="1" x14ac:dyDescent="0.35">
      <c r="B900" s="8"/>
      <c r="E900" s="8"/>
      <c r="G900" s="8"/>
    </row>
    <row r="901" spans="2:7" ht="14.25" customHeight="1" x14ac:dyDescent="0.35">
      <c r="B901" s="8"/>
      <c r="E901" s="8"/>
      <c r="G901" s="8"/>
    </row>
    <row r="902" spans="2:7" ht="14.25" customHeight="1" x14ac:dyDescent="0.35">
      <c r="B902" s="8"/>
      <c r="E902" s="8"/>
      <c r="G902" s="8"/>
    </row>
    <row r="903" spans="2:7" ht="14.25" customHeight="1" x14ac:dyDescent="0.35">
      <c r="B903" s="8"/>
      <c r="E903" s="8"/>
      <c r="G903" s="8"/>
    </row>
    <row r="904" spans="2:7" ht="14.25" customHeight="1" x14ac:dyDescent="0.35">
      <c r="B904" s="8"/>
      <c r="E904" s="8"/>
      <c r="G904" s="8"/>
    </row>
    <row r="905" spans="2:7" ht="14.25" customHeight="1" x14ac:dyDescent="0.35">
      <c r="B905" s="8"/>
      <c r="E905" s="8"/>
      <c r="G905" s="8"/>
    </row>
    <row r="906" spans="2:7" ht="14.25" customHeight="1" x14ac:dyDescent="0.35">
      <c r="B906" s="8"/>
      <c r="E906" s="8"/>
      <c r="G906" s="8"/>
    </row>
    <row r="907" spans="2:7" ht="14.25" customHeight="1" x14ac:dyDescent="0.35">
      <c r="B907" s="8"/>
      <c r="E907" s="8"/>
      <c r="G907" s="8"/>
    </row>
    <row r="908" spans="2:7" ht="14.25" customHeight="1" x14ac:dyDescent="0.35">
      <c r="B908" s="8"/>
      <c r="E908" s="8"/>
      <c r="G908" s="8"/>
    </row>
    <row r="909" spans="2:7" ht="14.25" customHeight="1" x14ac:dyDescent="0.35">
      <c r="B909" s="8"/>
      <c r="E909" s="8"/>
      <c r="G909" s="8"/>
    </row>
    <row r="910" spans="2:7" ht="14.25" customHeight="1" x14ac:dyDescent="0.35">
      <c r="B910" s="8"/>
      <c r="E910" s="8"/>
      <c r="G910" s="8"/>
    </row>
    <row r="911" spans="2:7" ht="14.25" customHeight="1" x14ac:dyDescent="0.35">
      <c r="B911" s="8"/>
      <c r="E911" s="8"/>
      <c r="G911" s="8"/>
    </row>
    <row r="912" spans="2:7" ht="14.25" customHeight="1" x14ac:dyDescent="0.35">
      <c r="B912" s="8"/>
      <c r="E912" s="8"/>
      <c r="G912" s="8"/>
    </row>
    <row r="913" spans="2:7" ht="14.25" customHeight="1" x14ac:dyDescent="0.35">
      <c r="B913" s="8"/>
      <c r="E913" s="8"/>
      <c r="G913" s="8"/>
    </row>
    <row r="914" spans="2:7" ht="14.25" customHeight="1" x14ac:dyDescent="0.35">
      <c r="B914" s="8"/>
      <c r="E914" s="8"/>
      <c r="G914" s="8"/>
    </row>
    <row r="915" spans="2:7" ht="14.25" customHeight="1" x14ac:dyDescent="0.35">
      <c r="B915" s="8"/>
      <c r="E915" s="8"/>
      <c r="G915" s="8"/>
    </row>
    <row r="916" spans="2:7" ht="14.25" customHeight="1" x14ac:dyDescent="0.35">
      <c r="B916" s="8"/>
      <c r="E916" s="8"/>
      <c r="G916" s="8"/>
    </row>
    <row r="917" spans="2:7" ht="14.25" customHeight="1" x14ac:dyDescent="0.35">
      <c r="B917" s="8"/>
      <c r="E917" s="8"/>
      <c r="G917" s="8"/>
    </row>
    <row r="918" spans="2:7" ht="14.25" customHeight="1" x14ac:dyDescent="0.35">
      <c r="B918" s="8"/>
      <c r="E918" s="8"/>
      <c r="G918" s="8"/>
    </row>
    <row r="919" spans="2:7" ht="14.25" customHeight="1" x14ac:dyDescent="0.35">
      <c r="B919" s="8"/>
      <c r="E919" s="8"/>
      <c r="G919" s="8"/>
    </row>
    <row r="920" spans="2:7" ht="14.25" customHeight="1" x14ac:dyDescent="0.35">
      <c r="B920" s="8"/>
      <c r="E920" s="8"/>
      <c r="G920" s="8"/>
    </row>
    <row r="921" spans="2:7" ht="14.25" customHeight="1" x14ac:dyDescent="0.35">
      <c r="B921" s="8"/>
      <c r="E921" s="8"/>
      <c r="G921" s="8"/>
    </row>
    <row r="922" spans="2:7" ht="14.25" customHeight="1" x14ac:dyDescent="0.35">
      <c r="B922" s="8"/>
      <c r="E922" s="8"/>
      <c r="G922" s="8"/>
    </row>
    <row r="923" spans="2:7" ht="14.25" customHeight="1" x14ac:dyDescent="0.35">
      <c r="B923" s="8"/>
      <c r="E923" s="8"/>
      <c r="G923" s="8"/>
    </row>
    <row r="924" spans="2:7" ht="14.25" customHeight="1" x14ac:dyDescent="0.35">
      <c r="B924" s="8"/>
      <c r="E924" s="8"/>
      <c r="G924" s="8"/>
    </row>
    <row r="925" spans="2:7" ht="14.25" customHeight="1" x14ac:dyDescent="0.35">
      <c r="B925" s="8"/>
      <c r="E925" s="8"/>
      <c r="G925" s="8"/>
    </row>
    <row r="926" spans="2:7" ht="14.25" customHeight="1" x14ac:dyDescent="0.35">
      <c r="B926" s="8"/>
      <c r="E926" s="8"/>
      <c r="G926" s="8"/>
    </row>
    <row r="927" spans="2:7" ht="14.25" customHeight="1" x14ac:dyDescent="0.35">
      <c r="B927" s="8"/>
      <c r="E927" s="8"/>
      <c r="G927" s="8"/>
    </row>
    <row r="928" spans="2:7" ht="14.25" customHeight="1" x14ac:dyDescent="0.35">
      <c r="B928" s="8"/>
      <c r="E928" s="8"/>
      <c r="G928" s="8"/>
    </row>
    <row r="929" spans="2:7" ht="14.25" customHeight="1" x14ac:dyDescent="0.35">
      <c r="B929" s="8"/>
      <c r="E929" s="8"/>
      <c r="G929" s="8"/>
    </row>
    <row r="930" spans="2:7" ht="14.25" customHeight="1" x14ac:dyDescent="0.35">
      <c r="B930" s="8"/>
      <c r="E930" s="8"/>
      <c r="G930" s="8"/>
    </row>
    <row r="931" spans="2:7" ht="14.25" customHeight="1" x14ac:dyDescent="0.35">
      <c r="B931" s="8"/>
      <c r="E931" s="8"/>
      <c r="G931" s="8"/>
    </row>
    <row r="932" spans="2:7" ht="14.25" customHeight="1" x14ac:dyDescent="0.35">
      <c r="B932" s="8"/>
      <c r="E932" s="8"/>
      <c r="G932" s="8"/>
    </row>
    <row r="933" spans="2:7" ht="14.25" customHeight="1" x14ac:dyDescent="0.35">
      <c r="B933" s="8"/>
      <c r="E933" s="8"/>
      <c r="G933" s="8"/>
    </row>
    <row r="934" spans="2:7" ht="14.25" customHeight="1" x14ac:dyDescent="0.35">
      <c r="B934" s="8"/>
      <c r="E934" s="8"/>
      <c r="G934" s="8"/>
    </row>
    <row r="935" spans="2:7" ht="14.25" customHeight="1" x14ac:dyDescent="0.35">
      <c r="B935" s="8"/>
      <c r="E935" s="8"/>
      <c r="G935" s="8"/>
    </row>
    <row r="936" spans="2:7" ht="14.25" customHeight="1" x14ac:dyDescent="0.35">
      <c r="B936" s="8"/>
      <c r="E936" s="8"/>
      <c r="G936" s="8"/>
    </row>
    <row r="937" spans="2:7" ht="14.25" customHeight="1" x14ac:dyDescent="0.35">
      <c r="B937" s="8"/>
      <c r="E937" s="8"/>
      <c r="G937" s="8"/>
    </row>
    <row r="938" spans="2:7" ht="14.25" customHeight="1" x14ac:dyDescent="0.35">
      <c r="B938" s="8"/>
      <c r="E938" s="8"/>
      <c r="G938" s="8"/>
    </row>
    <row r="939" spans="2:7" ht="14.25" customHeight="1" x14ac:dyDescent="0.35">
      <c r="B939" s="8"/>
      <c r="E939" s="8"/>
      <c r="G939" s="8"/>
    </row>
    <row r="940" spans="2:7" ht="14.25" customHeight="1" x14ac:dyDescent="0.35">
      <c r="B940" s="8"/>
      <c r="E940" s="8"/>
      <c r="G940" s="8"/>
    </row>
    <row r="941" spans="2:7" ht="14.25" customHeight="1" x14ac:dyDescent="0.35">
      <c r="B941" s="8"/>
      <c r="E941" s="8"/>
      <c r="G941" s="8"/>
    </row>
    <row r="942" spans="2:7" ht="14.25" customHeight="1" x14ac:dyDescent="0.35">
      <c r="B942" s="8"/>
      <c r="E942" s="8"/>
      <c r="G942" s="8"/>
    </row>
    <row r="943" spans="2:7" ht="14.25" customHeight="1" x14ac:dyDescent="0.35">
      <c r="B943" s="8"/>
      <c r="E943" s="8"/>
      <c r="G943" s="8"/>
    </row>
    <row r="944" spans="2:7" ht="14.25" customHeight="1" x14ac:dyDescent="0.35">
      <c r="B944" s="8"/>
      <c r="E944" s="8"/>
      <c r="G944" s="8"/>
    </row>
    <row r="945" spans="2:7" ht="14.25" customHeight="1" x14ac:dyDescent="0.35">
      <c r="B945" s="8"/>
      <c r="E945" s="8"/>
      <c r="G945" s="8"/>
    </row>
    <row r="946" spans="2:7" ht="14.25" customHeight="1" x14ac:dyDescent="0.35">
      <c r="B946" s="8"/>
      <c r="E946" s="8"/>
      <c r="G946" s="8"/>
    </row>
    <row r="947" spans="2:7" ht="14.25" customHeight="1" x14ac:dyDescent="0.35">
      <c r="B947" s="8"/>
      <c r="E947" s="8"/>
      <c r="G947" s="8"/>
    </row>
    <row r="948" spans="2:7" ht="14.25" customHeight="1" x14ac:dyDescent="0.35">
      <c r="B948" s="8"/>
      <c r="E948" s="8"/>
      <c r="G948" s="8"/>
    </row>
    <row r="949" spans="2:7" ht="14.25" customHeight="1" x14ac:dyDescent="0.35">
      <c r="B949" s="8"/>
      <c r="E949" s="8"/>
      <c r="G949" s="8"/>
    </row>
    <row r="950" spans="2:7" ht="14.25" customHeight="1" x14ac:dyDescent="0.35">
      <c r="B950" s="8"/>
      <c r="E950" s="8"/>
      <c r="G950" s="8"/>
    </row>
    <row r="951" spans="2:7" ht="14.25" customHeight="1" x14ac:dyDescent="0.35">
      <c r="B951" s="8"/>
      <c r="E951" s="8"/>
      <c r="G951" s="8"/>
    </row>
    <row r="952" spans="2:7" ht="14.25" customHeight="1" x14ac:dyDescent="0.35">
      <c r="B952" s="8"/>
      <c r="E952" s="8"/>
      <c r="G952" s="8"/>
    </row>
    <row r="953" spans="2:7" ht="14.25" customHeight="1" x14ac:dyDescent="0.35">
      <c r="B953" s="8"/>
      <c r="E953" s="8"/>
      <c r="G953" s="8"/>
    </row>
    <row r="954" spans="2:7" ht="14.25" customHeight="1" x14ac:dyDescent="0.35">
      <c r="B954" s="8"/>
      <c r="E954" s="8"/>
      <c r="G954" s="8"/>
    </row>
    <row r="955" spans="2:7" ht="14.25" customHeight="1" x14ac:dyDescent="0.35">
      <c r="B955" s="8"/>
      <c r="E955" s="8"/>
      <c r="G955" s="8"/>
    </row>
    <row r="956" spans="2:7" ht="14.25" customHeight="1" x14ac:dyDescent="0.35">
      <c r="B956" s="8"/>
      <c r="E956" s="8"/>
      <c r="G956" s="8"/>
    </row>
    <row r="957" spans="2:7" ht="14.25" customHeight="1" x14ac:dyDescent="0.35">
      <c r="B957" s="8"/>
      <c r="E957" s="8"/>
      <c r="G957" s="8"/>
    </row>
    <row r="958" spans="2:7" ht="14.25" customHeight="1" x14ac:dyDescent="0.35">
      <c r="B958" s="8"/>
      <c r="E958" s="8"/>
      <c r="G958" s="8"/>
    </row>
    <row r="959" spans="2:7" ht="14.25" customHeight="1" x14ac:dyDescent="0.35">
      <c r="B959" s="8"/>
      <c r="E959" s="8"/>
      <c r="G959" s="8"/>
    </row>
    <row r="960" spans="2:7" ht="14.25" customHeight="1" x14ac:dyDescent="0.35">
      <c r="B960" s="8"/>
      <c r="E960" s="8"/>
      <c r="G960" s="8"/>
    </row>
    <row r="961" spans="2:7" ht="14.25" customHeight="1" x14ac:dyDescent="0.35">
      <c r="B961" s="8"/>
      <c r="E961" s="8"/>
      <c r="G961" s="8"/>
    </row>
    <row r="962" spans="2:7" ht="14.25" customHeight="1" x14ac:dyDescent="0.35">
      <c r="B962" s="8"/>
      <c r="E962" s="8"/>
      <c r="G962" s="8"/>
    </row>
    <row r="963" spans="2:7" ht="14.25" customHeight="1" x14ac:dyDescent="0.35">
      <c r="B963" s="8"/>
      <c r="E963" s="8"/>
      <c r="G963" s="8"/>
    </row>
    <row r="964" spans="2:7" ht="14.25" customHeight="1" x14ac:dyDescent="0.35">
      <c r="B964" s="8"/>
      <c r="E964" s="8"/>
      <c r="G964" s="8"/>
    </row>
    <row r="965" spans="2:7" ht="14.25" customHeight="1" x14ac:dyDescent="0.35">
      <c r="B965" s="8"/>
      <c r="E965" s="8"/>
      <c r="G965" s="8"/>
    </row>
    <row r="966" spans="2:7" ht="14.25" customHeight="1" x14ac:dyDescent="0.35">
      <c r="B966" s="8"/>
      <c r="E966" s="8"/>
      <c r="G966" s="8"/>
    </row>
    <row r="967" spans="2:7" ht="14.25" customHeight="1" x14ac:dyDescent="0.35">
      <c r="B967" s="8"/>
      <c r="E967" s="8"/>
      <c r="G967" s="8"/>
    </row>
    <row r="968" spans="2:7" ht="14.25" customHeight="1" x14ac:dyDescent="0.35">
      <c r="B968" s="8"/>
      <c r="E968" s="8"/>
      <c r="G968" s="8"/>
    </row>
    <row r="969" spans="2:7" ht="14.25" customHeight="1" x14ac:dyDescent="0.35">
      <c r="B969" s="8"/>
      <c r="E969" s="8"/>
      <c r="G969" s="8"/>
    </row>
    <row r="970" spans="2:7" ht="14.25" customHeight="1" x14ac:dyDescent="0.35">
      <c r="B970" s="8"/>
      <c r="E970" s="8"/>
      <c r="G970" s="8"/>
    </row>
    <row r="971" spans="2:7" ht="14.25" customHeight="1" x14ac:dyDescent="0.35">
      <c r="B971" s="8"/>
      <c r="E971" s="8"/>
      <c r="G971" s="8"/>
    </row>
    <row r="972" spans="2:7" ht="14.25" customHeight="1" x14ac:dyDescent="0.35">
      <c r="B972" s="8"/>
      <c r="E972" s="8"/>
      <c r="G972" s="8"/>
    </row>
    <row r="973" spans="2:7" ht="14.25" customHeight="1" x14ac:dyDescent="0.35">
      <c r="B973" s="8"/>
      <c r="E973" s="8"/>
      <c r="G973" s="8"/>
    </row>
    <row r="974" spans="2:7" ht="14.25" customHeight="1" x14ac:dyDescent="0.35">
      <c r="B974" s="8"/>
      <c r="E974" s="8"/>
      <c r="G974" s="8"/>
    </row>
    <row r="975" spans="2:7" ht="14.25" customHeight="1" x14ac:dyDescent="0.35">
      <c r="B975" s="8"/>
      <c r="E975" s="8"/>
      <c r="G975" s="8"/>
    </row>
    <row r="976" spans="2:7" ht="14.25" customHeight="1" x14ac:dyDescent="0.35">
      <c r="B976" s="8"/>
      <c r="E976" s="8"/>
      <c r="G976" s="8"/>
    </row>
    <row r="977" spans="2:7" ht="14.25" customHeight="1" x14ac:dyDescent="0.35">
      <c r="B977" s="8"/>
      <c r="E977" s="8"/>
      <c r="G977" s="8"/>
    </row>
    <row r="978" spans="2:7" ht="14.25" customHeight="1" x14ac:dyDescent="0.35">
      <c r="B978" s="8"/>
      <c r="E978" s="8"/>
      <c r="G978" s="8"/>
    </row>
    <row r="979" spans="2:7" ht="14.25" customHeight="1" x14ac:dyDescent="0.35">
      <c r="B979" s="8"/>
      <c r="E979" s="8"/>
      <c r="G979" s="8"/>
    </row>
    <row r="980" spans="2:7" ht="14.25" customHeight="1" x14ac:dyDescent="0.35">
      <c r="B980" s="8"/>
      <c r="E980" s="8"/>
      <c r="G980" s="8"/>
    </row>
    <row r="981" spans="2:7" ht="14.25" customHeight="1" x14ac:dyDescent="0.35">
      <c r="B981" s="8"/>
      <c r="E981" s="8"/>
      <c r="G981" s="8"/>
    </row>
    <row r="982" spans="2:7" ht="14.25" customHeight="1" x14ac:dyDescent="0.35">
      <c r="B982" s="8"/>
      <c r="E982" s="8"/>
      <c r="G982" s="8"/>
    </row>
    <row r="983" spans="2:7" ht="14.25" customHeight="1" x14ac:dyDescent="0.35">
      <c r="B983" s="8"/>
      <c r="E983" s="8"/>
      <c r="G983" s="8"/>
    </row>
    <row r="984" spans="2:7" ht="14.25" customHeight="1" x14ac:dyDescent="0.35">
      <c r="B984" s="8"/>
      <c r="E984" s="8"/>
      <c r="G984" s="8"/>
    </row>
    <row r="985" spans="2:7" ht="14.25" customHeight="1" x14ac:dyDescent="0.35">
      <c r="B985" s="8"/>
      <c r="E985" s="8"/>
      <c r="G985" s="8"/>
    </row>
    <row r="986" spans="2:7" ht="14.25" customHeight="1" x14ac:dyDescent="0.35">
      <c r="B986" s="8"/>
      <c r="E986" s="8"/>
      <c r="G986" s="8"/>
    </row>
    <row r="987" spans="2:7" ht="14.25" customHeight="1" x14ac:dyDescent="0.35">
      <c r="B987" s="8"/>
      <c r="E987" s="8"/>
      <c r="G987" s="8"/>
    </row>
    <row r="988" spans="2:7" ht="14.25" customHeight="1" x14ac:dyDescent="0.35">
      <c r="B988" s="8"/>
      <c r="E988" s="8"/>
      <c r="G988" s="8"/>
    </row>
    <row r="989" spans="2:7" ht="14.25" customHeight="1" x14ac:dyDescent="0.35">
      <c r="B989" s="8"/>
      <c r="E989" s="8"/>
      <c r="G989" s="8"/>
    </row>
    <row r="990" spans="2:7" ht="14.25" customHeight="1" x14ac:dyDescent="0.35">
      <c r="B990" s="8"/>
      <c r="E990" s="8"/>
      <c r="G990" s="8"/>
    </row>
    <row r="991" spans="2:7" ht="14.25" customHeight="1" x14ac:dyDescent="0.35">
      <c r="B991" s="8"/>
      <c r="E991" s="8"/>
      <c r="G991" s="8"/>
    </row>
    <row r="992" spans="2:7" ht="14.25" customHeight="1" x14ac:dyDescent="0.35">
      <c r="B992" s="8"/>
      <c r="E992" s="8"/>
      <c r="G992" s="8"/>
    </row>
    <row r="993" spans="2:7" ht="14.25" customHeight="1" x14ac:dyDescent="0.35">
      <c r="B993" s="8"/>
      <c r="E993" s="8"/>
      <c r="G993" s="8"/>
    </row>
    <row r="994" spans="2:7" ht="14.25" customHeight="1" x14ac:dyDescent="0.35">
      <c r="B994" s="8"/>
      <c r="E994" s="8"/>
      <c r="G994" s="8"/>
    </row>
    <row r="995" spans="2:7" ht="14.25" customHeight="1" x14ac:dyDescent="0.35">
      <c r="B995" s="8"/>
      <c r="E995" s="8"/>
      <c r="G995" s="8"/>
    </row>
    <row r="996" spans="2:7" ht="14.25" customHeight="1" x14ac:dyDescent="0.35">
      <c r="B996" s="8"/>
      <c r="E996" s="8"/>
      <c r="G996" s="8"/>
    </row>
    <row r="997" spans="2:7" ht="14.25" customHeight="1" x14ac:dyDescent="0.35">
      <c r="B997" s="8"/>
      <c r="E997" s="8"/>
      <c r="G997" s="8"/>
    </row>
    <row r="998" spans="2:7" ht="14.25" customHeight="1" x14ac:dyDescent="0.35">
      <c r="B998" s="8"/>
      <c r="E998" s="8"/>
      <c r="G998" s="8"/>
    </row>
    <row r="999" spans="2:7" ht="14.25" customHeight="1" x14ac:dyDescent="0.35">
      <c r="B999" s="8"/>
      <c r="E999" s="8"/>
      <c r="G999" s="8"/>
    </row>
    <row r="1000" spans="2:7" ht="14.25" customHeight="1" x14ac:dyDescent="0.35">
      <c r="B1000" s="8"/>
      <c r="E1000" s="8"/>
      <c r="G1000" s="8"/>
    </row>
  </sheetData>
  <autoFilter ref="E1:E1000" xr:uid="{00000000-0001-0000-0200-000000000000}">
    <sortState xmlns:xlrd2="http://schemas.microsoft.com/office/spreadsheetml/2017/richdata2" ref="A2:H1000">
      <sortCondition descending="1" ref="E1:E1000"/>
    </sortState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DD33-135C-438D-B7CC-7F0B4A7B836F}">
  <dimension ref="A1:J1000"/>
  <sheetViews>
    <sheetView tabSelected="1" topLeftCell="A13" workbookViewId="0">
      <selection activeCell="D16" sqref="D16"/>
    </sheetView>
  </sheetViews>
  <sheetFormatPr defaultColWidth="14.453125" defaultRowHeight="14.5" x14ac:dyDescent="0.35"/>
  <cols>
    <col min="1" max="7" width="17.7265625" customWidth="1"/>
    <col min="8" max="8" width="20.08984375" customWidth="1"/>
    <col min="9" max="9" width="19.26953125" customWidth="1"/>
    <col min="10" max="28" width="17.7265625" customWidth="1"/>
  </cols>
  <sheetData>
    <row r="1" spans="1:10" ht="14.25" customHeight="1" x14ac:dyDescent="0.35">
      <c r="A1" s="1" t="s">
        <v>12</v>
      </c>
      <c r="B1" s="2" t="s">
        <v>412</v>
      </c>
      <c r="C1" s="1" t="s">
        <v>413</v>
      </c>
      <c r="D1" s="1" t="s">
        <v>446</v>
      </c>
      <c r="E1" s="1" t="s">
        <v>447</v>
      </c>
      <c r="F1" s="1" t="s">
        <v>448</v>
      </c>
      <c r="G1" s="1" t="s">
        <v>449</v>
      </c>
      <c r="H1" s="1" t="s">
        <v>450</v>
      </c>
      <c r="I1" s="1" t="s">
        <v>451</v>
      </c>
      <c r="J1" s="1" t="s">
        <v>452</v>
      </c>
    </row>
    <row r="2" spans="1:10" ht="14.25" customHeight="1" x14ac:dyDescent="0.35">
      <c r="A2" s="6" t="s">
        <v>35</v>
      </c>
      <c r="B2" s="7" t="s">
        <v>428</v>
      </c>
      <c r="C2" s="6" t="s">
        <v>409</v>
      </c>
      <c r="D2" s="6">
        <f>C2-B2+1</f>
        <v>31</v>
      </c>
      <c r="E2" s="21">
        <f>B2-D2</f>
        <v>45686</v>
      </c>
      <c r="F2" s="35">
        <f>SUMIFS(post!$L:$L, post!$C:$C, "&gt;=" &amp; B2, post!$C:$C, "&lt;=" &amp; C2)</f>
        <v>106020</v>
      </c>
      <c r="G2" s="35">
        <f>SUMIFS(post!$L:$L, post!$C:$C, "&gt;=" &amp; (B2-30), post!$C:$C, "&lt;=" &amp; B2)</f>
        <v>72976</v>
      </c>
      <c r="H2" s="35">
        <f>F2/D2</f>
        <v>3420</v>
      </c>
      <c r="I2" s="35">
        <f>G2/D2</f>
        <v>2354.0645161290322</v>
      </c>
      <c r="J2" s="35">
        <f>(H2-I2)/H2*100</f>
        <v>31.167704206753445</v>
      </c>
    </row>
    <row r="3" spans="1:10" ht="14.25" customHeight="1" x14ac:dyDescent="0.35">
      <c r="A3" s="6" t="s">
        <v>28</v>
      </c>
      <c r="B3" s="7" t="s">
        <v>424</v>
      </c>
      <c r="C3" s="6" t="s">
        <v>166</v>
      </c>
      <c r="D3" s="6">
        <f>C3-B3+1</f>
        <v>17</v>
      </c>
      <c r="E3" s="21">
        <f>B3-D3</f>
        <v>45634</v>
      </c>
      <c r="F3" s="35">
        <f>SUMIFS(post!$L:$L, post!$C:$C, "&gt;=" &amp; B3, post!$C:$C, "&lt;=" &amp; C3)</f>
        <v>33044</v>
      </c>
      <c r="G3" s="35">
        <f>SUMIFS(post!$L:$L, post!$C:$C, "&gt;=" &amp; (B3-30), post!$C:$C, "&lt;=" &amp; B3)</f>
        <v>104809</v>
      </c>
      <c r="H3" s="35">
        <f>F3/D3</f>
        <v>1943.7647058823529</v>
      </c>
      <c r="I3" s="35">
        <f>G3/D3</f>
        <v>6165.2352941176468</v>
      </c>
      <c r="J3" s="35">
        <f t="shared" ref="J3:J5" si="0">(H3-I3)/H3*100</f>
        <v>-217.18012347173465</v>
      </c>
    </row>
    <row r="4" spans="1:10" ht="14.25" customHeight="1" x14ac:dyDescent="0.35">
      <c r="A4" s="6" t="s">
        <v>22</v>
      </c>
      <c r="B4" s="7" t="s">
        <v>421</v>
      </c>
      <c r="C4" s="6" t="s">
        <v>39</v>
      </c>
      <c r="D4" s="6">
        <f>C4-B4+1</f>
        <v>31</v>
      </c>
      <c r="E4" s="21">
        <f>B4-D4</f>
        <v>45535</v>
      </c>
      <c r="F4" s="35">
        <f>SUMIFS(post!$L:$L, post!$C:$C, "&gt;=" &amp; B4, post!$C:$C, "&lt;=" &amp; C4)</f>
        <v>137691</v>
      </c>
      <c r="G4" s="35">
        <f>SUMIFS(post!$L:$L, post!$C:$C, "&gt;=" &amp; (B4-30), post!$C:$C, "&lt;=" &amp; B4)</f>
        <v>50228</v>
      </c>
      <c r="H4" s="35">
        <f>F4/D4</f>
        <v>4441.6451612903229</v>
      </c>
      <c r="I4" s="35">
        <f t="shared" ref="I4:I5" si="1">G4/D4</f>
        <v>1620.258064516129</v>
      </c>
      <c r="J4" s="35">
        <f>(H4-I4)/H4*100</f>
        <v>63.521217799275199</v>
      </c>
    </row>
    <row r="5" spans="1:10" ht="14.25" customHeight="1" x14ac:dyDescent="0.35">
      <c r="A5" s="4" t="s">
        <v>18</v>
      </c>
      <c r="B5" s="7" t="s">
        <v>418</v>
      </c>
      <c r="C5" s="6" t="s">
        <v>223</v>
      </c>
      <c r="D5" s="6">
        <f>C5-B5+1</f>
        <v>31</v>
      </c>
      <c r="E5" s="21">
        <f>B5-D5</f>
        <v>45427</v>
      </c>
      <c r="F5" s="35">
        <f>SUMIFS(post!$L:$L, post!$C:$C, "&gt;=" &amp; B5, post!$C:$C, "&lt;=" &amp; C5)</f>
        <v>103773</v>
      </c>
      <c r="G5" s="35">
        <f>SUMIFS(post!$L:$L, post!$C:$C, "&gt;=" &amp; (B5-30), post!$C:$C, "&lt;=" &amp; B5)</f>
        <v>47286</v>
      </c>
      <c r="H5" s="35">
        <f>F5/D5</f>
        <v>3347.516129032258</v>
      </c>
      <c r="I5" s="35">
        <f t="shared" si="1"/>
        <v>1525.3548387096773</v>
      </c>
      <c r="J5" s="35">
        <f t="shared" si="0"/>
        <v>54.433234078228445</v>
      </c>
    </row>
    <row r="6" spans="1:10" ht="14.25" customHeight="1" x14ac:dyDescent="0.35">
      <c r="B6" s="8"/>
    </row>
    <row r="7" spans="1:10" ht="14.25" customHeight="1" x14ac:dyDescent="0.35">
      <c r="B7" s="8"/>
    </row>
    <row r="8" spans="1:10" ht="14.25" customHeight="1" x14ac:dyDescent="0.35">
      <c r="B8" s="8"/>
    </row>
    <row r="9" spans="1:10" ht="14.25" customHeight="1" x14ac:dyDescent="0.35">
      <c r="B9" s="8"/>
    </row>
    <row r="10" spans="1:10" ht="14.25" customHeight="1" x14ac:dyDescent="0.35">
      <c r="B10" s="8"/>
    </row>
    <row r="11" spans="1:10" ht="14.25" customHeight="1" x14ac:dyDescent="0.35">
      <c r="B11" s="8"/>
    </row>
    <row r="12" spans="1:10" ht="14.25" customHeight="1" x14ac:dyDescent="0.35">
      <c r="B12" s="8"/>
    </row>
    <row r="13" spans="1:10" ht="14.25" customHeight="1" x14ac:dyDescent="0.35">
      <c r="B13" s="8"/>
    </row>
    <row r="14" spans="1:10" ht="14.25" customHeight="1" x14ac:dyDescent="0.35">
      <c r="B14" s="8"/>
    </row>
    <row r="15" spans="1:10" ht="14.25" customHeight="1" x14ac:dyDescent="0.35">
      <c r="B15" s="8"/>
      <c r="D15" s="1" t="s">
        <v>12</v>
      </c>
      <c r="E15" s="36" t="s">
        <v>415</v>
      </c>
      <c r="F15" s="38" t="s">
        <v>457</v>
      </c>
      <c r="G15" s="38" t="s">
        <v>458</v>
      </c>
      <c r="H15" s="38" t="s">
        <v>459</v>
      </c>
    </row>
    <row r="16" spans="1:10" ht="14.25" customHeight="1" x14ac:dyDescent="0.35">
      <c r="B16" s="8"/>
      <c r="D16" s="6" t="s">
        <v>28</v>
      </c>
      <c r="E16" s="41">
        <v>250000</v>
      </c>
      <c r="F16" s="37">
        <f>SUMIFS(post!$L$2:$L$301,post!$M$2:$M$301,"=" &amp; D16 )</f>
        <v>232821</v>
      </c>
      <c r="G16" s="39">
        <f>E16/F16</f>
        <v>1.0737862993458493</v>
      </c>
      <c r="H16" s="40">
        <f>_xlfn.RANK.EQ(G16,$G$16:$G$19,0)</f>
        <v>1</v>
      </c>
    </row>
    <row r="17" spans="2:8" ht="14.25" customHeight="1" x14ac:dyDescent="0.35">
      <c r="B17" s="8"/>
      <c r="D17" s="6" t="s">
        <v>22</v>
      </c>
      <c r="E17" s="41">
        <v>200000</v>
      </c>
      <c r="F17" s="37">
        <f>SUMIFS(post!$L$2:$L$301,post!$M$2:$M$301,"=" &amp; D17 )</f>
        <v>201739</v>
      </c>
      <c r="G17" s="39">
        <f>E17/F17</f>
        <v>0.99137995132324441</v>
      </c>
      <c r="H17" s="40">
        <f>_xlfn.RANK.EQ(G17,$G$16:$G$19,0)</f>
        <v>2</v>
      </c>
    </row>
    <row r="18" spans="2:8" ht="14.25" customHeight="1" x14ac:dyDescent="0.35">
      <c r="B18" s="8"/>
      <c r="D18" s="4" t="s">
        <v>18</v>
      </c>
      <c r="E18" s="41">
        <v>150000</v>
      </c>
      <c r="F18" s="37">
        <f>SUMIFS(post!$L$2:$L$301,post!$M$2:$M$301,"=" &amp; D18 )</f>
        <v>173901</v>
      </c>
      <c r="G18" s="39">
        <f>E18/F18</f>
        <v>0.8625597322614591</v>
      </c>
      <c r="H18" s="40">
        <f>_xlfn.RANK.EQ(G18,$G$16:$G$19,0)</f>
        <v>3</v>
      </c>
    </row>
    <row r="19" spans="2:8" ht="14.25" customHeight="1" x14ac:dyDescent="0.35">
      <c r="B19" s="8"/>
      <c r="D19" s="6" t="s">
        <v>35</v>
      </c>
      <c r="E19" s="41">
        <v>180000</v>
      </c>
      <c r="F19" s="37">
        <f>SUMIFS(post!$L$2:$L$301,post!$M$2:$M$301,"=" &amp; D19 )</f>
        <v>240483</v>
      </c>
      <c r="G19" s="39">
        <f>E19/F19</f>
        <v>0.74849365651626099</v>
      </c>
      <c r="H19" s="40">
        <f>_xlfn.RANK.EQ(G19,$G$16:$G$19,0)</f>
        <v>4</v>
      </c>
    </row>
    <row r="20" spans="2:8" ht="14.25" customHeight="1" x14ac:dyDescent="0.35">
      <c r="B20" s="8"/>
    </row>
    <row r="21" spans="2:8" ht="14.25" customHeight="1" x14ac:dyDescent="0.35">
      <c r="B21" s="8"/>
    </row>
    <row r="22" spans="2:8" ht="14.25" customHeight="1" x14ac:dyDescent="0.35">
      <c r="B22" s="8"/>
    </row>
    <row r="23" spans="2:8" ht="14.25" customHeight="1" x14ac:dyDescent="0.35">
      <c r="B23" s="8"/>
    </row>
    <row r="24" spans="2:8" ht="14.25" customHeight="1" x14ac:dyDescent="0.35">
      <c r="B24" s="8"/>
    </row>
    <row r="25" spans="2:8" ht="14.25" customHeight="1" x14ac:dyDescent="0.35">
      <c r="B25" s="8"/>
    </row>
    <row r="26" spans="2:8" ht="14.25" customHeight="1" x14ac:dyDescent="0.35">
      <c r="B26" s="8"/>
    </row>
    <row r="27" spans="2:8" ht="14.25" customHeight="1" x14ac:dyDescent="0.35">
      <c r="B27" s="8"/>
    </row>
    <row r="28" spans="2:8" ht="14.25" customHeight="1" x14ac:dyDescent="0.35">
      <c r="B28" s="8"/>
    </row>
    <row r="29" spans="2:8" ht="14.25" customHeight="1" x14ac:dyDescent="0.35">
      <c r="B29" s="8"/>
    </row>
    <row r="30" spans="2:8" ht="14.25" customHeight="1" x14ac:dyDescent="0.35">
      <c r="B30" s="8"/>
    </row>
    <row r="31" spans="2:8" ht="14.25" customHeight="1" x14ac:dyDescent="0.35">
      <c r="B31" s="8"/>
    </row>
    <row r="32" spans="2:8" ht="14.25" customHeight="1" x14ac:dyDescent="0.35">
      <c r="B32" s="8"/>
    </row>
    <row r="33" spans="2:2" ht="14.25" customHeight="1" x14ac:dyDescent="0.35">
      <c r="B33" s="8"/>
    </row>
    <row r="34" spans="2:2" ht="14.25" customHeight="1" x14ac:dyDescent="0.35">
      <c r="B34" s="8"/>
    </row>
    <row r="35" spans="2:2" ht="14.25" customHeight="1" x14ac:dyDescent="0.35">
      <c r="B35" s="8"/>
    </row>
    <row r="36" spans="2:2" ht="14.25" customHeight="1" x14ac:dyDescent="0.35">
      <c r="B36" s="8"/>
    </row>
    <row r="37" spans="2:2" ht="14.25" customHeight="1" x14ac:dyDescent="0.35">
      <c r="B37" s="8"/>
    </row>
    <row r="38" spans="2:2" ht="14.25" customHeight="1" x14ac:dyDescent="0.35">
      <c r="B38" s="8"/>
    </row>
    <row r="39" spans="2:2" ht="14.25" customHeight="1" x14ac:dyDescent="0.35">
      <c r="B39" s="8"/>
    </row>
    <row r="40" spans="2:2" ht="14.25" customHeight="1" x14ac:dyDescent="0.35">
      <c r="B40" s="8"/>
    </row>
    <row r="41" spans="2:2" ht="14.25" customHeight="1" x14ac:dyDescent="0.35">
      <c r="B41" s="8"/>
    </row>
    <row r="42" spans="2:2" ht="14.25" customHeight="1" x14ac:dyDescent="0.35">
      <c r="B42" s="8"/>
    </row>
    <row r="43" spans="2:2" ht="14.25" customHeight="1" x14ac:dyDescent="0.35">
      <c r="B43" s="8"/>
    </row>
    <row r="44" spans="2:2" ht="14.25" customHeight="1" x14ac:dyDescent="0.35">
      <c r="B44" s="8"/>
    </row>
    <row r="45" spans="2:2" ht="14.25" customHeight="1" x14ac:dyDescent="0.35">
      <c r="B45" s="8"/>
    </row>
    <row r="46" spans="2:2" ht="14.25" customHeight="1" x14ac:dyDescent="0.35">
      <c r="B46" s="8"/>
    </row>
    <row r="47" spans="2:2" ht="14.25" customHeight="1" x14ac:dyDescent="0.35">
      <c r="B47" s="8"/>
    </row>
    <row r="48" spans="2:2" ht="14.25" customHeight="1" x14ac:dyDescent="0.35">
      <c r="B48" s="8"/>
    </row>
    <row r="49" spans="2:2" ht="14.25" customHeight="1" x14ac:dyDescent="0.35">
      <c r="B49" s="8"/>
    </row>
    <row r="50" spans="2:2" ht="14.25" customHeight="1" x14ac:dyDescent="0.35">
      <c r="B50" s="8"/>
    </row>
    <row r="51" spans="2:2" ht="14.25" customHeight="1" x14ac:dyDescent="0.35">
      <c r="B51" s="8"/>
    </row>
    <row r="52" spans="2:2" ht="14.25" customHeight="1" x14ac:dyDescent="0.35">
      <c r="B52" s="8"/>
    </row>
    <row r="53" spans="2:2" ht="14.25" customHeight="1" x14ac:dyDescent="0.35">
      <c r="B53" s="8"/>
    </row>
    <row r="54" spans="2:2" ht="14.25" customHeight="1" x14ac:dyDescent="0.35">
      <c r="B54" s="8"/>
    </row>
    <row r="55" spans="2:2" ht="14.25" customHeight="1" x14ac:dyDescent="0.35">
      <c r="B55" s="8"/>
    </row>
    <row r="56" spans="2:2" ht="14.25" customHeight="1" x14ac:dyDescent="0.35">
      <c r="B56" s="8"/>
    </row>
    <row r="57" spans="2:2" ht="14.25" customHeight="1" x14ac:dyDescent="0.35">
      <c r="B57" s="8"/>
    </row>
    <row r="58" spans="2:2" ht="14.25" customHeight="1" x14ac:dyDescent="0.35">
      <c r="B58" s="8"/>
    </row>
    <row r="59" spans="2:2" ht="14.25" customHeight="1" x14ac:dyDescent="0.35">
      <c r="B59" s="8"/>
    </row>
    <row r="60" spans="2:2" ht="14.25" customHeight="1" x14ac:dyDescent="0.35">
      <c r="B60" s="8"/>
    </row>
    <row r="61" spans="2:2" ht="14.25" customHeight="1" x14ac:dyDescent="0.35">
      <c r="B61" s="8"/>
    </row>
    <row r="62" spans="2:2" ht="14.25" customHeight="1" x14ac:dyDescent="0.35">
      <c r="B62" s="8"/>
    </row>
    <row r="63" spans="2:2" ht="14.25" customHeight="1" x14ac:dyDescent="0.35">
      <c r="B63" s="8"/>
    </row>
    <row r="64" spans="2:2" ht="14.25" customHeight="1" x14ac:dyDescent="0.35">
      <c r="B64" s="8"/>
    </row>
    <row r="65" spans="2:2" ht="14.25" customHeight="1" x14ac:dyDescent="0.35">
      <c r="B65" s="8"/>
    </row>
    <row r="66" spans="2:2" ht="14.25" customHeight="1" x14ac:dyDescent="0.35">
      <c r="B66" s="8"/>
    </row>
    <row r="67" spans="2:2" ht="14.25" customHeight="1" x14ac:dyDescent="0.35">
      <c r="B67" s="8"/>
    </row>
    <row r="68" spans="2:2" ht="14.25" customHeight="1" x14ac:dyDescent="0.35">
      <c r="B68" s="8"/>
    </row>
    <row r="69" spans="2:2" ht="14.25" customHeight="1" x14ac:dyDescent="0.35">
      <c r="B69" s="8"/>
    </row>
    <row r="70" spans="2:2" ht="14.25" customHeight="1" x14ac:dyDescent="0.35">
      <c r="B70" s="8"/>
    </row>
    <row r="71" spans="2:2" ht="14.25" customHeight="1" x14ac:dyDescent="0.35">
      <c r="B71" s="8"/>
    </row>
    <row r="72" spans="2:2" ht="14.25" customHeight="1" x14ac:dyDescent="0.35">
      <c r="B72" s="8"/>
    </row>
    <row r="73" spans="2:2" ht="14.25" customHeight="1" x14ac:dyDescent="0.35">
      <c r="B73" s="8"/>
    </row>
    <row r="74" spans="2:2" ht="14.25" customHeight="1" x14ac:dyDescent="0.35">
      <c r="B74" s="8"/>
    </row>
    <row r="75" spans="2:2" ht="14.25" customHeight="1" x14ac:dyDescent="0.35">
      <c r="B75" s="8"/>
    </row>
    <row r="76" spans="2:2" ht="14.25" customHeight="1" x14ac:dyDescent="0.35">
      <c r="B76" s="8"/>
    </row>
    <row r="77" spans="2:2" ht="14.25" customHeight="1" x14ac:dyDescent="0.35">
      <c r="B77" s="8"/>
    </row>
    <row r="78" spans="2:2" ht="14.25" customHeight="1" x14ac:dyDescent="0.35">
      <c r="B78" s="8"/>
    </row>
    <row r="79" spans="2:2" ht="14.25" customHeight="1" x14ac:dyDescent="0.35">
      <c r="B79" s="8"/>
    </row>
    <row r="80" spans="2:2" ht="14.25" customHeight="1" x14ac:dyDescent="0.35">
      <c r="B80" s="8"/>
    </row>
    <row r="81" spans="2:2" ht="14.25" customHeight="1" x14ac:dyDescent="0.35">
      <c r="B81" s="8"/>
    </row>
    <row r="82" spans="2:2" ht="14.25" customHeight="1" x14ac:dyDescent="0.35">
      <c r="B82" s="8"/>
    </row>
    <row r="83" spans="2:2" ht="14.25" customHeight="1" x14ac:dyDescent="0.35">
      <c r="B83" s="8"/>
    </row>
    <row r="84" spans="2:2" ht="14.25" customHeight="1" x14ac:dyDescent="0.35">
      <c r="B84" s="8"/>
    </row>
    <row r="85" spans="2:2" ht="14.25" customHeight="1" x14ac:dyDescent="0.35">
      <c r="B85" s="8"/>
    </row>
    <row r="86" spans="2:2" ht="14.25" customHeight="1" x14ac:dyDescent="0.35">
      <c r="B86" s="8"/>
    </row>
    <row r="87" spans="2:2" ht="14.25" customHeight="1" x14ac:dyDescent="0.35">
      <c r="B87" s="8"/>
    </row>
    <row r="88" spans="2:2" ht="14.25" customHeight="1" x14ac:dyDescent="0.35">
      <c r="B88" s="8"/>
    </row>
    <row r="89" spans="2:2" ht="14.25" customHeight="1" x14ac:dyDescent="0.35">
      <c r="B89" s="8"/>
    </row>
    <row r="90" spans="2:2" ht="14.25" customHeight="1" x14ac:dyDescent="0.35">
      <c r="B90" s="8"/>
    </row>
    <row r="91" spans="2:2" ht="14.25" customHeight="1" x14ac:dyDescent="0.35">
      <c r="B91" s="8"/>
    </row>
    <row r="92" spans="2:2" ht="14.25" customHeight="1" x14ac:dyDescent="0.35">
      <c r="B92" s="8"/>
    </row>
    <row r="93" spans="2:2" ht="14.25" customHeight="1" x14ac:dyDescent="0.35">
      <c r="B93" s="8"/>
    </row>
    <row r="94" spans="2:2" ht="14.25" customHeight="1" x14ac:dyDescent="0.35">
      <c r="B94" s="8"/>
    </row>
    <row r="95" spans="2:2" ht="14.25" customHeight="1" x14ac:dyDescent="0.35">
      <c r="B95" s="8"/>
    </row>
    <row r="96" spans="2:2" ht="14.25" customHeight="1" x14ac:dyDescent="0.35">
      <c r="B96" s="8"/>
    </row>
    <row r="97" spans="2:2" ht="14.25" customHeight="1" x14ac:dyDescent="0.35">
      <c r="B97" s="8"/>
    </row>
    <row r="98" spans="2:2" ht="14.25" customHeight="1" x14ac:dyDescent="0.35">
      <c r="B98" s="8"/>
    </row>
    <row r="99" spans="2:2" ht="14.25" customHeight="1" x14ac:dyDescent="0.35">
      <c r="B99" s="8"/>
    </row>
    <row r="100" spans="2:2" ht="14.25" customHeight="1" x14ac:dyDescent="0.35">
      <c r="B100" s="8"/>
    </row>
    <row r="101" spans="2:2" ht="14.25" customHeight="1" x14ac:dyDescent="0.35">
      <c r="B101" s="8"/>
    </row>
    <row r="102" spans="2:2" ht="14.25" customHeight="1" x14ac:dyDescent="0.35">
      <c r="B102" s="8"/>
    </row>
    <row r="103" spans="2:2" ht="14.25" customHeight="1" x14ac:dyDescent="0.35">
      <c r="B103" s="8"/>
    </row>
    <row r="104" spans="2:2" ht="14.25" customHeight="1" x14ac:dyDescent="0.35">
      <c r="B104" s="8"/>
    </row>
    <row r="105" spans="2:2" ht="14.25" customHeight="1" x14ac:dyDescent="0.35">
      <c r="B105" s="8"/>
    </row>
    <row r="106" spans="2:2" ht="14.25" customHeight="1" x14ac:dyDescent="0.35">
      <c r="B106" s="8"/>
    </row>
    <row r="107" spans="2:2" ht="14.25" customHeight="1" x14ac:dyDescent="0.35">
      <c r="B107" s="8"/>
    </row>
    <row r="108" spans="2:2" ht="14.25" customHeight="1" x14ac:dyDescent="0.35">
      <c r="B108" s="8"/>
    </row>
    <row r="109" spans="2:2" ht="14.25" customHeight="1" x14ac:dyDescent="0.35">
      <c r="B109" s="8"/>
    </row>
    <row r="110" spans="2:2" ht="14.25" customHeight="1" x14ac:dyDescent="0.35">
      <c r="B110" s="8"/>
    </row>
    <row r="111" spans="2:2" ht="14.25" customHeight="1" x14ac:dyDescent="0.35">
      <c r="B111" s="8"/>
    </row>
    <row r="112" spans="2:2" ht="14.25" customHeight="1" x14ac:dyDescent="0.35">
      <c r="B112" s="8"/>
    </row>
    <row r="113" spans="2:2" ht="14.25" customHeight="1" x14ac:dyDescent="0.35">
      <c r="B113" s="8"/>
    </row>
    <row r="114" spans="2:2" ht="14.25" customHeight="1" x14ac:dyDescent="0.35">
      <c r="B114" s="8"/>
    </row>
    <row r="115" spans="2:2" ht="14.25" customHeight="1" x14ac:dyDescent="0.35">
      <c r="B115" s="8"/>
    </row>
    <row r="116" spans="2:2" ht="14.25" customHeight="1" x14ac:dyDescent="0.35">
      <c r="B116" s="8"/>
    </row>
    <row r="117" spans="2:2" ht="14.25" customHeight="1" x14ac:dyDescent="0.35">
      <c r="B117" s="8"/>
    </row>
    <row r="118" spans="2:2" ht="14.25" customHeight="1" x14ac:dyDescent="0.35">
      <c r="B118" s="8"/>
    </row>
    <row r="119" spans="2:2" ht="14.25" customHeight="1" x14ac:dyDescent="0.35">
      <c r="B119" s="8"/>
    </row>
    <row r="120" spans="2:2" ht="14.25" customHeight="1" x14ac:dyDescent="0.35">
      <c r="B120" s="8"/>
    </row>
    <row r="121" spans="2:2" ht="14.25" customHeight="1" x14ac:dyDescent="0.35">
      <c r="B121" s="8"/>
    </row>
    <row r="122" spans="2:2" ht="14.25" customHeight="1" x14ac:dyDescent="0.35">
      <c r="B122" s="8"/>
    </row>
    <row r="123" spans="2:2" ht="14.25" customHeight="1" x14ac:dyDescent="0.35">
      <c r="B123" s="8"/>
    </row>
    <row r="124" spans="2:2" ht="14.25" customHeight="1" x14ac:dyDescent="0.35">
      <c r="B124" s="8"/>
    </row>
    <row r="125" spans="2:2" ht="14.25" customHeight="1" x14ac:dyDescent="0.35">
      <c r="B125" s="8"/>
    </row>
    <row r="126" spans="2:2" ht="14.25" customHeight="1" x14ac:dyDescent="0.35">
      <c r="B126" s="8"/>
    </row>
    <row r="127" spans="2:2" ht="14.25" customHeight="1" x14ac:dyDescent="0.35">
      <c r="B127" s="8"/>
    </row>
    <row r="128" spans="2:2" ht="14.25" customHeight="1" x14ac:dyDescent="0.35">
      <c r="B128" s="8"/>
    </row>
    <row r="129" spans="2:2" ht="14.25" customHeight="1" x14ac:dyDescent="0.35">
      <c r="B129" s="8"/>
    </row>
    <row r="130" spans="2:2" ht="14.25" customHeight="1" x14ac:dyDescent="0.35">
      <c r="B130" s="8"/>
    </row>
    <row r="131" spans="2:2" ht="14.25" customHeight="1" x14ac:dyDescent="0.35">
      <c r="B131" s="8"/>
    </row>
    <row r="132" spans="2:2" ht="14.25" customHeight="1" x14ac:dyDescent="0.35">
      <c r="B132" s="8"/>
    </row>
    <row r="133" spans="2:2" ht="14.25" customHeight="1" x14ac:dyDescent="0.35">
      <c r="B133" s="8"/>
    </row>
    <row r="134" spans="2:2" ht="14.25" customHeight="1" x14ac:dyDescent="0.35">
      <c r="B134" s="8"/>
    </row>
    <row r="135" spans="2:2" ht="14.25" customHeight="1" x14ac:dyDescent="0.35">
      <c r="B135" s="8"/>
    </row>
    <row r="136" spans="2:2" ht="14.25" customHeight="1" x14ac:dyDescent="0.35">
      <c r="B136" s="8"/>
    </row>
    <row r="137" spans="2:2" ht="14.25" customHeight="1" x14ac:dyDescent="0.35">
      <c r="B137" s="8"/>
    </row>
    <row r="138" spans="2:2" ht="14.25" customHeight="1" x14ac:dyDescent="0.35">
      <c r="B138" s="8"/>
    </row>
    <row r="139" spans="2:2" ht="14.25" customHeight="1" x14ac:dyDescent="0.35">
      <c r="B139" s="8"/>
    </row>
    <row r="140" spans="2:2" ht="14.25" customHeight="1" x14ac:dyDescent="0.35">
      <c r="B140" s="8"/>
    </row>
    <row r="141" spans="2:2" ht="14.25" customHeight="1" x14ac:dyDescent="0.35">
      <c r="B141" s="8"/>
    </row>
    <row r="142" spans="2:2" ht="14.25" customHeight="1" x14ac:dyDescent="0.35">
      <c r="B142" s="8"/>
    </row>
    <row r="143" spans="2:2" ht="14.25" customHeight="1" x14ac:dyDescent="0.35">
      <c r="B143" s="8"/>
    </row>
    <row r="144" spans="2:2" ht="14.25" customHeight="1" x14ac:dyDescent="0.35">
      <c r="B144" s="8"/>
    </row>
    <row r="145" spans="2:2" ht="14.25" customHeight="1" x14ac:dyDescent="0.35">
      <c r="B145" s="8"/>
    </row>
    <row r="146" spans="2:2" ht="14.25" customHeight="1" x14ac:dyDescent="0.35">
      <c r="B146" s="8"/>
    </row>
    <row r="147" spans="2:2" ht="14.25" customHeight="1" x14ac:dyDescent="0.35">
      <c r="B147" s="8"/>
    </row>
    <row r="148" spans="2:2" ht="14.25" customHeight="1" x14ac:dyDescent="0.35">
      <c r="B148" s="8"/>
    </row>
    <row r="149" spans="2:2" ht="14.25" customHeight="1" x14ac:dyDescent="0.35">
      <c r="B149" s="8"/>
    </row>
    <row r="150" spans="2:2" ht="14.25" customHeight="1" x14ac:dyDescent="0.35">
      <c r="B150" s="8"/>
    </row>
    <row r="151" spans="2:2" ht="14.25" customHeight="1" x14ac:dyDescent="0.35">
      <c r="B151" s="8"/>
    </row>
    <row r="152" spans="2:2" ht="14.25" customHeight="1" x14ac:dyDescent="0.35">
      <c r="B152" s="8"/>
    </row>
    <row r="153" spans="2:2" ht="14.25" customHeight="1" x14ac:dyDescent="0.35">
      <c r="B153" s="8"/>
    </row>
    <row r="154" spans="2:2" ht="14.25" customHeight="1" x14ac:dyDescent="0.35">
      <c r="B154" s="8"/>
    </row>
    <row r="155" spans="2:2" ht="14.25" customHeight="1" x14ac:dyDescent="0.35">
      <c r="B155" s="8"/>
    </row>
    <row r="156" spans="2:2" ht="14.25" customHeight="1" x14ac:dyDescent="0.35">
      <c r="B156" s="8"/>
    </row>
    <row r="157" spans="2:2" ht="14.25" customHeight="1" x14ac:dyDescent="0.35">
      <c r="B157" s="8"/>
    </row>
    <row r="158" spans="2:2" ht="14.25" customHeight="1" x14ac:dyDescent="0.35">
      <c r="B158" s="8"/>
    </row>
    <row r="159" spans="2:2" ht="14.25" customHeight="1" x14ac:dyDescent="0.35">
      <c r="B159" s="8"/>
    </row>
    <row r="160" spans="2:2" ht="14.25" customHeight="1" x14ac:dyDescent="0.35">
      <c r="B160" s="8"/>
    </row>
    <row r="161" spans="2:2" ht="14.25" customHeight="1" x14ac:dyDescent="0.35">
      <c r="B161" s="8"/>
    </row>
    <row r="162" spans="2:2" ht="14.25" customHeight="1" x14ac:dyDescent="0.35">
      <c r="B162" s="8"/>
    </row>
    <row r="163" spans="2:2" ht="14.25" customHeight="1" x14ac:dyDescent="0.35">
      <c r="B163" s="8"/>
    </row>
    <row r="164" spans="2:2" ht="14.25" customHeight="1" x14ac:dyDescent="0.35">
      <c r="B164" s="8"/>
    </row>
    <row r="165" spans="2:2" ht="14.25" customHeight="1" x14ac:dyDescent="0.35">
      <c r="B165" s="8"/>
    </row>
    <row r="166" spans="2:2" ht="14.25" customHeight="1" x14ac:dyDescent="0.35">
      <c r="B166" s="8"/>
    </row>
    <row r="167" spans="2:2" ht="14.25" customHeight="1" x14ac:dyDescent="0.35">
      <c r="B167" s="8"/>
    </row>
    <row r="168" spans="2:2" ht="14.25" customHeight="1" x14ac:dyDescent="0.35">
      <c r="B168" s="8"/>
    </row>
    <row r="169" spans="2:2" ht="14.25" customHeight="1" x14ac:dyDescent="0.35">
      <c r="B169" s="8"/>
    </row>
    <row r="170" spans="2:2" ht="14.25" customHeight="1" x14ac:dyDescent="0.35">
      <c r="B170" s="8"/>
    </row>
    <row r="171" spans="2:2" ht="14.25" customHeight="1" x14ac:dyDescent="0.35">
      <c r="B171" s="8"/>
    </row>
    <row r="172" spans="2:2" ht="14.25" customHeight="1" x14ac:dyDescent="0.35">
      <c r="B172" s="8"/>
    </row>
    <row r="173" spans="2:2" ht="14.25" customHeight="1" x14ac:dyDescent="0.35">
      <c r="B173" s="8"/>
    </row>
    <row r="174" spans="2:2" ht="14.25" customHeight="1" x14ac:dyDescent="0.35">
      <c r="B174" s="8"/>
    </row>
    <row r="175" spans="2:2" ht="14.25" customHeight="1" x14ac:dyDescent="0.35">
      <c r="B175" s="8"/>
    </row>
    <row r="176" spans="2:2" ht="14.25" customHeight="1" x14ac:dyDescent="0.35">
      <c r="B176" s="8"/>
    </row>
    <row r="177" spans="2:2" ht="14.25" customHeight="1" x14ac:dyDescent="0.35">
      <c r="B177" s="8"/>
    </row>
    <row r="178" spans="2:2" ht="14.25" customHeight="1" x14ac:dyDescent="0.35">
      <c r="B178" s="8"/>
    </row>
    <row r="179" spans="2:2" ht="14.25" customHeight="1" x14ac:dyDescent="0.35">
      <c r="B179" s="8"/>
    </row>
    <row r="180" spans="2:2" ht="14.25" customHeight="1" x14ac:dyDescent="0.35">
      <c r="B180" s="8"/>
    </row>
    <row r="181" spans="2:2" ht="14.25" customHeight="1" x14ac:dyDescent="0.35">
      <c r="B181" s="8"/>
    </row>
    <row r="182" spans="2:2" ht="14.25" customHeight="1" x14ac:dyDescent="0.35">
      <c r="B182" s="8"/>
    </row>
    <row r="183" spans="2:2" ht="14.25" customHeight="1" x14ac:dyDescent="0.35">
      <c r="B183" s="8"/>
    </row>
    <row r="184" spans="2:2" ht="14.25" customHeight="1" x14ac:dyDescent="0.35">
      <c r="B184" s="8"/>
    </row>
    <row r="185" spans="2:2" ht="14.25" customHeight="1" x14ac:dyDescent="0.35">
      <c r="B185" s="8"/>
    </row>
    <row r="186" spans="2:2" ht="14.25" customHeight="1" x14ac:dyDescent="0.35">
      <c r="B186" s="8"/>
    </row>
    <row r="187" spans="2:2" ht="14.25" customHeight="1" x14ac:dyDescent="0.35">
      <c r="B187" s="8"/>
    </row>
    <row r="188" spans="2:2" ht="14.25" customHeight="1" x14ac:dyDescent="0.35">
      <c r="B188" s="8"/>
    </row>
    <row r="189" spans="2:2" ht="14.25" customHeight="1" x14ac:dyDescent="0.35">
      <c r="B189" s="8"/>
    </row>
    <row r="190" spans="2:2" ht="14.25" customHeight="1" x14ac:dyDescent="0.35">
      <c r="B190" s="8"/>
    </row>
    <row r="191" spans="2:2" ht="14.25" customHeight="1" x14ac:dyDescent="0.35">
      <c r="B191" s="8"/>
    </row>
    <row r="192" spans="2:2" ht="14.25" customHeight="1" x14ac:dyDescent="0.35">
      <c r="B192" s="8"/>
    </row>
    <row r="193" spans="2:2" ht="14.25" customHeight="1" x14ac:dyDescent="0.35">
      <c r="B193" s="8"/>
    </row>
    <row r="194" spans="2:2" ht="14.25" customHeight="1" x14ac:dyDescent="0.35">
      <c r="B194" s="8"/>
    </row>
    <row r="195" spans="2:2" ht="14.25" customHeight="1" x14ac:dyDescent="0.35">
      <c r="B195" s="8"/>
    </row>
    <row r="196" spans="2:2" ht="14.25" customHeight="1" x14ac:dyDescent="0.35">
      <c r="B196" s="8"/>
    </row>
    <row r="197" spans="2:2" ht="14.25" customHeight="1" x14ac:dyDescent="0.35">
      <c r="B197" s="8"/>
    </row>
    <row r="198" spans="2:2" ht="14.25" customHeight="1" x14ac:dyDescent="0.35">
      <c r="B198" s="8"/>
    </row>
    <row r="199" spans="2:2" ht="14.25" customHeight="1" x14ac:dyDescent="0.35">
      <c r="B199" s="8"/>
    </row>
    <row r="200" spans="2:2" ht="14.25" customHeight="1" x14ac:dyDescent="0.35">
      <c r="B200" s="8"/>
    </row>
    <row r="201" spans="2:2" ht="14.25" customHeight="1" x14ac:dyDescent="0.35">
      <c r="B201" s="8"/>
    </row>
    <row r="202" spans="2:2" ht="14.25" customHeight="1" x14ac:dyDescent="0.35">
      <c r="B202" s="8"/>
    </row>
    <row r="203" spans="2:2" ht="14.25" customHeight="1" x14ac:dyDescent="0.35">
      <c r="B203" s="8"/>
    </row>
    <row r="204" spans="2:2" ht="14.25" customHeight="1" x14ac:dyDescent="0.35">
      <c r="B204" s="8"/>
    </row>
    <row r="205" spans="2:2" ht="14.25" customHeight="1" x14ac:dyDescent="0.35">
      <c r="B205" s="8"/>
    </row>
    <row r="206" spans="2:2" ht="14.25" customHeight="1" x14ac:dyDescent="0.35">
      <c r="B206" s="8"/>
    </row>
    <row r="207" spans="2:2" ht="14.25" customHeight="1" x14ac:dyDescent="0.35">
      <c r="B207" s="8"/>
    </row>
    <row r="208" spans="2:2" ht="14.25" customHeight="1" x14ac:dyDescent="0.35">
      <c r="B208" s="8"/>
    </row>
    <row r="209" spans="2:2" ht="14.25" customHeight="1" x14ac:dyDescent="0.35">
      <c r="B209" s="8"/>
    </row>
    <row r="210" spans="2:2" ht="14.25" customHeight="1" x14ac:dyDescent="0.35">
      <c r="B210" s="8"/>
    </row>
    <row r="211" spans="2:2" ht="14.25" customHeight="1" x14ac:dyDescent="0.35">
      <c r="B211" s="8"/>
    </row>
    <row r="212" spans="2:2" ht="14.25" customHeight="1" x14ac:dyDescent="0.35">
      <c r="B212" s="8"/>
    </row>
    <row r="213" spans="2:2" ht="14.25" customHeight="1" x14ac:dyDescent="0.35">
      <c r="B213" s="8"/>
    </row>
    <row r="214" spans="2:2" ht="14.25" customHeight="1" x14ac:dyDescent="0.35">
      <c r="B214" s="8"/>
    </row>
    <row r="215" spans="2:2" ht="14.25" customHeight="1" x14ac:dyDescent="0.35">
      <c r="B215" s="8"/>
    </row>
    <row r="216" spans="2:2" ht="14.25" customHeight="1" x14ac:dyDescent="0.35">
      <c r="B216" s="8"/>
    </row>
    <row r="217" spans="2:2" ht="14.25" customHeight="1" x14ac:dyDescent="0.35">
      <c r="B217" s="8"/>
    </row>
    <row r="218" spans="2:2" ht="14.25" customHeight="1" x14ac:dyDescent="0.35">
      <c r="B218" s="8"/>
    </row>
    <row r="219" spans="2:2" ht="14.25" customHeight="1" x14ac:dyDescent="0.35">
      <c r="B219" s="8"/>
    </row>
    <row r="220" spans="2:2" ht="14.25" customHeight="1" x14ac:dyDescent="0.35">
      <c r="B220" s="8"/>
    </row>
    <row r="221" spans="2:2" ht="14.25" customHeight="1" x14ac:dyDescent="0.35">
      <c r="B221" s="8"/>
    </row>
    <row r="222" spans="2:2" ht="14.25" customHeight="1" x14ac:dyDescent="0.35">
      <c r="B222" s="8"/>
    </row>
    <row r="223" spans="2:2" ht="14.25" customHeight="1" x14ac:dyDescent="0.35">
      <c r="B223" s="8"/>
    </row>
    <row r="224" spans="2:2" ht="14.25" customHeight="1" x14ac:dyDescent="0.35">
      <c r="B224" s="8"/>
    </row>
    <row r="225" spans="2:2" ht="14.25" customHeight="1" x14ac:dyDescent="0.35">
      <c r="B225" s="8"/>
    </row>
    <row r="226" spans="2:2" ht="14.25" customHeight="1" x14ac:dyDescent="0.35">
      <c r="B226" s="8"/>
    </row>
    <row r="227" spans="2:2" ht="14.25" customHeight="1" x14ac:dyDescent="0.35">
      <c r="B227" s="8"/>
    </row>
    <row r="228" spans="2:2" ht="14.25" customHeight="1" x14ac:dyDescent="0.35">
      <c r="B228" s="8"/>
    </row>
    <row r="229" spans="2:2" ht="14.25" customHeight="1" x14ac:dyDescent="0.35">
      <c r="B229" s="8"/>
    </row>
    <row r="230" spans="2:2" ht="14.25" customHeight="1" x14ac:dyDescent="0.35">
      <c r="B230" s="8"/>
    </row>
    <row r="231" spans="2:2" ht="14.25" customHeight="1" x14ac:dyDescent="0.35">
      <c r="B231" s="8"/>
    </row>
    <row r="232" spans="2:2" ht="14.25" customHeight="1" x14ac:dyDescent="0.35">
      <c r="B232" s="8"/>
    </row>
    <row r="233" spans="2:2" ht="14.25" customHeight="1" x14ac:dyDescent="0.35">
      <c r="B233" s="8"/>
    </row>
    <row r="234" spans="2:2" ht="14.25" customHeight="1" x14ac:dyDescent="0.35">
      <c r="B234" s="8"/>
    </row>
    <row r="235" spans="2:2" ht="14.25" customHeight="1" x14ac:dyDescent="0.35">
      <c r="B235" s="8"/>
    </row>
    <row r="236" spans="2:2" ht="14.25" customHeight="1" x14ac:dyDescent="0.35">
      <c r="B236" s="8"/>
    </row>
    <row r="237" spans="2:2" ht="14.25" customHeight="1" x14ac:dyDescent="0.35">
      <c r="B237" s="8"/>
    </row>
    <row r="238" spans="2:2" ht="14.25" customHeight="1" x14ac:dyDescent="0.35">
      <c r="B238" s="8"/>
    </row>
    <row r="239" spans="2:2" ht="14.25" customHeight="1" x14ac:dyDescent="0.35">
      <c r="B239" s="8"/>
    </row>
    <row r="240" spans="2:2" ht="14.25" customHeight="1" x14ac:dyDescent="0.35">
      <c r="B240" s="8"/>
    </row>
    <row r="241" spans="2:2" ht="14.25" customHeight="1" x14ac:dyDescent="0.35">
      <c r="B241" s="8"/>
    </row>
    <row r="242" spans="2:2" ht="14.25" customHeight="1" x14ac:dyDescent="0.35">
      <c r="B242" s="8"/>
    </row>
    <row r="243" spans="2:2" ht="14.25" customHeight="1" x14ac:dyDescent="0.35">
      <c r="B243" s="8"/>
    </row>
    <row r="244" spans="2:2" ht="14.25" customHeight="1" x14ac:dyDescent="0.35">
      <c r="B244" s="8"/>
    </row>
    <row r="245" spans="2:2" ht="14.25" customHeight="1" x14ac:dyDescent="0.35">
      <c r="B245" s="8"/>
    </row>
    <row r="246" spans="2:2" ht="14.25" customHeight="1" x14ac:dyDescent="0.35">
      <c r="B246" s="8"/>
    </row>
    <row r="247" spans="2:2" ht="14.25" customHeight="1" x14ac:dyDescent="0.35">
      <c r="B247" s="8"/>
    </row>
    <row r="248" spans="2:2" ht="14.25" customHeight="1" x14ac:dyDescent="0.35">
      <c r="B248" s="8"/>
    </row>
    <row r="249" spans="2:2" ht="14.25" customHeight="1" x14ac:dyDescent="0.35">
      <c r="B249" s="8"/>
    </row>
    <row r="250" spans="2:2" ht="14.25" customHeight="1" x14ac:dyDescent="0.35">
      <c r="B250" s="8"/>
    </row>
    <row r="251" spans="2:2" ht="14.25" customHeight="1" x14ac:dyDescent="0.35">
      <c r="B251" s="8"/>
    </row>
    <row r="252" spans="2:2" ht="14.25" customHeight="1" x14ac:dyDescent="0.35">
      <c r="B252" s="8"/>
    </row>
    <row r="253" spans="2:2" ht="14.25" customHeight="1" x14ac:dyDescent="0.35">
      <c r="B253" s="8"/>
    </row>
    <row r="254" spans="2:2" ht="14.25" customHeight="1" x14ac:dyDescent="0.35">
      <c r="B254" s="8"/>
    </row>
    <row r="255" spans="2:2" ht="14.25" customHeight="1" x14ac:dyDescent="0.35">
      <c r="B255" s="8"/>
    </row>
    <row r="256" spans="2:2" ht="14.25" customHeight="1" x14ac:dyDescent="0.35">
      <c r="B256" s="8"/>
    </row>
    <row r="257" spans="2:2" ht="14.25" customHeight="1" x14ac:dyDescent="0.35">
      <c r="B257" s="8"/>
    </row>
    <row r="258" spans="2:2" ht="14.25" customHeight="1" x14ac:dyDescent="0.35">
      <c r="B258" s="8"/>
    </row>
    <row r="259" spans="2:2" ht="14.25" customHeight="1" x14ac:dyDescent="0.35">
      <c r="B259" s="8"/>
    </row>
    <row r="260" spans="2:2" ht="14.25" customHeight="1" x14ac:dyDescent="0.35">
      <c r="B260" s="8"/>
    </row>
    <row r="261" spans="2:2" ht="14.25" customHeight="1" x14ac:dyDescent="0.35">
      <c r="B261" s="8"/>
    </row>
    <row r="262" spans="2:2" ht="14.25" customHeight="1" x14ac:dyDescent="0.35">
      <c r="B262" s="8"/>
    </row>
    <row r="263" spans="2:2" ht="14.25" customHeight="1" x14ac:dyDescent="0.35">
      <c r="B263" s="8"/>
    </row>
    <row r="264" spans="2:2" ht="14.25" customHeight="1" x14ac:dyDescent="0.35">
      <c r="B264" s="8"/>
    </row>
    <row r="265" spans="2:2" ht="14.25" customHeight="1" x14ac:dyDescent="0.35">
      <c r="B265" s="8"/>
    </row>
    <row r="266" spans="2:2" ht="14.25" customHeight="1" x14ac:dyDescent="0.35">
      <c r="B266" s="8"/>
    </row>
    <row r="267" spans="2:2" ht="14.25" customHeight="1" x14ac:dyDescent="0.35">
      <c r="B267" s="8"/>
    </row>
    <row r="268" spans="2:2" ht="14.25" customHeight="1" x14ac:dyDescent="0.35">
      <c r="B268" s="8"/>
    </row>
    <row r="269" spans="2:2" ht="14.25" customHeight="1" x14ac:dyDescent="0.35">
      <c r="B269" s="8"/>
    </row>
    <row r="270" spans="2:2" ht="14.25" customHeight="1" x14ac:dyDescent="0.35">
      <c r="B270" s="8"/>
    </row>
    <row r="271" spans="2:2" ht="14.25" customHeight="1" x14ac:dyDescent="0.35">
      <c r="B271" s="8"/>
    </row>
    <row r="272" spans="2:2" ht="14.25" customHeight="1" x14ac:dyDescent="0.35">
      <c r="B272" s="8"/>
    </row>
    <row r="273" spans="2:2" ht="14.25" customHeight="1" x14ac:dyDescent="0.35">
      <c r="B273" s="8"/>
    </row>
    <row r="274" spans="2:2" ht="14.25" customHeight="1" x14ac:dyDescent="0.35">
      <c r="B274" s="8"/>
    </row>
    <row r="275" spans="2:2" ht="14.25" customHeight="1" x14ac:dyDescent="0.35">
      <c r="B275" s="8"/>
    </row>
    <row r="276" spans="2:2" ht="14.25" customHeight="1" x14ac:dyDescent="0.35">
      <c r="B276" s="8"/>
    </row>
    <row r="277" spans="2:2" ht="14.25" customHeight="1" x14ac:dyDescent="0.35">
      <c r="B277" s="8"/>
    </row>
    <row r="278" spans="2:2" ht="14.25" customHeight="1" x14ac:dyDescent="0.35">
      <c r="B278" s="8"/>
    </row>
    <row r="279" spans="2:2" ht="14.25" customHeight="1" x14ac:dyDescent="0.35">
      <c r="B279" s="8"/>
    </row>
    <row r="280" spans="2:2" ht="14.25" customHeight="1" x14ac:dyDescent="0.35">
      <c r="B280" s="8"/>
    </row>
    <row r="281" spans="2:2" ht="14.25" customHeight="1" x14ac:dyDescent="0.35">
      <c r="B281" s="8"/>
    </row>
    <row r="282" spans="2:2" ht="14.25" customHeight="1" x14ac:dyDescent="0.35">
      <c r="B282" s="8"/>
    </row>
    <row r="283" spans="2:2" ht="14.25" customHeight="1" x14ac:dyDescent="0.35">
      <c r="B283" s="8"/>
    </row>
    <row r="284" spans="2:2" ht="14.25" customHeight="1" x14ac:dyDescent="0.35">
      <c r="B284" s="8"/>
    </row>
    <row r="285" spans="2:2" ht="14.25" customHeight="1" x14ac:dyDescent="0.35">
      <c r="B285" s="8"/>
    </row>
    <row r="286" spans="2:2" ht="14.25" customHeight="1" x14ac:dyDescent="0.35">
      <c r="B286" s="8"/>
    </row>
    <row r="287" spans="2:2" ht="14.25" customHeight="1" x14ac:dyDescent="0.35">
      <c r="B287" s="8"/>
    </row>
    <row r="288" spans="2:2" ht="14.25" customHeight="1" x14ac:dyDescent="0.35">
      <c r="B288" s="8"/>
    </row>
    <row r="289" spans="2:2" ht="14.25" customHeight="1" x14ac:dyDescent="0.35">
      <c r="B289" s="8"/>
    </row>
    <row r="290" spans="2:2" ht="14.25" customHeight="1" x14ac:dyDescent="0.35">
      <c r="B290" s="8"/>
    </row>
    <row r="291" spans="2:2" ht="14.25" customHeight="1" x14ac:dyDescent="0.35">
      <c r="B291" s="8"/>
    </row>
    <row r="292" spans="2:2" ht="14.25" customHeight="1" x14ac:dyDescent="0.35">
      <c r="B292" s="8"/>
    </row>
    <row r="293" spans="2:2" ht="14.25" customHeight="1" x14ac:dyDescent="0.35">
      <c r="B293" s="8"/>
    </row>
    <row r="294" spans="2:2" ht="14.25" customHeight="1" x14ac:dyDescent="0.35">
      <c r="B294" s="8"/>
    </row>
    <row r="295" spans="2:2" ht="14.25" customHeight="1" x14ac:dyDescent="0.35">
      <c r="B295" s="8"/>
    </row>
    <row r="296" spans="2:2" ht="14.25" customHeight="1" x14ac:dyDescent="0.35">
      <c r="B296" s="8"/>
    </row>
    <row r="297" spans="2:2" ht="14.25" customHeight="1" x14ac:dyDescent="0.35">
      <c r="B297" s="8"/>
    </row>
    <row r="298" spans="2:2" ht="14.25" customHeight="1" x14ac:dyDescent="0.35">
      <c r="B298" s="8"/>
    </row>
    <row r="299" spans="2:2" ht="14.25" customHeight="1" x14ac:dyDescent="0.35">
      <c r="B299" s="8"/>
    </row>
    <row r="300" spans="2:2" ht="14.25" customHeight="1" x14ac:dyDescent="0.35">
      <c r="B300" s="8"/>
    </row>
    <row r="301" spans="2:2" ht="14.25" customHeight="1" x14ac:dyDescent="0.35">
      <c r="B301" s="8"/>
    </row>
    <row r="302" spans="2:2" ht="14.25" customHeight="1" x14ac:dyDescent="0.35">
      <c r="B302" s="8"/>
    </row>
    <row r="303" spans="2:2" ht="14.25" customHeight="1" x14ac:dyDescent="0.35">
      <c r="B303" s="8"/>
    </row>
    <row r="304" spans="2:2" ht="14.25" customHeight="1" x14ac:dyDescent="0.35">
      <c r="B304" s="8"/>
    </row>
    <row r="305" spans="2:2" ht="14.25" customHeight="1" x14ac:dyDescent="0.35">
      <c r="B305" s="8"/>
    </row>
    <row r="306" spans="2:2" ht="14.25" customHeight="1" x14ac:dyDescent="0.35">
      <c r="B306" s="8"/>
    </row>
    <row r="307" spans="2:2" ht="14.25" customHeight="1" x14ac:dyDescent="0.35">
      <c r="B307" s="8"/>
    </row>
    <row r="308" spans="2:2" ht="14.25" customHeight="1" x14ac:dyDescent="0.35">
      <c r="B308" s="8"/>
    </row>
    <row r="309" spans="2:2" ht="14.25" customHeight="1" x14ac:dyDescent="0.35">
      <c r="B309" s="8"/>
    </row>
    <row r="310" spans="2:2" ht="14.25" customHeight="1" x14ac:dyDescent="0.35">
      <c r="B310" s="8"/>
    </row>
    <row r="311" spans="2:2" ht="14.25" customHeight="1" x14ac:dyDescent="0.35">
      <c r="B311" s="8"/>
    </row>
    <row r="312" spans="2:2" ht="14.25" customHeight="1" x14ac:dyDescent="0.35">
      <c r="B312" s="8"/>
    </row>
    <row r="313" spans="2:2" ht="14.25" customHeight="1" x14ac:dyDescent="0.35">
      <c r="B313" s="8"/>
    </row>
    <row r="314" spans="2:2" ht="14.25" customHeight="1" x14ac:dyDescent="0.35">
      <c r="B314" s="8"/>
    </row>
    <row r="315" spans="2:2" ht="14.25" customHeight="1" x14ac:dyDescent="0.35">
      <c r="B315" s="8"/>
    </row>
    <row r="316" spans="2:2" ht="14.25" customHeight="1" x14ac:dyDescent="0.35">
      <c r="B316" s="8"/>
    </row>
    <row r="317" spans="2:2" ht="14.25" customHeight="1" x14ac:dyDescent="0.35">
      <c r="B317" s="8"/>
    </row>
    <row r="318" spans="2:2" ht="14.25" customHeight="1" x14ac:dyDescent="0.35">
      <c r="B318" s="8"/>
    </row>
    <row r="319" spans="2:2" ht="14.25" customHeight="1" x14ac:dyDescent="0.35">
      <c r="B319" s="8"/>
    </row>
    <row r="320" spans="2:2" ht="14.25" customHeight="1" x14ac:dyDescent="0.35">
      <c r="B320" s="8"/>
    </row>
    <row r="321" spans="2:2" ht="14.25" customHeight="1" x14ac:dyDescent="0.35">
      <c r="B321" s="8"/>
    </row>
    <row r="322" spans="2:2" ht="14.25" customHeight="1" x14ac:dyDescent="0.35">
      <c r="B322" s="8"/>
    </row>
    <row r="323" spans="2:2" ht="14.25" customHeight="1" x14ac:dyDescent="0.35">
      <c r="B323" s="8"/>
    </row>
    <row r="324" spans="2:2" ht="14.25" customHeight="1" x14ac:dyDescent="0.35">
      <c r="B324" s="8"/>
    </row>
    <row r="325" spans="2:2" ht="14.25" customHeight="1" x14ac:dyDescent="0.35">
      <c r="B325" s="8"/>
    </row>
    <row r="326" spans="2:2" ht="14.25" customHeight="1" x14ac:dyDescent="0.35">
      <c r="B326" s="8"/>
    </row>
    <row r="327" spans="2:2" ht="14.25" customHeight="1" x14ac:dyDescent="0.35">
      <c r="B327" s="8"/>
    </row>
    <row r="328" spans="2:2" ht="14.25" customHeight="1" x14ac:dyDescent="0.35">
      <c r="B328" s="8"/>
    </row>
    <row r="329" spans="2:2" ht="14.25" customHeight="1" x14ac:dyDescent="0.35">
      <c r="B329" s="8"/>
    </row>
    <row r="330" spans="2:2" ht="14.25" customHeight="1" x14ac:dyDescent="0.35">
      <c r="B330" s="8"/>
    </row>
    <row r="331" spans="2:2" ht="14.25" customHeight="1" x14ac:dyDescent="0.35">
      <c r="B331" s="8"/>
    </row>
    <row r="332" spans="2:2" ht="14.25" customHeight="1" x14ac:dyDescent="0.35">
      <c r="B332" s="8"/>
    </row>
    <row r="333" spans="2:2" ht="14.25" customHeight="1" x14ac:dyDescent="0.35">
      <c r="B333" s="8"/>
    </row>
    <row r="334" spans="2:2" ht="14.25" customHeight="1" x14ac:dyDescent="0.35">
      <c r="B334" s="8"/>
    </row>
    <row r="335" spans="2:2" ht="14.25" customHeight="1" x14ac:dyDescent="0.35">
      <c r="B335" s="8"/>
    </row>
    <row r="336" spans="2:2" ht="14.25" customHeight="1" x14ac:dyDescent="0.35">
      <c r="B336" s="8"/>
    </row>
    <row r="337" spans="2:2" ht="14.25" customHeight="1" x14ac:dyDescent="0.35">
      <c r="B337" s="8"/>
    </row>
    <row r="338" spans="2:2" ht="14.25" customHeight="1" x14ac:dyDescent="0.35">
      <c r="B338" s="8"/>
    </row>
    <row r="339" spans="2:2" ht="14.25" customHeight="1" x14ac:dyDescent="0.35">
      <c r="B339" s="8"/>
    </row>
    <row r="340" spans="2:2" ht="14.25" customHeight="1" x14ac:dyDescent="0.35">
      <c r="B340" s="8"/>
    </row>
    <row r="341" spans="2:2" ht="14.25" customHeight="1" x14ac:dyDescent="0.35">
      <c r="B341" s="8"/>
    </row>
    <row r="342" spans="2:2" ht="14.25" customHeight="1" x14ac:dyDescent="0.35">
      <c r="B342" s="8"/>
    </row>
    <row r="343" spans="2:2" ht="14.25" customHeight="1" x14ac:dyDescent="0.35">
      <c r="B343" s="8"/>
    </row>
    <row r="344" spans="2:2" ht="14.25" customHeight="1" x14ac:dyDescent="0.35">
      <c r="B344" s="8"/>
    </row>
    <row r="345" spans="2:2" ht="14.25" customHeight="1" x14ac:dyDescent="0.35">
      <c r="B345" s="8"/>
    </row>
    <row r="346" spans="2:2" ht="14.25" customHeight="1" x14ac:dyDescent="0.35">
      <c r="B346" s="8"/>
    </row>
    <row r="347" spans="2:2" ht="14.25" customHeight="1" x14ac:dyDescent="0.35">
      <c r="B347" s="8"/>
    </row>
    <row r="348" spans="2:2" ht="14.25" customHeight="1" x14ac:dyDescent="0.35">
      <c r="B348" s="8"/>
    </row>
    <row r="349" spans="2:2" ht="14.25" customHeight="1" x14ac:dyDescent="0.35">
      <c r="B349" s="8"/>
    </row>
    <row r="350" spans="2:2" ht="14.25" customHeight="1" x14ac:dyDescent="0.35">
      <c r="B350" s="8"/>
    </row>
    <row r="351" spans="2:2" ht="14.25" customHeight="1" x14ac:dyDescent="0.35">
      <c r="B351" s="8"/>
    </row>
    <row r="352" spans="2:2" ht="14.25" customHeight="1" x14ac:dyDescent="0.35">
      <c r="B352" s="8"/>
    </row>
    <row r="353" spans="2:2" ht="14.25" customHeight="1" x14ac:dyDescent="0.35">
      <c r="B353" s="8"/>
    </row>
    <row r="354" spans="2:2" ht="14.25" customHeight="1" x14ac:dyDescent="0.35">
      <c r="B354" s="8"/>
    </row>
    <row r="355" spans="2:2" ht="14.25" customHeight="1" x14ac:dyDescent="0.35">
      <c r="B355" s="8"/>
    </row>
    <row r="356" spans="2:2" ht="14.25" customHeight="1" x14ac:dyDescent="0.35">
      <c r="B356" s="8"/>
    </row>
    <row r="357" spans="2:2" ht="14.25" customHeight="1" x14ac:dyDescent="0.35">
      <c r="B357" s="8"/>
    </row>
    <row r="358" spans="2:2" ht="14.25" customHeight="1" x14ac:dyDescent="0.35">
      <c r="B358" s="8"/>
    </row>
    <row r="359" spans="2:2" ht="14.25" customHeight="1" x14ac:dyDescent="0.35">
      <c r="B359" s="8"/>
    </row>
    <row r="360" spans="2:2" ht="14.25" customHeight="1" x14ac:dyDescent="0.35">
      <c r="B360" s="8"/>
    </row>
    <row r="361" spans="2:2" ht="14.25" customHeight="1" x14ac:dyDescent="0.35">
      <c r="B361" s="8"/>
    </row>
    <row r="362" spans="2:2" ht="14.25" customHeight="1" x14ac:dyDescent="0.35">
      <c r="B362" s="8"/>
    </row>
    <row r="363" spans="2:2" ht="14.25" customHeight="1" x14ac:dyDescent="0.35">
      <c r="B363" s="8"/>
    </row>
    <row r="364" spans="2:2" ht="14.25" customHeight="1" x14ac:dyDescent="0.35">
      <c r="B364" s="8"/>
    </row>
    <row r="365" spans="2:2" ht="14.25" customHeight="1" x14ac:dyDescent="0.35">
      <c r="B365" s="8"/>
    </row>
    <row r="366" spans="2:2" ht="14.25" customHeight="1" x14ac:dyDescent="0.35">
      <c r="B366" s="8"/>
    </row>
    <row r="367" spans="2:2" ht="14.25" customHeight="1" x14ac:dyDescent="0.35">
      <c r="B367" s="8"/>
    </row>
    <row r="368" spans="2:2" ht="14.25" customHeight="1" x14ac:dyDescent="0.35">
      <c r="B368" s="8"/>
    </row>
    <row r="369" spans="2:2" ht="14.25" customHeight="1" x14ac:dyDescent="0.35">
      <c r="B369" s="8"/>
    </row>
    <row r="370" spans="2:2" ht="14.25" customHeight="1" x14ac:dyDescent="0.35">
      <c r="B370" s="8"/>
    </row>
    <row r="371" spans="2:2" ht="14.25" customHeight="1" x14ac:dyDescent="0.35">
      <c r="B371" s="8"/>
    </row>
    <row r="372" spans="2:2" ht="14.25" customHeight="1" x14ac:dyDescent="0.35">
      <c r="B372" s="8"/>
    </row>
    <row r="373" spans="2:2" ht="14.25" customHeight="1" x14ac:dyDescent="0.35">
      <c r="B373" s="8"/>
    </row>
    <row r="374" spans="2:2" ht="14.25" customHeight="1" x14ac:dyDescent="0.35">
      <c r="B374" s="8"/>
    </row>
    <row r="375" spans="2:2" ht="14.25" customHeight="1" x14ac:dyDescent="0.35">
      <c r="B375" s="8"/>
    </row>
    <row r="376" spans="2:2" ht="14.25" customHeight="1" x14ac:dyDescent="0.35">
      <c r="B376" s="8"/>
    </row>
    <row r="377" spans="2:2" ht="14.25" customHeight="1" x14ac:dyDescent="0.35">
      <c r="B377" s="8"/>
    </row>
    <row r="378" spans="2:2" ht="14.25" customHeight="1" x14ac:dyDescent="0.35">
      <c r="B378" s="8"/>
    </row>
    <row r="379" spans="2:2" ht="14.25" customHeight="1" x14ac:dyDescent="0.35">
      <c r="B379" s="8"/>
    </row>
    <row r="380" spans="2:2" ht="14.25" customHeight="1" x14ac:dyDescent="0.35">
      <c r="B380" s="8"/>
    </row>
    <row r="381" spans="2:2" ht="14.25" customHeight="1" x14ac:dyDescent="0.35">
      <c r="B381" s="8"/>
    </row>
    <row r="382" spans="2:2" ht="14.25" customHeight="1" x14ac:dyDescent="0.35">
      <c r="B382" s="8"/>
    </row>
    <row r="383" spans="2:2" ht="14.25" customHeight="1" x14ac:dyDescent="0.35">
      <c r="B383" s="8"/>
    </row>
    <row r="384" spans="2:2" ht="14.25" customHeight="1" x14ac:dyDescent="0.35">
      <c r="B384" s="8"/>
    </row>
    <row r="385" spans="2:2" ht="14.25" customHeight="1" x14ac:dyDescent="0.35">
      <c r="B385" s="8"/>
    </row>
    <row r="386" spans="2:2" ht="14.25" customHeight="1" x14ac:dyDescent="0.35">
      <c r="B386" s="8"/>
    </row>
    <row r="387" spans="2:2" ht="14.25" customHeight="1" x14ac:dyDescent="0.35">
      <c r="B387" s="8"/>
    </row>
    <row r="388" spans="2:2" ht="14.25" customHeight="1" x14ac:dyDescent="0.35">
      <c r="B388" s="8"/>
    </row>
    <row r="389" spans="2:2" ht="14.25" customHeight="1" x14ac:dyDescent="0.35">
      <c r="B389" s="8"/>
    </row>
    <row r="390" spans="2:2" ht="14.25" customHeight="1" x14ac:dyDescent="0.35">
      <c r="B390" s="8"/>
    </row>
    <row r="391" spans="2:2" ht="14.25" customHeight="1" x14ac:dyDescent="0.35">
      <c r="B391" s="8"/>
    </row>
    <row r="392" spans="2:2" ht="14.25" customHeight="1" x14ac:dyDescent="0.35">
      <c r="B392" s="8"/>
    </row>
    <row r="393" spans="2:2" ht="14.25" customHeight="1" x14ac:dyDescent="0.35">
      <c r="B393" s="8"/>
    </row>
    <row r="394" spans="2:2" ht="14.25" customHeight="1" x14ac:dyDescent="0.35">
      <c r="B394" s="8"/>
    </row>
    <row r="395" spans="2:2" ht="14.25" customHeight="1" x14ac:dyDescent="0.35">
      <c r="B395" s="8"/>
    </row>
    <row r="396" spans="2:2" ht="14.25" customHeight="1" x14ac:dyDescent="0.35">
      <c r="B396" s="8"/>
    </row>
    <row r="397" spans="2:2" ht="14.25" customHeight="1" x14ac:dyDescent="0.35">
      <c r="B397" s="8"/>
    </row>
    <row r="398" spans="2:2" ht="14.25" customHeight="1" x14ac:dyDescent="0.35">
      <c r="B398" s="8"/>
    </row>
    <row r="399" spans="2:2" ht="14.25" customHeight="1" x14ac:dyDescent="0.35">
      <c r="B399" s="8"/>
    </row>
    <row r="400" spans="2:2" ht="14.25" customHeight="1" x14ac:dyDescent="0.35">
      <c r="B400" s="8"/>
    </row>
    <row r="401" spans="2:2" ht="14.25" customHeight="1" x14ac:dyDescent="0.35">
      <c r="B401" s="8"/>
    </row>
    <row r="402" spans="2:2" ht="14.25" customHeight="1" x14ac:dyDescent="0.35">
      <c r="B402" s="8"/>
    </row>
    <row r="403" spans="2:2" ht="14.25" customHeight="1" x14ac:dyDescent="0.35">
      <c r="B403" s="8"/>
    </row>
    <row r="404" spans="2:2" ht="14.25" customHeight="1" x14ac:dyDescent="0.35">
      <c r="B404" s="8"/>
    </row>
    <row r="405" spans="2:2" ht="14.25" customHeight="1" x14ac:dyDescent="0.35">
      <c r="B405" s="8"/>
    </row>
    <row r="406" spans="2:2" ht="14.25" customHeight="1" x14ac:dyDescent="0.35">
      <c r="B406" s="8"/>
    </row>
    <row r="407" spans="2:2" ht="14.25" customHeight="1" x14ac:dyDescent="0.35">
      <c r="B407" s="8"/>
    </row>
    <row r="408" spans="2:2" ht="14.25" customHeight="1" x14ac:dyDescent="0.35">
      <c r="B408" s="8"/>
    </row>
    <row r="409" spans="2:2" ht="14.25" customHeight="1" x14ac:dyDescent="0.35">
      <c r="B409" s="8"/>
    </row>
    <row r="410" spans="2:2" ht="14.25" customHeight="1" x14ac:dyDescent="0.35">
      <c r="B410" s="8"/>
    </row>
    <row r="411" spans="2:2" ht="14.25" customHeight="1" x14ac:dyDescent="0.35">
      <c r="B411" s="8"/>
    </row>
    <row r="412" spans="2:2" ht="14.25" customHeight="1" x14ac:dyDescent="0.35">
      <c r="B412" s="8"/>
    </row>
    <row r="413" spans="2:2" ht="14.25" customHeight="1" x14ac:dyDescent="0.35">
      <c r="B413" s="8"/>
    </row>
    <row r="414" spans="2:2" ht="14.25" customHeight="1" x14ac:dyDescent="0.35">
      <c r="B414" s="8"/>
    </row>
    <row r="415" spans="2:2" ht="14.25" customHeight="1" x14ac:dyDescent="0.35">
      <c r="B415" s="8"/>
    </row>
    <row r="416" spans="2:2" ht="14.25" customHeight="1" x14ac:dyDescent="0.35">
      <c r="B416" s="8"/>
    </row>
    <row r="417" spans="2:2" ht="14.25" customHeight="1" x14ac:dyDescent="0.35">
      <c r="B417" s="8"/>
    </row>
    <row r="418" spans="2:2" ht="14.25" customHeight="1" x14ac:dyDescent="0.35">
      <c r="B418" s="8"/>
    </row>
    <row r="419" spans="2:2" ht="14.25" customHeight="1" x14ac:dyDescent="0.35">
      <c r="B419" s="8"/>
    </row>
    <row r="420" spans="2:2" ht="14.25" customHeight="1" x14ac:dyDescent="0.35">
      <c r="B420" s="8"/>
    </row>
    <row r="421" spans="2:2" ht="14.25" customHeight="1" x14ac:dyDescent="0.35">
      <c r="B421" s="8"/>
    </row>
    <row r="422" spans="2:2" ht="14.25" customHeight="1" x14ac:dyDescent="0.35">
      <c r="B422" s="8"/>
    </row>
    <row r="423" spans="2:2" ht="14.25" customHeight="1" x14ac:dyDescent="0.35">
      <c r="B423" s="8"/>
    </row>
    <row r="424" spans="2:2" ht="14.25" customHeight="1" x14ac:dyDescent="0.35">
      <c r="B424" s="8"/>
    </row>
    <row r="425" spans="2:2" ht="14.25" customHeight="1" x14ac:dyDescent="0.35">
      <c r="B425" s="8"/>
    </row>
    <row r="426" spans="2:2" ht="14.25" customHeight="1" x14ac:dyDescent="0.35">
      <c r="B426" s="8"/>
    </row>
    <row r="427" spans="2:2" ht="14.25" customHeight="1" x14ac:dyDescent="0.35">
      <c r="B427" s="8"/>
    </row>
    <row r="428" spans="2:2" ht="14.25" customHeight="1" x14ac:dyDescent="0.35">
      <c r="B428" s="8"/>
    </row>
    <row r="429" spans="2:2" ht="14.25" customHeight="1" x14ac:dyDescent="0.35">
      <c r="B429" s="8"/>
    </row>
    <row r="430" spans="2:2" ht="14.25" customHeight="1" x14ac:dyDescent="0.35">
      <c r="B430" s="8"/>
    </row>
    <row r="431" spans="2:2" ht="14.25" customHeight="1" x14ac:dyDescent="0.35">
      <c r="B431" s="8"/>
    </row>
    <row r="432" spans="2:2" ht="14.25" customHeight="1" x14ac:dyDescent="0.35">
      <c r="B432" s="8"/>
    </row>
    <row r="433" spans="2:2" ht="14.25" customHeight="1" x14ac:dyDescent="0.35">
      <c r="B433" s="8"/>
    </row>
    <row r="434" spans="2:2" ht="14.25" customHeight="1" x14ac:dyDescent="0.35">
      <c r="B434" s="8"/>
    </row>
    <row r="435" spans="2:2" ht="14.25" customHeight="1" x14ac:dyDescent="0.35">
      <c r="B435" s="8"/>
    </row>
    <row r="436" spans="2:2" ht="14.25" customHeight="1" x14ac:dyDescent="0.35">
      <c r="B436" s="8"/>
    </row>
    <row r="437" spans="2:2" ht="14.25" customHeight="1" x14ac:dyDescent="0.35">
      <c r="B437" s="8"/>
    </row>
    <row r="438" spans="2:2" ht="14.25" customHeight="1" x14ac:dyDescent="0.35">
      <c r="B438" s="8"/>
    </row>
    <row r="439" spans="2:2" ht="14.25" customHeight="1" x14ac:dyDescent="0.35">
      <c r="B439" s="8"/>
    </row>
    <row r="440" spans="2:2" ht="14.25" customHeight="1" x14ac:dyDescent="0.35">
      <c r="B440" s="8"/>
    </row>
    <row r="441" spans="2:2" ht="14.25" customHeight="1" x14ac:dyDescent="0.35">
      <c r="B441" s="8"/>
    </row>
    <row r="442" spans="2:2" ht="14.25" customHeight="1" x14ac:dyDescent="0.35">
      <c r="B442" s="8"/>
    </row>
    <row r="443" spans="2:2" ht="14.25" customHeight="1" x14ac:dyDescent="0.35">
      <c r="B443" s="8"/>
    </row>
    <row r="444" spans="2:2" ht="14.25" customHeight="1" x14ac:dyDescent="0.35">
      <c r="B444" s="8"/>
    </row>
    <row r="445" spans="2:2" ht="14.25" customHeight="1" x14ac:dyDescent="0.35">
      <c r="B445" s="8"/>
    </row>
    <row r="446" spans="2:2" ht="14.25" customHeight="1" x14ac:dyDescent="0.35">
      <c r="B446" s="8"/>
    </row>
    <row r="447" spans="2:2" ht="14.25" customHeight="1" x14ac:dyDescent="0.35">
      <c r="B447" s="8"/>
    </row>
    <row r="448" spans="2:2" ht="14.25" customHeight="1" x14ac:dyDescent="0.35">
      <c r="B448" s="8"/>
    </row>
    <row r="449" spans="2:2" ht="14.25" customHeight="1" x14ac:dyDescent="0.35">
      <c r="B449" s="8"/>
    </row>
    <row r="450" spans="2:2" ht="14.25" customHeight="1" x14ac:dyDescent="0.35">
      <c r="B450" s="8"/>
    </row>
    <row r="451" spans="2:2" ht="14.25" customHeight="1" x14ac:dyDescent="0.35">
      <c r="B451" s="8"/>
    </row>
    <row r="452" spans="2:2" ht="14.25" customHeight="1" x14ac:dyDescent="0.35">
      <c r="B452" s="8"/>
    </row>
    <row r="453" spans="2:2" ht="14.25" customHeight="1" x14ac:dyDescent="0.35">
      <c r="B453" s="8"/>
    </row>
    <row r="454" spans="2:2" ht="14.25" customHeight="1" x14ac:dyDescent="0.35">
      <c r="B454" s="8"/>
    </row>
    <row r="455" spans="2:2" ht="14.25" customHeight="1" x14ac:dyDescent="0.35">
      <c r="B455" s="8"/>
    </row>
    <row r="456" spans="2:2" ht="14.25" customHeight="1" x14ac:dyDescent="0.35">
      <c r="B456" s="8"/>
    </row>
    <row r="457" spans="2:2" ht="14.25" customHeight="1" x14ac:dyDescent="0.35">
      <c r="B457" s="8"/>
    </row>
    <row r="458" spans="2:2" ht="14.25" customHeight="1" x14ac:dyDescent="0.35">
      <c r="B458" s="8"/>
    </row>
    <row r="459" spans="2:2" ht="14.25" customHeight="1" x14ac:dyDescent="0.35">
      <c r="B459" s="8"/>
    </row>
    <row r="460" spans="2:2" ht="14.25" customHeight="1" x14ac:dyDescent="0.35">
      <c r="B460" s="8"/>
    </row>
    <row r="461" spans="2:2" ht="14.25" customHeight="1" x14ac:dyDescent="0.35">
      <c r="B461" s="8"/>
    </row>
    <row r="462" spans="2:2" ht="14.25" customHeight="1" x14ac:dyDescent="0.35">
      <c r="B462" s="8"/>
    </row>
    <row r="463" spans="2:2" ht="14.25" customHeight="1" x14ac:dyDescent="0.35">
      <c r="B463" s="8"/>
    </row>
    <row r="464" spans="2:2" ht="14.25" customHeight="1" x14ac:dyDescent="0.35">
      <c r="B464" s="8"/>
    </row>
    <row r="465" spans="2:2" ht="14.25" customHeight="1" x14ac:dyDescent="0.35">
      <c r="B465" s="8"/>
    </row>
    <row r="466" spans="2:2" ht="14.25" customHeight="1" x14ac:dyDescent="0.35">
      <c r="B466" s="8"/>
    </row>
    <row r="467" spans="2:2" ht="14.25" customHeight="1" x14ac:dyDescent="0.35">
      <c r="B467" s="8"/>
    </row>
    <row r="468" spans="2:2" ht="14.25" customHeight="1" x14ac:dyDescent="0.35">
      <c r="B468" s="8"/>
    </row>
    <row r="469" spans="2:2" ht="14.25" customHeight="1" x14ac:dyDescent="0.35">
      <c r="B469" s="8"/>
    </row>
    <row r="470" spans="2:2" ht="14.25" customHeight="1" x14ac:dyDescent="0.35">
      <c r="B470" s="8"/>
    </row>
    <row r="471" spans="2:2" ht="14.25" customHeight="1" x14ac:dyDescent="0.35">
      <c r="B471" s="8"/>
    </row>
    <row r="472" spans="2:2" ht="14.25" customHeight="1" x14ac:dyDescent="0.35">
      <c r="B472" s="8"/>
    </row>
    <row r="473" spans="2:2" ht="14.25" customHeight="1" x14ac:dyDescent="0.35">
      <c r="B473" s="8"/>
    </row>
    <row r="474" spans="2:2" ht="14.25" customHeight="1" x14ac:dyDescent="0.35">
      <c r="B474" s="8"/>
    </row>
    <row r="475" spans="2:2" ht="14.25" customHeight="1" x14ac:dyDescent="0.35">
      <c r="B475" s="8"/>
    </row>
    <row r="476" spans="2:2" ht="14.25" customHeight="1" x14ac:dyDescent="0.35">
      <c r="B476" s="8"/>
    </row>
    <row r="477" spans="2:2" ht="14.25" customHeight="1" x14ac:dyDescent="0.35">
      <c r="B477" s="8"/>
    </row>
    <row r="478" spans="2:2" ht="14.25" customHeight="1" x14ac:dyDescent="0.35">
      <c r="B478" s="8"/>
    </row>
    <row r="479" spans="2:2" ht="14.25" customHeight="1" x14ac:dyDescent="0.35">
      <c r="B479" s="8"/>
    </row>
    <row r="480" spans="2:2" ht="14.25" customHeight="1" x14ac:dyDescent="0.35">
      <c r="B480" s="8"/>
    </row>
    <row r="481" spans="2:2" ht="14.25" customHeight="1" x14ac:dyDescent="0.35">
      <c r="B481" s="8"/>
    </row>
    <row r="482" spans="2:2" ht="14.25" customHeight="1" x14ac:dyDescent="0.35">
      <c r="B482" s="8"/>
    </row>
    <row r="483" spans="2:2" ht="14.25" customHeight="1" x14ac:dyDescent="0.35">
      <c r="B483" s="8"/>
    </row>
    <row r="484" spans="2:2" ht="14.25" customHeight="1" x14ac:dyDescent="0.35">
      <c r="B484" s="8"/>
    </row>
    <row r="485" spans="2:2" ht="14.25" customHeight="1" x14ac:dyDescent="0.35">
      <c r="B485" s="8"/>
    </row>
    <row r="486" spans="2:2" ht="14.25" customHeight="1" x14ac:dyDescent="0.35">
      <c r="B486" s="8"/>
    </row>
    <row r="487" spans="2:2" ht="14.25" customHeight="1" x14ac:dyDescent="0.35">
      <c r="B487" s="8"/>
    </row>
    <row r="488" spans="2:2" ht="14.25" customHeight="1" x14ac:dyDescent="0.35">
      <c r="B488" s="8"/>
    </row>
    <row r="489" spans="2:2" ht="14.25" customHeight="1" x14ac:dyDescent="0.35">
      <c r="B489" s="8"/>
    </row>
    <row r="490" spans="2:2" ht="14.25" customHeight="1" x14ac:dyDescent="0.35">
      <c r="B490" s="8"/>
    </row>
    <row r="491" spans="2:2" ht="14.25" customHeight="1" x14ac:dyDescent="0.35">
      <c r="B491" s="8"/>
    </row>
    <row r="492" spans="2:2" ht="14.25" customHeight="1" x14ac:dyDescent="0.35">
      <c r="B492" s="8"/>
    </row>
    <row r="493" spans="2:2" ht="14.25" customHeight="1" x14ac:dyDescent="0.35">
      <c r="B493" s="8"/>
    </row>
    <row r="494" spans="2:2" ht="14.25" customHeight="1" x14ac:dyDescent="0.35">
      <c r="B494" s="8"/>
    </row>
    <row r="495" spans="2:2" ht="14.25" customHeight="1" x14ac:dyDescent="0.35">
      <c r="B495" s="8"/>
    </row>
    <row r="496" spans="2:2" ht="14.25" customHeight="1" x14ac:dyDescent="0.35">
      <c r="B496" s="8"/>
    </row>
    <row r="497" spans="2:2" ht="14.25" customHeight="1" x14ac:dyDescent="0.35">
      <c r="B497" s="8"/>
    </row>
    <row r="498" spans="2:2" ht="14.25" customHeight="1" x14ac:dyDescent="0.35">
      <c r="B498" s="8"/>
    </row>
    <row r="499" spans="2:2" ht="14.25" customHeight="1" x14ac:dyDescent="0.35">
      <c r="B499" s="8"/>
    </row>
    <row r="500" spans="2:2" ht="14.25" customHeight="1" x14ac:dyDescent="0.35">
      <c r="B500" s="8"/>
    </row>
    <row r="501" spans="2:2" ht="14.25" customHeight="1" x14ac:dyDescent="0.35">
      <c r="B501" s="8"/>
    </row>
    <row r="502" spans="2:2" ht="14.25" customHeight="1" x14ac:dyDescent="0.35">
      <c r="B502" s="8"/>
    </row>
    <row r="503" spans="2:2" ht="14.25" customHeight="1" x14ac:dyDescent="0.35">
      <c r="B503" s="8"/>
    </row>
    <row r="504" spans="2:2" ht="14.25" customHeight="1" x14ac:dyDescent="0.35">
      <c r="B504" s="8"/>
    </row>
    <row r="505" spans="2:2" ht="14.25" customHeight="1" x14ac:dyDescent="0.35">
      <c r="B505" s="8"/>
    </row>
    <row r="506" spans="2:2" ht="14.25" customHeight="1" x14ac:dyDescent="0.35">
      <c r="B506" s="8"/>
    </row>
    <row r="507" spans="2:2" ht="14.25" customHeight="1" x14ac:dyDescent="0.35">
      <c r="B507" s="8"/>
    </row>
    <row r="508" spans="2:2" ht="14.25" customHeight="1" x14ac:dyDescent="0.35">
      <c r="B508" s="8"/>
    </row>
    <row r="509" spans="2:2" ht="14.25" customHeight="1" x14ac:dyDescent="0.35">
      <c r="B509" s="8"/>
    </row>
    <row r="510" spans="2:2" ht="14.25" customHeight="1" x14ac:dyDescent="0.35">
      <c r="B510" s="8"/>
    </row>
    <row r="511" spans="2:2" ht="14.25" customHeight="1" x14ac:dyDescent="0.35">
      <c r="B511" s="8"/>
    </row>
    <row r="512" spans="2:2" ht="14.25" customHeight="1" x14ac:dyDescent="0.35">
      <c r="B512" s="8"/>
    </row>
    <row r="513" spans="2:2" ht="14.25" customHeight="1" x14ac:dyDescent="0.35">
      <c r="B513" s="8"/>
    </row>
    <row r="514" spans="2:2" ht="14.25" customHeight="1" x14ac:dyDescent="0.35">
      <c r="B514" s="8"/>
    </row>
    <row r="515" spans="2:2" ht="14.25" customHeight="1" x14ac:dyDescent="0.35">
      <c r="B515" s="8"/>
    </row>
    <row r="516" spans="2:2" ht="14.25" customHeight="1" x14ac:dyDescent="0.35">
      <c r="B516" s="8"/>
    </row>
    <row r="517" spans="2:2" ht="14.25" customHeight="1" x14ac:dyDescent="0.35">
      <c r="B517" s="8"/>
    </row>
    <row r="518" spans="2:2" ht="14.25" customHeight="1" x14ac:dyDescent="0.35">
      <c r="B518" s="8"/>
    </row>
    <row r="519" spans="2:2" ht="14.25" customHeight="1" x14ac:dyDescent="0.35">
      <c r="B519" s="8"/>
    </row>
    <row r="520" spans="2:2" ht="14.25" customHeight="1" x14ac:dyDescent="0.35">
      <c r="B520" s="8"/>
    </row>
    <row r="521" spans="2:2" ht="14.25" customHeight="1" x14ac:dyDescent="0.35">
      <c r="B521" s="8"/>
    </row>
    <row r="522" spans="2:2" ht="14.25" customHeight="1" x14ac:dyDescent="0.35">
      <c r="B522" s="8"/>
    </row>
    <row r="523" spans="2:2" ht="14.25" customHeight="1" x14ac:dyDescent="0.35">
      <c r="B523" s="8"/>
    </row>
    <row r="524" spans="2:2" ht="14.25" customHeight="1" x14ac:dyDescent="0.35">
      <c r="B524" s="8"/>
    </row>
    <row r="525" spans="2:2" ht="14.25" customHeight="1" x14ac:dyDescent="0.35">
      <c r="B525" s="8"/>
    </row>
    <row r="526" spans="2:2" ht="14.25" customHeight="1" x14ac:dyDescent="0.35">
      <c r="B526" s="8"/>
    </row>
    <row r="527" spans="2:2" ht="14.25" customHeight="1" x14ac:dyDescent="0.35">
      <c r="B527" s="8"/>
    </row>
    <row r="528" spans="2:2" ht="14.25" customHeight="1" x14ac:dyDescent="0.35">
      <c r="B528" s="8"/>
    </row>
    <row r="529" spans="2:2" ht="14.25" customHeight="1" x14ac:dyDescent="0.35">
      <c r="B529" s="8"/>
    </row>
    <row r="530" spans="2:2" ht="14.25" customHeight="1" x14ac:dyDescent="0.35">
      <c r="B530" s="8"/>
    </row>
    <row r="531" spans="2:2" ht="14.25" customHeight="1" x14ac:dyDescent="0.35">
      <c r="B531" s="8"/>
    </row>
    <row r="532" spans="2:2" ht="14.25" customHeight="1" x14ac:dyDescent="0.35">
      <c r="B532" s="8"/>
    </row>
    <row r="533" spans="2:2" ht="14.25" customHeight="1" x14ac:dyDescent="0.35">
      <c r="B533" s="8"/>
    </row>
    <row r="534" spans="2:2" ht="14.25" customHeight="1" x14ac:dyDescent="0.35">
      <c r="B534" s="8"/>
    </row>
    <row r="535" spans="2:2" ht="14.25" customHeight="1" x14ac:dyDescent="0.35">
      <c r="B535" s="8"/>
    </row>
    <row r="536" spans="2:2" ht="14.25" customHeight="1" x14ac:dyDescent="0.35">
      <c r="B536" s="8"/>
    </row>
    <row r="537" spans="2:2" ht="14.25" customHeight="1" x14ac:dyDescent="0.35">
      <c r="B537" s="8"/>
    </row>
    <row r="538" spans="2:2" ht="14.25" customHeight="1" x14ac:dyDescent="0.35">
      <c r="B538" s="8"/>
    </row>
    <row r="539" spans="2:2" ht="14.25" customHeight="1" x14ac:dyDescent="0.35">
      <c r="B539" s="8"/>
    </row>
    <row r="540" spans="2:2" ht="14.25" customHeight="1" x14ac:dyDescent="0.35">
      <c r="B540" s="8"/>
    </row>
    <row r="541" spans="2:2" ht="14.25" customHeight="1" x14ac:dyDescent="0.35">
      <c r="B541" s="8"/>
    </row>
    <row r="542" spans="2:2" ht="14.25" customHeight="1" x14ac:dyDescent="0.35">
      <c r="B542" s="8"/>
    </row>
    <row r="543" spans="2:2" ht="14.25" customHeight="1" x14ac:dyDescent="0.35">
      <c r="B543" s="8"/>
    </row>
    <row r="544" spans="2:2" ht="14.25" customHeight="1" x14ac:dyDescent="0.35">
      <c r="B544" s="8"/>
    </row>
    <row r="545" spans="2:2" ht="14.25" customHeight="1" x14ac:dyDescent="0.35">
      <c r="B545" s="8"/>
    </row>
    <row r="546" spans="2:2" ht="14.25" customHeight="1" x14ac:dyDescent="0.35">
      <c r="B546" s="8"/>
    </row>
    <row r="547" spans="2:2" ht="14.25" customHeight="1" x14ac:dyDescent="0.35">
      <c r="B547" s="8"/>
    </row>
    <row r="548" spans="2:2" ht="14.25" customHeight="1" x14ac:dyDescent="0.35">
      <c r="B548" s="8"/>
    </row>
    <row r="549" spans="2:2" ht="14.25" customHeight="1" x14ac:dyDescent="0.35">
      <c r="B549" s="8"/>
    </row>
    <row r="550" spans="2:2" ht="14.25" customHeight="1" x14ac:dyDescent="0.35">
      <c r="B550" s="8"/>
    </row>
    <row r="551" spans="2:2" ht="14.25" customHeight="1" x14ac:dyDescent="0.35">
      <c r="B551" s="8"/>
    </row>
    <row r="552" spans="2:2" ht="14.25" customHeight="1" x14ac:dyDescent="0.35">
      <c r="B552" s="8"/>
    </row>
    <row r="553" spans="2:2" ht="14.25" customHeight="1" x14ac:dyDescent="0.35">
      <c r="B553" s="8"/>
    </row>
    <row r="554" spans="2:2" ht="14.25" customHeight="1" x14ac:dyDescent="0.35">
      <c r="B554" s="8"/>
    </row>
    <row r="555" spans="2:2" ht="14.25" customHeight="1" x14ac:dyDescent="0.35">
      <c r="B555" s="8"/>
    </row>
    <row r="556" spans="2:2" ht="14.25" customHeight="1" x14ac:dyDescent="0.35">
      <c r="B556" s="8"/>
    </row>
    <row r="557" spans="2:2" ht="14.25" customHeight="1" x14ac:dyDescent="0.35">
      <c r="B557" s="8"/>
    </row>
    <row r="558" spans="2:2" ht="14.25" customHeight="1" x14ac:dyDescent="0.35">
      <c r="B558" s="8"/>
    </row>
    <row r="559" spans="2:2" ht="14.25" customHeight="1" x14ac:dyDescent="0.35">
      <c r="B559" s="8"/>
    </row>
    <row r="560" spans="2:2" ht="14.25" customHeight="1" x14ac:dyDescent="0.35">
      <c r="B560" s="8"/>
    </row>
    <row r="561" spans="2:2" ht="14.25" customHeight="1" x14ac:dyDescent="0.35">
      <c r="B561" s="8"/>
    </row>
    <row r="562" spans="2:2" ht="14.25" customHeight="1" x14ac:dyDescent="0.35">
      <c r="B562" s="8"/>
    </row>
    <row r="563" spans="2:2" ht="14.25" customHeight="1" x14ac:dyDescent="0.35">
      <c r="B563" s="8"/>
    </row>
    <row r="564" spans="2:2" ht="14.25" customHeight="1" x14ac:dyDescent="0.35">
      <c r="B564" s="8"/>
    </row>
    <row r="565" spans="2:2" ht="14.25" customHeight="1" x14ac:dyDescent="0.35">
      <c r="B565" s="8"/>
    </row>
    <row r="566" spans="2:2" ht="14.25" customHeight="1" x14ac:dyDescent="0.35">
      <c r="B566" s="8"/>
    </row>
    <row r="567" spans="2:2" ht="14.25" customHeight="1" x14ac:dyDescent="0.35">
      <c r="B567" s="8"/>
    </row>
    <row r="568" spans="2:2" ht="14.25" customHeight="1" x14ac:dyDescent="0.35">
      <c r="B568" s="8"/>
    </row>
    <row r="569" spans="2:2" ht="14.25" customHeight="1" x14ac:dyDescent="0.35">
      <c r="B569" s="8"/>
    </row>
    <row r="570" spans="2:2" ht="14.25" customHeight="1" x14ac:dyDescent="0.35">
      <c r="B570" s="8"/>
    </row>
    <row r="571" spans="2:2" ht="14.25" customHeight="1" x14ac:dyDescent="0.35">
      <c r="B571" s="8"/>
    </row>
    <row r="572" spans="2:2" ht="14.25" customHeight="1" x14ac:dyDescent="0.35">
      <c r="B572" s="8"/>
    </row>
    <row r="573" spans="2:2" ht="14.25" customHeight="1" x14ac:dyDescent="0.35">
      <c r="B573" s="8"/>
    </row>
    <row r="574" spans="2:2" ht="14.25" customHeight="1" x14ac:dyDescent="0.35">
      <c r="B574" s="8"/>
    </row>
    <row r="575" spans="2:2" ht="14.25" customHeight="1" x14ac:dyDescent="0.35">
      <c r="B575" s="8"/>
    </row>
    <row r="576" spans="2:2" ht="14.25" customHeight="1" x14ac:dyDescent="0.35">
      <c r="B576" s="8"/>
    </row>
    <row r="577" spans="2:2" ht="14.25" customHeight="1" x14ac:dyDescent="0.35">
      <c r="B577" s="8"/>
    </row>
    <row r="578" spans="2:2" ht="14.25" customHeight="1" x14ac:dyDescent="0.35">
      <c r="B578" s="8"/>
    </row>
    <row r="579" spans="2:2" ht="14.25" customHeight="1" x14ac:dyDescent="0.35">
      <c r="B579" s="8"/>
    </row>
    <row r="580" spans="2:2" ht="14.25" customHeight="1" x14ac:dyDescent="0.35">
      <c r="B580" s="8"/>
    </row>
    <row r="581" spans="2:2" ht="14.25" customHeight="1" x14ac:dyDescent="0.35">
      <c r="B581" s="8"/>
    </row>
    <row r="582" spans="2:2" ht="14.25" customHeight="1" x14ac:dyDescent="0.35">
      <c r="B582" s="8"/>
    </row>
    <row r="583" spans="2:2" ht="14.25" customHeight="1" x14ac:dyDescent="0.35">
      <c r="B583" s="8"/>
    </row>
    <row r="584" spans="2:2" ht="14.25" customHeight="1" x14ac:dyDescent="0.35">
      <c r="B584" s="8"/>
    </row>
    <row r="585" spans="2:2" ht="14.25" customHeight="1" x14ac:dyDescent="0.35">
      <c r="B585" s="8"/>
    </row>
    <row r="586" spans="2:2" ht="14.25" customHeight="1" x14ac:dyDescent="0.35">
      <c r="B586" s="8"/>
    </row>
    <row r="587" spans="2:2" ht="14.25" customHeight="1" x14ac:dyDescent="0.35">
      <c r="B587" s="8"/>
    </row>
    <row r="588" spans="2:2" ht="14.25" customHeight="1" x14ac:dyDescent="0.35">
      <c r="B588" s="8"/>
    </row>
    <row r="589" spans="2:2" ht="14.25" customHeight="1" x14ac:dyDescent="0.35">
      <c r="B589" s="8"/>
    </row>
    <row r="590" spans="2:2" ht="14.25" customHeight="1" x14ac:dyDescent="0.35">
      <c r="B590" s="8"/>
    </row>
    <row r="591" spans="2:2" ht="14.25" customHeight="1" x14ac:dyDescent="0.35">
      <c r="B591" s="8"/>
    </row>
    <row r="592" spans="2:2" ht="14.25" customHeight="1" x14ac:dyDescent="0.35">
      <c r="B592" s="8"/>
    </row>
    <row r="593" spans="2:2" ht="14.25" customHeight="1" x14ac:dyDescent="0.35">
      <c r="B593" s="8"/>
    </row>
    <row r="594" spans="2:2" ht="14.25" customHeight="1" x14ac:dyDescent="0.35">
      <c r="B594" s="8"/>
    </row>
    <row r="595" spans="2:2" ht="14.25" customHeight="1" x14ac:dyDescent="0.35">
      <c r="B595" s="8"/>
    </row>
    <row r="596" spans="2:2" ht="14.25" customHeight="1" x14ac:dyDescent="0.35">
      <c r="B596" s="8"/>
    </row>
    <row r="597" spans="2:2" ht="14.25" customHeight="1" x14ac:dyDescent="0.35">
      <c r="B597" s="8"/>
    </row>
    <row r="598" spans="2:2" ht="14.25" customHeight="1" x14ac:dyDescent="0.35">
      <c r="B598" s="8"/>
    </row>
    <row r="599" spans="2:2" ht="14.25" customHeight="1" x14ac:dyDescent="0.35">
      <c r="B599" s="8"/>
    </row>
    <row r="600" spans="2:2" ht="14.25" customHeight="1" x14ac:dyDescent="0.35">
      <c r="B600" s="8"/>
    </row>
    <row r="601" spans="2:2" ht="14.25" customHeight="1" x14ac:dyDescent="0.35">
      <c r="B601" s="8"/>
    </row>
    <row r="602" spans="2:2" ht="14.25" customHeight="1" x14ac:dyDescent="0.35">
      <c r="B602" s="8"/>
    </row>
    <row r="603" spans="2:2" ht="14.25" customHeight="1" x14ac:dyDescent="0.35">
      <c r="B603" s="8"/>
    </row>
    <row r="604" spans="2:2" ht="14.25" customHeight="1" x14ac:dyDescent="0.35">
      <c r="B604" s="8"/>
    </row>
    <row r="605" spans="2:2" ht="14.25" customHeight="1" x14ac:dyDescent="0.35">
      <c r="B605" s="8"/>
    </row>
    <row r="606" spans="2:2" ht="14.25" customHeight="1" x14ac:dyDescent="0.35">
      <c r="B606" s="8"/>
    </row>
    <row r="607" spans="2:2" ht="14.25" customHeight="1" x14ac:dyDescent="0.35">
      <c r="B607" s="8"/>
    </row>
    <row r="608" spans="2:2" ht="14.25" customHeight="1" x14ac:dyDescent="0.35">
      <c r="B608" s="8"/>
    </row>
    <row r="609" spans="2:2" ht="14.25" customHeight="1" x14ac:dyDescent="0.35">
      <c r="B609" s="8"/>
    </row>
    <row r="610" spans="2:2" ht="14.25" customHeight="1" x14ac:dyDescent="0.35">
      <c r="B610" s="8"/>
    </row>
    <row r="611" spans="2:2" ht="14.25" customHeight="1" x14ac:dyDescent="0.35">
      <c r="B611" s="8"/>
    </row>
    <row r="612" spans="2:2" ht="14.25" customHeight="1" x14ac:dyDescent="0.35">
      <c r="B612" s="8"/>
    </row>
    <row r="613" spans="2:2" ht="14.25" customHeight="1" x14ac:dyDescent="0.35">
      <c r="B613" s="8"/>
    </row>
    <row r="614" spans="2:2" ht="14.25" customHeight="1" x14ac:dyDescent="0.35">
      <c r="B614" s="8"/>
    </row>
    <row r="615" spans="2:2" ht="14.25" customHeight="1" x14ac:dyDescent="0.35">
      <c r="B615" s="8"/>
    </row>
    <row r="616" spans="2:2" ht="14.25" customHeight="1" x14ac:dyDescent="0.35">
      <c r="B616" s="8"/>
    </row>
    <row r="617" spans="2:2" ht="14.25" customHeight="1" x14ac:dyDescent="0.35">
      <c r="B617" s="8"/>
    </row>
    <row r="618" spans="2:2" ht="14.25" customHeight="1" x14ac:dyDescent="0.35">
      <c r="B618" s="8"/>
    </row>
    <row r="619" spans="2:2" ht="14.25" customHeight="1" x14ac:dyDescent="0.35">
      <c r="B619" s="8"/>
    </row>
    <row r="620" spans="2:2" ht="14.25" customHeight="1" x14ac:dyDescent="0.35">
      <c r="B620" s="8"/>
    </row>
    <row r="621" spans="2:2" ht="14.25" customHeight="1" x14ac:dyDescent="0.35">
      <c r="B621" s="8"/>
    </row>
    <row r="622" spans="2:2" ht="14.25" customHeight="1" x14ac:dyDescent="0.35">
      <c r="B622" s="8"/>
    </row>
    <row r="623" spans="2:2" ht="14.25" customHeight="1" x14ac:dyDescent="0.35">
      <c r="B623" s="8"/>
    </row>
    <row r="624" spans="2:2" ht="14.25" customHeight="1" x14ac:dyDescent="0.35">
      <c r="B624" s="8"/>
    </row>
    <row r="625" spans="2:2" ht="14.25" customHeight="1" x14ac:dyDescent="0.35">
      <c r="B625" s="8"/>
    </row>
    <row r="626" spans="2:2" ht="14.25" customHeight="1" x14ac:dyDescent="0.35">
      <c r="B626" s="8"/>
    </row>
    <row r="627" spans="2:2" ht="14.25" customHeight="1" x14ac:dyDescent="0.35">
      <c r="B627" s="8"/>
    </row>
    <row r="628" spans="2:2" ht="14.25" customHeight="1" x14ac:dyDescent="0.35">
      <c r="B628" s="8"/>
    </row>
    <row r="629" spans="2:2" ht="14.25" customHeight="1" x14ac:dyDescent="0.35">
      <c r="B629" s="8"/>
    </row>
    <row r="630" spans="2:2" ht="14.25" customHeight="1" x14ac:dyDescent="0.35">
      <c r="B630" s="8"/>
    </row>
    <row r="631" spans="2:2" ht="14.25" customHeight="1" x14ac:dyDescent="0.35">
      <c r="B631" s="8"/>
    </row>
    <row r="632" spans="2:2" ht="14.25" customHeight="1" x14ac:dyDescent="0.35">
      <c r="B632" s="8"/>
    </row>
    <row r="633" spans="2:2" ht="14.25" customHeight="1" x14ac:dyDescent="0.35">
      <c r="B633" s="8"/>
    </row>
    <row r="634" spans="2:2" ht="14.25" customHeight="1" x14ac:dyDescent="0.35">
      <c r="B634" s="8"/>
    </row>
    <row r="635" spans="2:2" ht="14.25" customHeight="1" x14ac:dyDescent="0.35">
      <c r="B635" s="8"/>
    </row>
    <row r="636" spans="2:2" ht="14.25" customHeight="1" x14ac:dyDescent="0.35">
      <c r="B636" s="8"/>
    </row>
    <row r="637" spans="2:2" ht="14.25" customHeight="1" x14ac:dyDescent="0.35">
      <c r="B637" s="8"/>
    </row>
    <row r="638" spans="2:2" ht="14.25" customHeight="1" x14ac:dyDescent="0.35">
      <c r="B638" s="8"/>
    </row>
    <row r="639" spans="2:2" ht="14.25" customHeight="1" x14ac:dyDescent="0.35">
      <c r="B639" s="8"/>
    </row>
    <row r="640" spans="2:2" ht="14.25" customHeight="1" x14ac:dyDescent="0.35">
      <c r="B640" s="8"/>
    </row>
    <row r="641" spans="2:2" ht="14.25" customHeight="1" x14ac:dyDescent="0.35">
      <c r="B641" s="8"/>
    </row>
    <row r="642" spans="2:2" ht="14.25" customHeight="1" x14ac:dyDescent="0.35">
      <c r="B642" s="8"/>
    </row>
    <row r="643" spans="2:2" ht="14.25" customHeight="1" x14ac:dyDescent="0.35">
      <c r="B643" s="8"/>
    </row>
    <row r="644" spans="2:2" ht="14.25" customHeight="1" x14ac:dyDescent="0.35">
      <c r="B644" s="8"/>
    </row>
    <row r="645" spans="2:2" ht="14.25" customHeight="1" x14ac:dyDescent="0.35">
      <c r="B645" s="8"/>
    </row>
    <row r="646" spans="2:2" ht="14.25" customHeight="1" x14ac:dyDescent="0.35">
      <c r="B646" s="8"/>
    </row>
    <row r="647" spans="2:2" ht="14.25" customHeight="1" x14ac:dyDescent="0.35">
      <c r="B647" s="8"/>
    </row>
    <row r="648" spans="2:2" ht="14.25" customHeight="1" x14ac:dyDescent="0.35">
      <c r="B648" s="8"/>
    </row>
    <row r="649" spans="2:2" ht="14.25" customHeight="1" x14ac:dyDescent="0.35">
      <c r="B649" s="8"/>
    </row>
    <row r="650" spans="2:2" ht="14.25" customHeight="1" x14ac:dyDescent="0.35">
      <c r="B650" s="8"/>
    </row>
    <row r="651" spans="2:2" ht="14.25" customHeight="1" x14ac:dyDescent="0.35">
      <c r="B651" s="8"/>
    </row>
    <row r="652" spans="2:2" ht="14.25" customHeight="1" x14ac:dyDescent="0.35">
      <c r="B652" s="8"/>
    </row>
    <row r="653" spans="2:2" ht="14.25" customHeight="1" x14ac:dyDescent="0.35">
      <c r="B653" s="8"/>
    </row>
    <row r="654" spans="2:2" ht="14.25" customHeight="1" x14ac:dyDescent="0.35">
      <c r="B654" s="8"/>
    </row>
    <row r="655" spans="2:2" ht="14.25" customHeight="1" x14ac:dyDescent="0.35">
      <c r="B655" s="8"/>
    </row>
    <row r="656" spans="2:2" ht="14.25" customHeight="1" x14ac:dyDescent="0.35">
      <c r="B656" s="8"/>
    </row>
    <row r="657" spans="2:2" ht="14.25" customHeight="1" x14ac:dyDescent="0.35">
      <c r="B657" s="8"/>
    </row>
    <row r="658" spans="2:2" ht="14.25" customHeight="1" x14ac:dyDescent="0.35">
      <c r="B658" s="8"/>
    </row>
    <row r="659" spans="2:2" ht="14.25" customHeight="1" x14ac:dyDescent="0.35">
      <c r="B659" s="8"/>
    </row>
    <row r="660" spans="2:2" ht="14.25" customHeight="1" x14ac:dyDescent="0.35">
      <c r="B660" s="8"/>
    </row>
    <row r="661" spans="2:2" ht="14.25" customHeight="1" x14ac:dyDescent="0.35">
      <c r="B661" s="8"/>
    </row>
    <row r="662" spans="2:2" ht="14.25" customHeight="1" x14ac:dyDescent="0.35">
      <c r="B662" s="8"/>
    </row>
    <row r="663" spans="2:2" ht="14.25" customHeight="1" x14ac:dyDescent="0.35">
      <c r="B663" s="8"/>
    </row>
    <row r="664" spans="2:2" ht="14.25" customHeight="1" x14ac:dyDescent="0.35">
      <c r="B664" s="8"/>
    </row>
    <row r="665" spans="2:2" ht="14.25" customHeight="1" x14ac:dyDescent="0.35">
      <c r="B665" s="8"/>
    </row>
    <row r="666" spans="2:2" ht="14.25" customHeight="1" x14ac:dyDescent="0.35">
      <c r="B666" s="8"/>
    </row>
    <row r="667" spans="2:2" ht="14.25" customHeight="1" x14ac:dyDescent="0.35">
      <c r="B667" s="8"/>
    </row>
    <row r="668" spans="2:2" ht="14.25" customHeight="1" x14ac:dyDescent="0.35">
      <c r="B668" s="8"/>
    </row>
    <row r="669" spans="2:2" ht="14.25" customHeight="1" x14ac:dyDescent="0.35">
      <c r="B669" s="8"/>
    </row>
    <row r="670" spans="2:2" ht="14.25" customHeight="1" x14ac:dyDescent="0.35">
      <c r="B670" s="8"/>
    </row>
    <row r="671" spans="2:2" ht="14.25" customHeight="1" x14ac:dyDescent="0.35">
      <c r="B671" s="8"/>
    </row>
    <row r="672" spans="2:2" ht="14.25" customHeight="1" x14ac:dyDescent="0.35">
      <c r="B672" s="8"/>
    </row>
    <row r="673" spans="2:2" ht="14.25" customHeight="1" x14ac:dyDescent="0.35">
      <c r="B673" s="8"/>
    </row>
    <row r="674" spans="2:2" ht="14.25" customHeight="1" x14ac:dyDescent="0.35">
      <c r="B674" s="8"/>
    </row>
    <row r="675" spans="2:2" ht="14.25" customHeight="1" x14ac:dyDescent="0.35">
      <c r="B675" s="8"/>
    </row>
    <row r="676" spans="2:2" ht="14.25" customHeight="1" x14ac:dyDescent="0.35">
      <c r="B676" s="8"/>
    </row>
    <row r="677" spans="2:2" ht="14.25" customHeight="1" x14ac:dyDescent="0.35">
      <c r="B677" s="8"/>
    </row>
    <row r="678" spans="2:2" ht="14.25" customHeight="1" x14ac:dyDescent="0.35">
      <c r="B678" s="8"/>
    </row>
    <row r="679" spans="2:2" ht="14.25" customHeight="1" x14ac:dyDescent="0.35">
      <c r="B679" s="8"/>
    </row>
    <row r="680" spans="2:2" ht="14.25" customHeight="1" x14ac:dyDescent="0.35">
      <c r="B680" s="8"/>
    </row>
    <row r="681" spans="2:2" ht="14.25" customHeight="1" x14ac:dyDescent="0.35">
      <c r="B681" s="8"/>
    </row>
    <row r="682" spans="2:2" ht="14.25" customHeight="1" x14ac:dyDescent="0.35">
      <c r="B682" s="8"/>
    </row>
    <row r="683" spans="2:2" ht="14.25" customHeight="1" x14ac:dyDescent="0.35">
      <c r="B683" s="8"/>
    </row>
    <row r="684" spans="2:2" ht="14.25" customHeight="1" x14ac:dyDescent="0.35">
      <c r="B684" s="8"/>
    </row>
    <row r="685" spans="2:2" ht="14.25" customHeight="1" x14ac:dyDescent="0.35">
      <c r="B685" s="8"/>
    </row>
    <row r="686" spans="2:2" ht="14.25" customHeight="1" x14ac:dyDescent="0.35">
      <c r="B686" s="8"/>
    </row>
    <row r="687" spans="2:2" ht="14.25" customHeight="1" x14ac:dyDescent="0.35">
      <c r="B687" s="8"/>
    </row>
    <row r="688" spans="2:2" ht="14.25" customHeight="1" x14ac:dyDescent="0.35">
      <c r="B688" s="8"/>
    </row>
    <row r="689" spans="2:2" ht="14.25" customHeight="1" x14ac:dyDescent="0.35">
      <c r="B689" s="8"/>
    </row>
    <row r="690" spans="2:2" ht="14.25" customHeight="1" x14ac:dyDescent="0.35">
      <c r="B690" s="8"/>
    </row>
    <row r="691" spans="2:2" ht="14.25" customHeight="1" x14ac:dyDescent="0.35">
      <c r="B691" s="8"/>
    </row>
    <row r="692" spans="2:2" ht="14.25" customHeight="1" x14ac:dyDescent="0.35">
      <c r="B692" s="8"/>
    </row>
    <row r="693" spans="2:2" ht="14.25" customHeight="1" x14ac:dyDescent="0.35">
      <c r="B693" s="8"/>
    </row>
    <row r="694" spans="2:2" ht="14.25" customHeight="1" x14ac:dyDescent="0.35">
      <c r="B694" s="8"/>
    </row>
    <row r="695" spans="2:2" ht="14.25" customHeight="1" x14ac:dyDescent="0.35">
      <c r="B695" s="8"/>
    </row>
    <row r="696" spans="2:2" ht="14.25" customHeight="1" x14ac:dyDescent="0.35">
      <c r="B696" s="8"/>
    </row>
    <row r="697" spans="2:2" ht="14.25" customHeight="1" x14ac:dyDescent="0.35">
      <c r="B697" s="8"/>
    </row>
    <row r="698" spans="2:2" ht="14.25" customHeight="1" x14ac:dyDescent="0.35">
      <c r="B698" s="8"/>
    </row>
    <row r="699" spans="2:2" ht="14.25" customHeight="1" x14ac:dyDescent="0.35">
      <c r="B699" s="8"/>
    </row>
    <row r="700" spans="2:2" ht="14.25" customHeight="1" x14ac:dyDescent="0.35">
      <c r="B700" s="8"/>
    </row>
    <row r="701" spans="2:2" ht="14.25" customHeight="1" x14ac:dyDescent="0.35">
      <c r="B701" s="8"/>
    </row>
    <row r="702" spans="2:2" ht="14.25" customHeight="1" x14ac:dyDescent="0.35">
      <c r="B702" s="8"/>
    </row>
    <row r="703" spans="2:2" ht="14.25" customHeight="1" x14ac:dyDescent="0.35">
      <c r="B703" s="8"/>
    </row>
    <row r="704" spans="2:2" ht="14.25" customHeight="1" x14ac:dyDescent="0.35">
      <c r="B704" s="8"/>
    </row>
    <row r="705" spans="2:2" ht="14.25" customHeight="1" x14ac:dyDescent="0.35">
      <c r="B705" s="8"/>
    </row>
    <row r="706" spans="2:2" ht="14.25" customHeight="1" x14ac:dyDescent="0.35">
      <c r="B706" s="8"/>
    </row>
    <row r="707" spans="2:2" ht="14.25" customHeight="1" x14ac:dyDescent="0.35">
      <c r="B707" s="8"/>
    </row>
    <row r="708" spans="2:2" ht="14.25" customHeight="1" x14ac:dyDescent="0.35">
      <c r="B708" s="8"/>
    </row>
    <row r="709" spans="2:2" ht="14.25" customHeight="1" x14ac:dyDescent="0.35">
      <c r="B709" s="8"/>
    </row>
    <row r="710" spans="2:2" ht="14.25" customHeight="1" x14ac:dyDescent="0.35">
      <c r="B710" s="8"/>
    </row>
    <row r="711" spans="2:2" ht="14.25" customHeight="1" x14ac:dyDescent="0.35">
      <c r="B711" s="8"/>
    </row>
    <row r="712" spans="2:2" ht="14.25" customHeight="1" x14ac:dyDescent="0.35">
      <c r="B712" s="8"/>
    </row>
    <row r="713" spans="2:2" ht="14.25" customHeight="1" x14ac:dyDescent="0.35">
      <c r="B713" s="8"/>
    </row>
    <row r="714" spans="2:2" ht="14.25" customHeight="1" x14ac:dyDescent="0.35">
      <c r="B714" s="8"/>
    </row>
    <row r="715" spans="2:2" ht="14.25" customHeight="1" x14ac:dyDescent="0.35">
      <c r="B715" s="8"/>
    </row>
    <row r="716" spans="2:2" ht="14.25" customHeight="1" x14ac:dyDescent="0.35">
      <c r="B716" s="8"/>
    </row>
    <row r="717" spans="2:2" ht="14.25" customHeight="1" x14ac:dyDescent="0.35">
      <c r="B717" s="8"/>
    </row>
    <row r="718" spans="2:2" ht="14.25" customHeight="1" x14ac:dyDescent="0.35">
      <c r="B718" s="8"/>
    </row>
    <row r="719" spans="2:2" ht="14.25" customHeight="1" x14ac:dyDescent="0.35">
      <c r="B719" s="8"/>
    </row>
    <row r="720" spans="2:2" ht="14.25" customHeight="1" x14ac:dyDescent="0.35">
      <c r="B720" s="8"/>
    </row>
    <row r="721" spans="2:2" ht="14.25" customHeight="1" x14ac:dyDescent="0.35">
      <c r="B721" s="8"/>
    </row>
    <row r="722" spans="2:2" ht="14.25" customHeight="1" x14ac:dyDescent="0.35">
      <c r="B722" s="8"/>
    </row>
    <row r="723" spans="2:2" ht="14.25" customHeight="1" x14ac:dyDescent="0.35">
      <c r="B723" s="8"/>
    </row>
    <row r="724" spans="2:2" ht="14.25" customHeight="1" x14ac:dyDescent="0.35">
      <c r="B724" s="8"/>
    </row>
    <row r="725" spans="2:2" ht="14.25" customHeight="1" x14ac:dyDescent="0.35">
      <c r="B725" s="8"/>
    </row>
    <row r="726" spans="2:2" ht="14.25" customHeight="1" x14ac:dyDescent="0.35">
      <c r="B726" s="8"/>
    </row>
    <row r="727" spans="2:2" ht="14.25" customHeight="1" x14ac:dyDescent="0.35">
      <c r="B727" s="8"/>
    </row>
    <row r="728" spans="2:2" ht="14.25" customHeight="1" x14ac:dyDescent="0.35">
      <c r="B728" s="8"/>
    </row>
    <row r="729" spans="2:2" ht="14.25" customHeight="1" x14ac:dyDescent="0.35">
      <c r="B729" s="8"/>
    </row>
    <row r="730" spans="2:2" ht="14.25" customHeight="1" x14ac:dyDescent="0.35">
      <c r="B730" s="8"/>
    </row>
    <row r="731" spans="2:2" ht="14.25" customHeight="1" x14ac:dyDescent="0.35">
      <c r="B731" s="8"/>
    </row>
    <row r="732" spans="2:2" ht="14.25" customHeight="1" x14ac:dyDescent="0.35">
      <c r="B732" s="8"/>
    </row>
    <row r="733" spans="2:2" ht="14.25" customHeight="1" x14ac:dyDescent="0.35">
      <c r="B733" s="8"/>
    </row>
    <row r="734" spans="2:2" ht="14.25" customHeight="1" x14ac:dyDescent="0.35">
      <c r="B734" s="8"/>
    </row>
    <row r="735" spans="2:2" ht="14.25" customHeight="1" x14ac:dyDescent="0.35">
      <c r="B735" s="8"/>
    </row>
    <row r="736" spans="2:2" ht="14.25" customHeight="1" x14ac:dyDescent="0.35">
      <c r="B736" s="8"/>
    </row>
    <row r="737" spans="2:2" ht="14.25" customHeight="1" x14ac:dyDescent="0.35">
      <c r="B737" s="8"/>
    </row>
    <row r="738" spans="2:2" ht="14.25" customHeight="1" x14ac:dyDescent="0.35">
      <c r="B738" s="8"/>
    </row>
    <row r="739" spans="2:2" ht="14.25" customHeight="1" x14ac:dyDescent="0.35">
      <c r="B739" s="8"/>
    </row>
    <row r="740" spans="2:2" ht="14.25" customHeight="1" x14ac:dyDescent="0.35">
      <c r="B740" s="8"/>
    </row>
    <row r="741" spans="2:2" ht="14.25" customHeight="1" x14ac:dyDescent="0.35">
      <c r="B741" s="8"/>
    </row>
    <row r="742" spans="2:2" ht="14.25" customHeight="1" x14ac:dyDescent="0.35">
      <c r="B742" s="8"/>
    </row>
    <row r="743" spans="2:2" ht="14.25" customHeight="1" x14ac:dyDescent="0.35">
      <c r="B743" s="8"/>
    </row>
    <row r="744" spans="2:2" ht="14.25" customHeight="1" x14ac:dyDescent="0.35">
      <c r="B744" s="8"/>
    </row>
    <row r="745" spans="2:2" ht="14.25" customHeight="1" x14ac:dyDescent="0.35">
      <c r="B745" s="8"/>
    </row>
    <row r="746" spans="2:2" ht="14.25" customHeight="1" x14ac:dyDescent="0.35">
      <c r="B746" s="8"/>
    </row>
    <row r="747" spans="2:2" ht="14.25" customHeight="1" x14ac:dyDescent="0.35">
      <c r="B747" s="8"/>
    </row>
    <row r="748" spans="2:2" ht="14.25" customHeight="1" x14ac:dyDescent="0.35">
      <c r="B748" s="8"/>
    </row>
    <row r="749" spans="2:2" ht="14.25" customHeight="1" x14ac:dyDescent="0.35">
      <c r="B749" s="8"/>
    </row>
    <row r="750" spans="2:2" ht="14.25" customHeight="1" x14ac:dyDescent="0.35">
      <c r="B750" s="8"/>
    </row>
    <row r="751" spans="2:2" ht="14.25" customHeight="1" x14ac:dyDescent="0.35">
      <c r="B751" s="8"/>
    </row>
    <row r="752" spans="2:2" ht="14.25" customHeight="1" x14ac:dyDescent="0.35">
      <c r="B752" s="8"/>
    </row>
    <row r="753" spans="2:2" ht="14.25" customHeight="1" x14ac:dyDescent="0.35">
      <c r="B753" s="8"/>
    </row>
    <row r="754" spans="2:2" ht="14.25" customHeight="1" x14ac:dyDescent="0.35">
      <c r="B754" s="8"/>
    </row>
    <row r="755" spans="2:2" ht="14.25" customHeight="1" x14ac:dyDescent="0.35">
      <c r="B755" s="8"/>
    </row>
    <row r="756" spans="2:2" ht="14.25" customHeight="1" x14ac:dyDescent="0.35">
      <c r="B756" s="8"/>
    </row>
    <row r="757" spans="2:2" ht="14.25" customHeight="1" x14ac:dyDescent="0.35">
      <c r="B757" s="8"/>
    </row>
    <row r="758" spans="2:2" ht="14.25" customHeight="1" x14ac:dyDescent="0.35">
      <c r="B758" s="8"/>
    </row>
    <row r="759" spans="2:2" ht="14.25" customHeight="1" x14ac:dyDescent="0.35">
      <c r="B759" s="8"/>
    </row>
    <row r="760" spans="2:2" ht="14.25" customHeight="1" x14ac:dyDescent="0.35">
      <c r="B760" s="8"/>
    </row>
    <row r="761" spans="2:2" ht="14.25" customHeight="1" x14ac:dyDescent="0.35">
      <c r="B761" s="8"/>
    </row>
    <row r="762" spans="2:2" ht="14.25" customHeight="1" x14ac:dyDescent="0.35">
      <c r="B762" s="8"/>
    </row>
    <row r="763" spans="2:2" ht="14.25" customHeight="1" x14ac:dyDescent="0.35">
      <c r="B763" s="8"/>
    </row>
    <row r="764" spans="2:2" ht="14.25" customHeight="1" x14ac:dyDescent="0.35">
      <c r="B764" s="8"/>
    </row>
    <row r="765" spans="2:2" ht="14.25" customHeight="1" x14ac:dyDescent="0.35">
      <c r="B765" s="8"/>
    </row>
    <row r="766" spans="2:2" ht="14.25" customHeight="1" x14ac:dyDescent="0.35">
      <c r="B766" s="8"/>
    </row>
    <row r="767" spans="2:2" ht="14.25" customHeight="1" x14ac:dyDescent="0.35">
      <c r="B767" s="8"/>
    </row>
    <row r="768" spans="2:2" ht="14.25" customHeight="1" x14ac:dyDescent="0.35">
      <c r="B768" s="8"/>
    </row>
    <row r="769" spans="2:2" ht="14.25" customHeight="1" x14ac:dyDescent="0.35">
      <c r="B769" s="8"/>
    </row>
    <row r="770" spans="2:2" ht="14.25" customHeight="1" x14ac:dyDescent="0.35">
      <c r="B770" s="8"/>
    </row>
    <row r="771" spans="2:2" ht="14.25" customHeight="1" x14ac:dyDescent="0.35">
      <c r="B771" s="8"/>
    </row>
    <row r="772" spans="2:2" ht="14.25" customHeight="1" x14ac:dyDescent="0.35">
      <c r="B772" s="8"/>
    </row>
    <row r="773" spans="2:2" ht="14.25" customHeight="1" x14ac:dyDescent="0.35">
      <c r="B773" s="8"/>
    </row>
    <row r="774" spans="2:2" ht="14.25" customHeight="1" x14ac:dyDescent="0.35">
      <c r="B774" s="8"/>
    </row>
    <row r="775" spans="2:2" ht="14.25" customHeight="1" x14ac:dyDescent="0.35">
      <c r="B775" s="8"/>
    </row>
    <row r="776" spans="2:2" ht="14.25" customHeight="1" x14ac:dyDescent="0.35">
      <c r="B776" s="8"/>
    </row>
    <row r="777" spans="2:2" ht="14.25" customHeight="1" x14ac:dyDescent="0.35">
      <c r="B777" s="8"/>
    </row>
    <row r="778" spans="2:2" ht="14.25" customHeight="1" x14ac:dyDescent="0.35">
      <c r="B778" s="8"/>
    </row>
    <row r="779" spans="2:2" ht="14.25" customHeight="1" x14ac:dyDescent="0.35">
      <c r="B779" s="8"/>
    </row>
    <row r="780" spans="2:2" ht="14.25" customHeight="1" x14ac:dyDescent="0.35">
      <c r="B780" s="8"/>
    </row>
    <row r="781" spans="2:2" ht="14.25" customHeight="1" x14ac:dyDescent="0.35">
      <c r="B781" s="8"/>
    </row>
    <row r="782" spans="2:2" ht="14.25" customHeight="1" x14ac:dyDescent="0.35">
      <c r="B782" s="8"/>
    </row>
    <row r="783" spans="2:2" ht="14.25" customHeight="1" x14ac:dyDescent="0.35">
      <c r="B783" s="8"/>
    </row>
    <row r="784" spans="2:2" ht="14.25" customHeight="1" x14ac:dyDescent="0.35">
      <c r="B784" s="8"/>
    </row>
    <row r="785" spans="2:2" ht="14.25" customHeight="1" x14ac:dyDescent="0.35">
      <c r="B785" s="8"/>
    </row>
    <row r="786" spans="2:2" ht="14.25" customHeight="1" x14ac:dyDescent="0.35">
      <c r="B786" s="8"/>
    </row>
    <row r="787" spans="2:2" ht="14.25" customHeight="1" x14ac:dyDescent="0.35">
      <c r="B787" s="8"/>
    </row>
    <row r="788" spans="2:2" ht="14.25" customHeight="1" x14ac:dyDescent="0.35">
      <c r="B788" s="8"/>
    </row>
    <row r="789" spans="2:2" ht="14.25" customHeight="1" x14ac:dyDescent="0.35">
      <c r="B789" s="8"/>
    </row>
    <row r="790" spans="2:2" ht="14.25" customHeight="1" x14ac:dyDescent="0.35">
      <c r="B790" s="8"/>
    </row>
    <row r="791" spans="2:2" ht="14.25" customHeight="1" x14ac:dyDescent="0.35">
      <c r="B791" s="8"/>
    </row>
    <row r="792" spans="2:2" ht="14.25" customHeight="1" x14ac:dyDescent="0.35">
      <c r="B792" s="8"/>
    </row>
    <row r="793" spans="2:2" ht="14.25" customHeight="1" x14ac:dyDescent="0.35">
      <c r="B793" s="8"/>
    </row>
    <row r="794" spans="2:2" ht="14.25" customHeight="1" x14ac:dyDescent="0.35">
      <c r="B794" s="8"/>
    </row>
    <row r="795" spans="2:2" ht="14.25" customHeight="1" x14ac:dyDescent="0.35">
      <c r="B795" s="8"/>
    </row>
    <row r="796" spans="2:2" ht="14.25" customHeight="1" x14ac:dyDescent="0.35">
      <c r="B796" s="8"/>
    </row>
    <row r="797" spans="2:2" ht="14.25" customHeight="1" x14ac:dyDescent="0.35">
      <c r="B797" s="8"/>
    </row>
    <row r="798" spans="2:2" ht="14.25" customHeight="1" x14ac:dyDescent="0.35">
      <c r="B798" s="8"/>
    </row>
    <row r="799" spans="2:2" ht="14.25" customHeight="1" x14ac:dyDescent="0.35">
      <c r="B799" s="8"/>
    </row>
    <row r="800" spans="2:2" ht="14.25" customHeight="1" x14ac:dyDescent="0.35">
      <c r="B800" s="8"/>
    </row>
    <row r="801" spans="2:2" ht="14.25" customHeight="1" x14ac:dyDescent="0.35">
      <c r="B801" s="8"/>
    </row>
    <row r="802" spans="2:2" ht="14.25" customHeight="1" x14ac:dyDescent="0.35">
      <c r="B802" s="8"/>
    </row>
    <row r="803" spans="2:2" ht="14.25" customHeight="1" x14ac:dyDescent="0.35">
      <c r="B803" s="8"/>
    </row>
    <row r="804" spans="2:2" ht="14.25" customHeight="1" x14ac:dyDescent="0.35">
      <c r="B804" s="8"/>
    </row>
    <row r="805" spans="2:2" ht="14.25" customHeight="1" x14ac:dyDescent="0.35">
      <c r="B805" s="8"/>
    </row>
    <row r="806" spans="2:2" ht="14.25" customHeight="1" x14ac:dyDescent="0.35">
      <c r="B806" s="8"/>
    </row>
    <row r="807" spans="2:2" ht="14.25" customHeight="1" x14ac:dyDescent="0.35">
      <c r="B807" s="8"/>
    </row>
    <row r="808" spans="2:2" ht="14.25" customHeight="1" x14ac:dyDescent="0.35">
      <c r="B808" s="8"/>
    </row>
    <row r="809" spans="2:2" ht="14.25" customHeight="1" x14ac:dyDescent="0.35">
      <c r="B809" s="8"/>
    </row>
    <row r="810" spans="2:2" ht="14.25" customHeight="1" x14ac:dyDescent="0.35">
      <c r="B810" s="8"/>
    </row>
    <row r="811" spans="2:2" ht="14.25" customHeight="1" x14ac:dyDescent="0.35">
      <c r="B811" s="8"/>
    </row>
    <row r="812" spans="2:2" ht="14.25" customHeight="1" x14ac:dyDescent="0.35">
      <c r="B812" s="8"/>
    </row>
    <row r="813" spans="2:2" ht="14.25" customHeight="1" x14ac:dyDescent="0.35">
      <c r="B813" s="8"/>
    </row>
    <row r="814" spans="2:2" ht="14.25" customHeight="1" x14ac:dyDescent="0.35">
      <c r="B814" s="8"/>
    </row>
    <row r="815" spans="2:2" ht="14.25" customHeight="1" x14ac:dyDescent="0.35">
      <c r="B815" s="8"/>
    </row>
    <row r="816" spans="2:2" ht="14.25" customHeight="1" x14ac:dyDescent="0.35">
      <c r="B816" s="8"/>
    </row>
    <row r="817" spans="2:2" ht="14.25" customHeight="1" x14ac:dyDescent="0.35">
      <c r="B817" s="8"/>
    </row>
    <row r="818" spans="2:2" ht="14.25" customHeight="1" x14ac:dyDescent="0.35">
      <c r="B818" s="8"/>
    </row>
    <row r="819" spans="2:2" ht="14.25" customHeight="1" x14ac:dyDescent="0.35">
      <c r="B819" s="8"/>
    </row>
    <row r="820" spans="2:2" ht="14.25" customHeight="1" x14ac:dyDescent="0.35">
      <c r="B820" s="8"/>
    </row>
    <row r="821" spans="2:2" ht="14.25" customHeight="1" x14ac:dyDescent="0.35">
      <c r="B821" s="8"/>
    </row>
    <row r="822" spans="2:2" ht="14.25" customHeight="1" x14ac:dyDescent="0.35">
      <c r="B822" s="8"/>
    </row>
    <row r="823" spans="2:2" ht="14.25" customHeight="1" x14ac:dyDescent="0.35">
      <c r="B823" s="8"/>
    </row>
    <row r="824" spans="2:2" ht="14.25" customHeight="1" x14ac:dyDescent="0.35">
      <c r="B824" s="8"/>
    </row>
    <row r="825" spans="2:2" ht="14.25" customHeight="1" x14ac:dyDescent="0.35">
      <c r="B825" s="8"/>
    </row>
    <row r="826" spans="2:2" ht="14.25" customHeight="1" x14ac:dyDescent="0.35">
      <c r="B826" s="8"/>
    </row>
    <row r="827" spans="2:2" ht="14.25" customHeight="1" x14ac:dyDescent="0.35">
      <c r="B827" s="8"/>
    </row>
    <row r="828" spans="2:2" ht="14.25" customHeight="1" x14ac:dyDescent="0.35">
      <c r="B828" s="8"/>
    </row>
    <row r="829" spans="2:2" ht="14.25" customHeight="1" x14ac:dyDescent="0.35">
      <c r="B829" s="8"/>
    </row>
    <row r="830" spans="2:2" ht="14.25" customHeight="1" x14ac:dyDescent="0.35">
      <c r="B830" s="8"/>
    </row>
    <row r="831" spans="2:2" ht="14.25" customHeight="1" x14ac:dyDescent="0.35">
      <c r="B831" s="8"/>
    </row>
    <row r="832" spans="2:2" ht="14.25" customHeight="1" x14ac:dyDescent="0.35">
      <c r="B832" s="8"/>
    </row>
    <row r="833" spans="2:2" ht="14.25" customHeight="1" x14ac:dyDescent="0.35">
      <c r="B833" s="8"/>
    </row>
    <row r="834" spans="2:2" ht="14.25" customHeight="1" x14ac:dyDescent="0.35">
      <c r="B834" s="8"/>
    </row>
    <row r="835" spans="2:2" ht="14.25" customHeight="1" x14ac:dyDescent="0.35">
      <c r="B835" s="8"/>
    </row>
    <row r="836" spans="2:2" ht="14.25" customHeight="1" x14ac:dyDescent="0.35">
      <c r="B836" s="8"/>
    </row>
    <row r="837" spans="2:2" ht="14.25" customHeight="1" x14ac:dyDescent="0.35">
      <c r="B837" s="8"/>
    </row>
    <row r="838" spans="2:2" ht="14.25" customHeight="1" x14ac:dyDescent="0.35">
      <c r="B838" s="8"/>
    </row>
    <row r="839" spans="2:2" ht="14.25" customHeight="1" x14ac:dyDescent="0.35">
      <c r="B839" s="8"/>
    </row>
    <row r="840" spans="2:2" ht="14.25" customHeight="1" x14ac:dyDescent="0.35">
      <c r="B840" s="8"/>
    </row>
    <row r="841" spans="2:2" ht="14.25" customHeight="1" x14ac:dyDescent="0.35">
      <c r="B841" s="8"/>
    </row>
    <row r="842" spans="2:2" ht="14.25" customHeight="1" x14ac:dyDescent="0.35">
      <c r="B842" s="8"/>
    </row>
    <row r="843" spans="2:2" ht="14.25" customHeight="1" x14ac:dyDescent="0.35">
      <c r="B843" s="8"/>
    </row>
    <row r="844" spans="2:2" ht="14.25" customHeight="1" x14ac:dyDescent="0.35">
      <c r="B844" s="8"/>
    </row>
    <row r="845" spans="2:2" ht="14.25" customHeight="1" x14ac:dyDescent="0.35">
      <c r="B845" s="8"/>
    </row>
    <row r="846" spans="2:2" ht="14.25" customHeight="1" x14ac:dyDescent="0.35">
      <c r="B846" s="8"/>
    </row>
    <row r="847" spans="2:2" ht="14.25" customHeight="1" x14ac:dyDescent="0.35">
      <c r="B847" s="8"/>
    </row>
    <row r="848" spans="2:2" ht="14.25" customHeight="1" x14ac:dyDescent="0.35">
      <c r="B848" s="8"/>
    </row>
    <row r="849" spans="2:2" ht="14.25" customHeight="1" x14ac:dyDescent="0.35">
      <c r="B849" s="8"/>
    </row>
    <row r="850" spans="2:2" ht="14.25" customHeight="1" x14ac:dyDescent="0.35">
      <c r="B850" s="8"/>
    </row>
    <row r="851" spans="2:2" ht="14.25" customHeight="1" x14ac:dyDescent="0.35">
      <c r="B851" s="8"/>
    </row>
    <row r="852" spans="2:2" ht="14.25" customHeight="1" x14ac:dyDescent="0.35">
      <c r="B852" s="8"/>
    </row>
    <row r="853" spans="2:2" ht="14.25" customHeight="1" x14ac:dyDescent="0.35">
      <c r="B853" s="8"/>
    </row>
    <row r="854" spans="2:2" ht="14.25" customHeight="1" x14ac:dyDescent="0.35">
      <c r="B854" s="8"/>
    </row>
    <row r="855" spans="2:2" ht="14.25" customHeight="1" x14ac:dyDescent="0.35">
      <c r="B855" s="8"/>
    </row>
    <row r="856" spans="2:2" ht="14.25" customHeight="1" x14ac:dyDescent="0.35">
      <c r="B856" s="8"/>
    </row>
    <row r="857" spans="2:2" ht="14.25" customHeight="1" x14ac:dyDescent="0.35">
      <c r="B857" s="8"/>
    </row>
    <row r="858" spans="2:2" ht="14.25" customHeight="1" x14ac:dyDescent="0.35">
      <c r="B858" s="8"/>
    </row>
    <row r="859" spans="2:2" ht="14.25" customHeight="1" x14ac:dyDescent="0.35">
      <c r="B859" s="8"/>
    </row>
    <row r="860" spans="2:2" ht="14.25" customHeight="1" x14ac:dyDescent="0.35">
      <c r="B860" s="8"/>
    </row>
    <row r="861" spans="2:2" ht="14.25" customHeight="1" x14ac:dyDescent="0.35">
      <c r="B861" s="8"/>
    </row>
    <row r="862" spans="2:2" ht="14.25" customHeight="1" x14ac:dyDescent="0.35">
      <c r="B862" s="8"/>
    </row>
    <row r="863" spans="2:2" ht="14.25" customHeight="1" x14ac:dyDescent="0.35">
      <c r="B863" s="8"/>
    </row>
    <row r="864" spans="2:2" ht="14.25" customHeight="1" x14ac:dyDescent="0.35">
      <c r="B864" s="8"/>
    </row>
    <row r="865" spans="2:2" ht="14.25" customHeight="1" x14ac:dyDescent="0.35">
      <c r="B865" s="8"/>
    </row>
    <row r="866" spans="2:2" ht="14.25" customHeight="1" x14ac:dyDescent="0.35">
      <c r="B866" s="8"/>
    </row>
    <row r="867" spans="2:2" ht="14.25" customHeight="1" x14ac:dyDescent="0.35">
      <c r="B867" s="8"/>
    </row>
    <row r="868" spans="2:2" ht="14.25" customHeight="1" x14ac:dyDescent="0.35">
      <c r="B868" s="8"/>
    </row>
    <row r="869" spans="2:2" ht="14.25" customHeight="1" x14ac:dyDescent="0.35">
      <c r="B869" s="8"/>
    </row>
    <row r="870" spans="2:2" ht="14.25" customHeight="1" x14ac:dyDescent="0.35">
      <c r="B870" s="8"/>
    </row>
    <row r="871" spans="2:2" ht="14.25" customHeight="1" x14ac:dyDescent="0.35">
      <c r="B871" s="8"/>
    </row>
    <row r="872" spans="2:2" ht="14.25" customHeight="1" x14ac:dyDescent="0.35">
      <c r="B872" s="8"/>
    </row>
    <row r="873" spans="2:2" ht="14.25" customHeight="1" x14ac:dyDescent="0.35">
      <c r="B873" s="8"/>
    </row>
    <row r="874" spans="2:2" ht="14.25" customHeight="1" x14ac:dyDescent="0.35">
      <c r="B874" s="8"/>
    </row>
    <row r="875" spans="2:2" ht="14.25" customHeight="1" x14ac:dyDescent="0.35">
      <c r="B875" s="8"/>
    </row>
    <row r="876" spans="2:2" ht="14.25" customHeight="1" x14ac:dyDescent="0.35">
      <c r="B876" s="8"/>
    </row>
    <row r="877" spans="2:2" ht="14.25" customHeight="1" x14ac:dyDescent="0.35">
      <c r="B877" s="8"/>
    </row>
    <row r="878" spans="2:2" ht="14.25" customHeight="1" x14ac:dyDescent="0.35">
      <c r="B878" s="8"/>
    </row>
    <row r="879" spans="2:2" ht="14.25" customHeight="1" x14ac:dyDescent="0.35">
      <c r="B879" s="8"/>
    </row>
    <row r="880" spans="2:2" ht="14.25" customHeight="1" x14ac:dyDescent="0.35">
      <c r="B880" s="8"/>
    </row>
    <row r="881" spans="2:2" ht="14.25" customHeight="1" x14ac:dyDescent="0.35">
      <c r="B881" s="8"/>
    </row>
    <row r="882" spans="2:2" ht="14.25" customHeight="1" x14ac:dyDescent="0.35">
      <c r="B882" s="8"/>
    </row>
    <row r="883" spans="2:2" ht="14.25" customHeight="1" x14ac:dyDescent="0.35">
      <c r="B883" s="8"/>
    </row>
    <row r="884" spans="2:2" ht="14.25" customHeight="1" x14ac:dyDescent="0.35">
      <c r="B884" s="8"/>
    </row>
    <row r="885" spans="2:2" ht="14.25" customHeight="1" x14ac:dyDescent="0.35">
      <c r="B885" s="8"/>
    </row>
    <row r="886" spans="2:2" ht="14.25" customHeight="1" x14ac:dyDescent="0.35">
      <c r="B886" s="8"/>
    </row>
    <row r="887" spans="2:2" ht="14.25" customHeight="1" x14ac:dyDescent="0.35">
      <c r="B887" s="8"/>
    </row>
    <row r="888" spans="2:2" ht="14.25" customHeight="1" x14ac:dyDescent="0.35">
      <c r="B888" s="8"/>
    </row>
    <row r="889" spans="2:2" ht="14.25" customHeight="1" x14ac:dyDescent="0.35">
      <c r="B889" s="8"/>
    </row>
    <row r="890" spans="2:2" ht="14.25" customHeight="1" x14ac:dyDescent="0.35">
      <c r="B890" s="8"/>
    </row>
    <row r="891" spans="2:2" ht="14.25" customHeight="1" x14ac:dyDescent="0.35">
      <c r="B891" s="8"/>
    </row>
    <row r="892" spans="2:2" ht="14.25" customHeight="1" x14ac:dyDescent="0.35">
      <c r="B892" s="8"/>
    </row>
    <row r="893" spans="2:2" ht="14.25" customHeight="1" x14ac:dyDescent="0.35">
      <c r="B893" s="8"/>
    </row>
    <row r="894" spans="2:2" ht="14.25" customHeight="1" x14ac:dyDescent="0.35">
      <c r="B894" s="8"/>
    </row>
    <row r="895" spans="2:2" ht="14.25" customHeight="1" x14ac:dyDescent="0.35">
      <c r="B895" s="8"/>
    </row>
    <row r="896" spans="2:2" ht="14.25" customHeight="1" x14ac:dyDescent="0.35">
      <c r="B896" s="8"/>
    </row>
    <row r="897" spans="2:2" ht="14.25" customHeight="1" x14ac:dyDescent="0.35">
      <c r="B897" s="8"/>
    </row>
    <row r="898" spans="2:2" ht="14.25" customHeight="1" x14ac:dyDescent="0.35">
      <c r="B898" s="8"/>
    </row>
    <row r="899" spans="2:2" ht="14.25" customHeight="1" x14ac:dyDescent="0.35">
      <c r="B899" s="8"/>
    </row>
    <row r="900" spans="2:2" ht="14.25" customHeight="1" x14ac:dyDescent="0.35">
      <c r="B900" s="8"/>
    </row>
    <row r="901" spans="2:2" ht="14.25" customHeight="1" x14ac:dyDescent="0.35">
      <c r="B901" s="8"/>
    </row>
    <row r="902" spans="2:2" ht="14.25" customHeight="1" x14ac:dyDescent="0.35">
      <c r="B902" s="8"/>
    </row>
    <row r="903" spans="2:2" ht="14.25" customHeight="1" x14ac:dyDescent="0.35">
      <c r="B903" s="8"/>
    </row>
    <row r="904" spans="2:2" ht="14.25" customHeight="1" x14ac:dyDescent="0.35">
      <c r="B904" s="8"/>
    </row>
    <row r="905" spans="2:2" ht="14.25" customHeight="1" x14ac:dyDescent="0.35">
      <c r="B905" s="8"/>
    </row>
    <row r="906" spans="2:2" ht="14.25" customHeight="1" x14ac:dyDescent="0.35">
      <c r="B906" s="8"/>
    </row>
    <row r="907" spans="2:2" ht="14.25" customHeight="1" x14ac:dyDescent="0.35">
      <c r="B907" s="8"/>
    </row>
    <row r="908" spans="2:2" ht="14.25" customHeight="1" x14ac:dyDescent="0.35">
      <c r="B908" s="8"/>
    </row>
    <row r="909" spans="2:2" ht="14.25" customHeight="1" x14ac:dyDescent="0.35">
      <c r="B909" s="8"/>
    </row>
    <row r="910" spans="2:2" ht="14.25" customHeight="1" x14ac:dyDescent="0.35">
      <c r="B910" s="8"/>
    </row>
    <row r="911" spans="2:2" ht="14.25" customHeight="1" x14ac:dyDescent="0.35">
      <c r="B911" s="8"/>
    </row>
    <row r="912" spans="2:2" ht="14.25" customHeight="1" x14ac:dyDescent="0.35">
      <c r="B912" s="8"/>
    </row>
    <row r="913" spans="2:2" ht="14.25" customHeight="1" x14ac:dyDescent="0.35">
      <c r="B913" s="8"/>
    </row>
    <row r="914" spans="2:2" ht="14.25" customHeight="1" x14ac:dyDescent="0.35">
      <c r="B914" s="8"/>
    </row>
    <row r="915" spans="2:2" ht="14.25" customHeight="1" x14ac:dyDescent="0.35">
      <c r="B915" s="8"/>
    </row>
    <row r="916" spans="2:2" ht="14.25" customHeight="1" x14ac:dyDescent="0.35">
      <c r="B916" s="8"/>
    </row>
    <row r="917" spans="2:2" ht="14.25" customHeight="1" x14ac:dyDescent="0.35">
      <c r="B917" s="8"/>
    </row>
    <row r="918" spans="2:2" ht="14.25" customHeight="1" x14ac:dyDescent="0.35">
      <c r="B918" s="8"/>
    </row>
    <row r="919" spans="2:2" ht="14.25" customHeight="1" x14ac:dyDescent="0.35">
      <c r="B919" s="8"/>
    </row>
    <row r="920" spans="2:2" ht="14.25" customHeight="1" x14ac:dyDescent="0.35">
      <c r="B920" s="8"/>
    </row>
    <row r="921" spans="2:2" ht="14.25" customHeight="1" x14ac:dyDescent="0.35">
      <c r="B921" s="8"/>
    </row>
    <row r="922" spans="2:2" ht="14.25" customHeight="1" x14ac:dyDescent="0.35">
      <c r="B922" s="8"/>
    </row>
    <row r="923" spans="2:2" ht="14.25" customHeight="1" x14ac:dyDescent="0.35">
      <c r="B923" s="8"/>
    </row>
    <row r="924" spans="2:2" ht="14.25" customHeight="1" x14ac:dyDescent="0.35">
      <c r="B924" s="8"/>
    </row>
    <row r="925" spans="2:2" ht="14.25" customHeight="1" x14ac:dyDescent="0.35">
      <c r="B925" s="8"/>
    </row>
    <row r="926" spans="2:2" ht="14.25" customHeight="1" x14ac:dyDescent="0.35">
      <c r="B926" s="8"/>
    </row>
    <row r="927" spans="2:2" ht="14.25" customHeight="1" x14ac:dyDescent="0.35">
      <c r="B927" s="8"/>
    </row>
    <row r="928" spans="2:2" ht="14.25" customHeight="1" x14ac:dyDescent="0.35">
      <c r="B928" s="8"/>
    </row>
    <row r="929" spans="2:2" ht="14.25" customHeight="1" x14ac:dyDescent="0.35">
      <c r="B929" s="8"/>
    </row>
    <row r="930" spans="2:2" ht="14.25" customHeight="1" x14ac:dyDescent="0.35">
      <c r="B930" s="8"/>
    </row>
    <row r="931" spans="2:2" ht="14.25" customHeight="1" x14ac:dyDescent="0.35">
      <c r="B931" s="8"/>
    </row>
    <row r="932" spans="2:2" ht="14.25" customHeight="1" x14ac:dyDescent="0.35">
      <c r="B932" s="8"/>
    </row>
    <row r="933" spans="2:2" ht="14.25" customHeight="1" x14ac:dyDescent="0.35">
      <c r="B933" s="8"/>
    </row>
    <row r="934" spans="2:2" ht="14.25" customHeight="1" x14ac:dyDescent="0.35">
      <c r="B934" s="8"/>
    </row>
    <row r="935" spans="2:2" ht="14.25" customHeight="1" x14ac:dyDescent="0.35">
      <c r="B935" s="8"/>
    </row>
    <row r="936" spans="2:2" ht="14.25" customHeight="1" x14ac:dyDescent="0.35">
      <c r="B936" s="8"/>
    </row>
    <row r="937" spans="2:2" ht="14.25" customHeight="1" x14ac:dyDescent="0.35">
      <c r="B937" s="8"/>
    </row>
    <row r="938" spans="2:2" ht="14.25" customHeight="1" x14ac:dyDescent="0.35">
      <c r="B938" s="8"/>
    </row>
    <row r="939" spans="2:2" ht="14.25" customHeight="1" x14ac:dyDescent="0.35">
      <c r="B939" s="8"/>
    </row>
    <row r="940" spans="2:2" ht="14.25" customHeight="1" x14ac:dyDescent="0.35">
      <c r="B940" s="8"/>
    </row>
    <row r="941" spans="2:2" ht="14.25" customHeight="1" x14ac:dyDescent="0.35">
      <c r="B941" s="8"/>
    </row>
    <row r="942" spans="2:2" ht="14.25" customHeight="1" x14ac:dyDescent="0.35">
      <c r="B942" s="8"/>
    </row>
    <row r="943" spans="2:2" ht="14.25" customHeight="1" x14ac:dyDescent="0.35">
      <c r="B943" s="8"/>
    </row>
    <row r="944" spans="2:2" ht="14.25" customHeight="1" x14ac:dyDescent="0.35">
      <c r="B944" s="8"/>
    </row>
    <row r="945" spans="2:2" ht="14.25" customHeight="1" x14ac:dyDescent="0.35">
      <c r="B945" s="8"/>
    </row>
    <row r="946" spans="2:2" ht="14.25" customHeight="1" x14ac:dyDescent="0.35">
      <c r="B946" s="8"/>
    </row>
    <row r="947" spans="2:2" ht="14.25" customHeight="1" x14ac:dyDescent="0.35">
      <c r="B947" s="8"/>
    </row>
    <row r="948" spans="2:2" ht="14.25" customHeight="1" x14ac:dyDescent="0.35">
      <c r="B948" s="8"/>
    </row>
    <row r="949" spans="2:2" ht="14.25" customHeight="1" x14ac:dyDescent="0.35">
      <c r="B949" s="8"/>
    </row>
    <row r="950" spans="2:2" ht="14.25" customHeight="1" x14ac:dyDescent="0.35">
      <c r="B950" s="8"/>
    </row>
    <row r="951" spans="2:2" ht="14.25" customHeight="1" x14ac:dyDescent="0.35">
      <c r="B951" s="8"/>
    </row>
    <row r="952" spans="2:2" ht="14.25" customHeight="1" x14ac:dyDescent="0.35">
      <c r="B952" s="8"/>
    </row>
    <row r="953" spans="2:2" ht="14.25" customHeight="1" x14ac:dyDescent="0.35">
      <c r="B953" s="8"/>
    </row>
    <row r="954" spans="2:2" ht="14.25" customHeight="1" x14ac:dyDescent="0.35">
      <c r="B954" s="8"/>
    </row>
    <row r="955" spans="2:2" ht="14.25" customHeight="1" x14ac:dyDescent="0.35">
      <c r="B955" s="8"/>
    </row>
    <row r="956" spans="2:2" ht="14.25" customHeight="1" x14ac:dyDescent="0.35">
      <c r="B956" s="8"/>
    </row>
    <row r="957" spans="2:2" ht="14.25" customHeight="1" x14ac:dyDescent="0.35">
      <c r="B957" s="8"/>
    </row>
    <row r="958" spans="2:2" ht="14.25" customHeight="1" x14ac:dyDescent="0.35">
      <c r="B958" s="8"/>
    </row>
    <row r="959" spans="2:2" ht="14.25" customHeight="1" x14ac:dyDescent="0.35">
      <c r="B959" s="8"/>
    </row>
    <row r="960" spans="2:2" ht="14.25" customHeight="1" x14ac:dyDescent="0.35">
      <c r="B960" s="8"/>
    </row>
    <row r="961" spans="2:2" ht="14.25" customHeight="1" x14ac:dyDescent="0.35">
      <c r="B961" s="8"/>
    </row>
    <row r="962" spans="2:2" ht="14.25" customHeight="1" x14ac:dyDescent="0.35">
      <c r="B962" s="8"/>
    </row>
    <row r="963" spans="2:2" ht="14.25" customHeight="1" x14ac:dyDescent="0.35">
      <c r="B963" s="8"/>
    </row>
    <row r="964" spans="2:2" ht="14.25" customHeight="1" x14ac:dyDescent="0.35">
      <c r="B964" s="8"/>
    </row>
    <row r="965" spans="2:2" ht="14.25" customHeight="1" x14ac:dyDescent="0.35">
      <c r="B965" s="8"/>
    </row>
    <row r="966" spans="2:2" ht="14.25" customHeight="1" x14ac:dyDescent="0.35">
      <c r="B966" s="8"/>
    </row>
    <row r="967" spans="2:2" ht="14.25" customHeight="1" x14ac:dyDescent="0.35">
      <c r="B967" s="8"/>
    </row>
    <row r="968" spans="2:2" ht="14.25" customHeight="1" x14ac:dyDescent="0.35">
      <c r="B968" s="8"/>
    </row>
    <row r="969" spans="2:2" ht="14.25" customHeight="1" x14ac:dyDescent="0.35">
      <c r="B969" s="8"/>
    </row>
    <row r="970" spans="2:2" ht="14.25" customHeight="1" x14ac:dyDescent="0.35">
      <c r="B970" s="8"/>
    </row>
    <row r="971" spans="2:2" ht="14.25" customHeight="1" x14ac:dyDescent="0.35">
      <c r="B971" s="8"/>
    </row>
    <row r="972" spans="2:2" ht="14.25" customHeight="1" x14ac:dyDescent="0.35">
      <c r="B972" s="8"/>
    </row>
    <row r="973" spans="2:2" ht="14.25" customHeight="1" x14ac:dyDescent="0.35">
      <c r="B973" s="8"/>
    </row>
    <row r="974" spans="2:2" ht="14.25" customHeight="1" x14ac:dyDescent="0.35">
      <c r="B974" s="8"/>
    </row>
    <row r="975" spans="2:2" ht="14.25" customHeight="1" x14ac:dyDescent="0.35">
      <c r="B975" s="8"/>
    </row>
    <row r="976" spans="2:2" ht="14.25" customHeight="1" x14ac:dyDescent="0.35">
      <c r="B976" s="8"/>
    </row>
    <row r="977" spans="2:2" ht="14.25" customHeight="1" x14ac:dyDescent="0.35">
      <c r="B977" s="8"/>
    </row>
    <row r="978" spans="2:2" ht="14.25" customHeight="1" x14ac:dyDescent="0.35">
      <c r="B978" s="8"/>
    </row>
    <row r="979" spans="2:2" ht="14.25" customHeight="1" x14ac:dyDescent="0.35">
      <c r="B979" s="8"/>
    </row>
    <row r="980" spans="2:2" ht="14.25" customHeight="1" x14ac:dyDescent="0.35">
      <c r="B980" s="8"/>
    </row>
    <row r="981" spans="2:2" ht="14.25" customHeight="1" x14ac:dyDescent="0.35">
      <c r="B981" s="8"/>
    </row>
    <row r="982" spans="2:2" ht="14.25" customHeight="1" x14ac:dyDescent="0.35">
      <c r="B982" s="8"/>
    </row>
    <row r="983" spans="2:2" ht="14.25" customHeight="1" x14ac:dyDescent="0.35">
      <c r="B983" s="8"/>
    </row>
    <row r="984" spans="2:2" ht="14.25" customHeight="1" x14ac:dyDescent="0.35">
      <c r="B984" s="8"/>
    </row>
    <row r="985" spans="2:2" ht="14.25" customHeight="1" x14ac:dyDescent="0.35">
      <c r="B985" s="8"/>
    </row>
    <row r="986" spans="2:2" ht="14.25" customHeight="1" x14ac:dyDescent="0.35">
      <c r="B986" s="8"/>
    </row>
    <row r="987" spans="2:2" ht="14.25" customHeight="1" x14ac:dyDescent="0.35">
      <c r="B987" s="8"/>
    </row>
    <row r="988" spans="2:2" ht="14.25" customHeight="1" x14ac:dyDescent="0.35">
      <c r="B988" s="8"/>
    </row>
    <row r="989" spans="2:2" ht="14.25" customHeight="1" x14ac:dyDescent="0.35">
      <c r="B989" s="8"/>
    </row>
    <row r="990" spans="2:2" ht="14.25" customHeight="1" x14ac:dyDescent="0.35">
      <c r="B990" s="8"/>
    </row>
    <row r="991" spans="2:2" ht="14.25" customHeight="1" x14ac:dyDescent="0.35">
      <c r="B991" s="8"/>
    </row>
    <row r="992" spans="2:2" ht="14.25" customHeight="1" x14ac:dyDescent="0.35">
      <c r="B992" s="8"/>
    </row>
    <row r="993" spans="2:2" ht="14.25" customHeight="1" x14ac:dyDescent="0.35">
      <c r="B993" s="8"/>
    </row>
    <row r="994" spans="2:2" ht="14.25" customHeight="1" x14ac:dyDescent="0.35">
      <c r="B994" s="8"/>
    </row>
    <row r="995" spans="2:2" ht="14.25" customHeight="1" x14ac:dyDescent="0.35">
      <c r="B995" s="8"/>
    </row>
    <row r="996" spans="2:2" ht="14.25" customHeight="1" x14ac:dyDescent="0.35">
      <c r="B996" s="8"/>
    </row>
    <row r="997" spans="2:2" ht="14.25" customHeight="1" x14ac:dyDescent="0.35">
      <c r="B997" s="8"/>
    </row>
    <row r="998" spans="2:2" ht="14.25" customHeight="1" x14ac:dyDescent="0.35">
      <c r="B998" s="8"/>
    </row>
    <row r="999" spans="2:2" ht="14.25" customHeight="1" x14ac:dyDescent="0.35">
      <c r="B999" s="8"/>
    </row>
    <row r="1000" spans="2:2" ht="14.25" customHeight="1" x14ac:dyDescent="0.35">
      <c r="B1000" s="8"/>
    </row>
  </sheetData>
  <sortState xmlns:xlrd2="http://schemas.microsoft.com/office/spreadsheetml/2017/richdata2" ref="D16:H19">
    <sortCondition descending="1" ref="G16:G19"/>
  </sortState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A8EF58-C6DF-452C-AEC2-A35D95C0B4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TABLE</vt:lpstr>
      <vt:lpstr>Posts (2)</vt:lpstr>
      <vt:lpstr>post</vt:lpstr>
      <vt:lpstr>Engagement Summary</vt:lpstr>
      <vt:lpstr>Campaign MetaData</vt:lpstr>
      <vt:lpstr>Campaign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Rashmita Pradhan</cp:lastModifiedBy>
  <dcterms:created xsi:type="dcterms:W3CDTF">2025-05-26T02:16:03Z</dcterms:created>
  <dcterms:modified xsi:type="dcterms:W3CDTF">2026-01-20T19:12:15Z</dcterms:modified>
</cp:coreProperties>
</file>