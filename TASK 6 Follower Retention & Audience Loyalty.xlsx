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romia\Downloads\PEPSICO PROJECT (DS)\"/>
    </mc:Choice>
  </mc:AlternateContent>
  <xr:revisionPtr revIDLastSave="0" documentId="13_ncr:1_{F2DDE720-6362-48A7-A1CB-11295AF76E08}" xr6:coauthVersionLast="47" xr6:coauthVersionMax="47" xr10:uidLastSave="{00000000-0000-0000-0000-000000000000}"/>
  <bookViews>
    <workbookView xWindow="-110" yWindow="-110" windowWidth="19420" windowHeight="10300" firstSheet="4" activeTab="4" xr2:uid="{00000000-000D-0000-FFFF-FFFF00000000}"/>
  </bookViews>
  <sheets>
    <sheet name="Posts" sheetId="1" r:id="rId1"/>
    <sheet name="Engagement Summary correlation" sheetId="13" r:id="rId2"/>
    <sheet name="Engagement Summary (2)" sheetId="4" r:id="rId3"/>
    <sheet name="Weekly follower growth line cha" sheetId="6" r:id="rId4"/>
    <sheet name="highest net follower gain" sheetId="8" r:id="rId5"/>
    <sheet name="Moving Average" sheetId="11" r:id="rId6"/>
    <sheet name="Correlation" sheetId="14" r:id="rId7"/>
  </sheets>
  <definedNames>
    <definedName name="_xlnm._FilterDatabase" localSheetId="0" hidden="1">Posts!$A$1:$Z$301</definedName>
    <definedName name="_xlcn.WorksheetConnection_EngagementSummary2AH1" hidden="1">'Engagement Summary (2)'!$A:$H</definedName>
    <definedName name="_xlcn.WorksheetConnection_FollowerRetentionAudienceLoyalty.xlsxEngagement_Summary1" hidden="1">Engagement_Summary[]</definedName>
    <definedName name="ExternalData_1" localSheetId="2" hidden="1">'Engagement Summary (2)'!$A$1:$H$201</definedName>
    <definedName name="Slicer_Platform">#N/A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ngagement Summary (2)!$A:$H"/>
          <x15:modelTable id="Engagement_Summary" name="Engagement_Summary" connection="WorksheetConnection_Follower Retention &amp; Audience Loyalty.xlsx!Engagement_Summary"/>
        </x15:modelTables>
        <x15:extLst>
          <ext xmlns:x16="http://schemas.microsoft.com/office/spreadsheetml/2014/11/main" uri="{9835A34E-60A6-4A7C-AAB8-D5F71C897F49}">
            <x16:modelTimeGroupings>
              <x16:modelTimeGrouping tableName="Range" columnName="Week_Start_Date" columnId="Week_Start_Date">
                <x16:calculatedTimeColumn columnName="Week_Start_Date (Year)" columnId="Week_Start_Date (Year)" contentType="years" isSelected="1"/>
                <x16:calculatedTimeColumn columnName="Week_Start_Date (Quarter)" columnId="Week_Start_Date (Quarter)" contentType="quarters" isSelected="0"/>
                <x16:calculatedTimeColumn columnName="Week_Start_Date (Month Index)" columnId="Week_Start_Date (Month Index)" contentType="monthsindex" isSelected="1"/>
                <x16:calculatedTimeColumn columnName="Week_Start_Date (Month)" columnId="Week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bhSlxfWvTgv8XKEk2OsP6o8jWik31LnAbkDVGdJdyIg="/>
    </ext>
  </extLst>
</workbook>
</file>

<file path=xl/calcChain.xml><?xml version="1.0" encoding="utf-8"?>
<calcChain xmlns="http://schemas.openxmlformats.org/spreadsheetml/2006/main">
  <c r="J7" i="13" l="1"/>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2F89F-B051-4925-8ADF-E75E07197D6C}"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2" xr16:uid="{21EACD7E-F65F-4EAA-BD24-788FA86F4CE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E674C08-0D48-4A51-8756-0AE72D042FE3}" name="WorksheetConnection_Engagement Summary (2)!$A:$H" type="102" refreshedVersion="7" minRefreshableVersion="5">
    <extLst>
      <ext xmlns:x15="http://schemas.microsoft.com/office/spreadsheetml/2010/11/main" uri="{DE250136-89BD-433C-8126-D09CA5730AF9}">
        <x15:connection id="Range" autoDelete="1">
          <x15:rangePr sourceName="_xlcn.WorksheetConnection_EngagementSummary2AH1"/>
        </x15:connection>
      </ext>
    </extLst>
  </connection>
  <connection id="4" xr16:uid="{4A00A4FF-2F45-4CC2-B6A4-4E1FC4BD90BA}" name="WorksheetConnection_Follower Retention &amp; Audience Loyalty.xlsx!Engagement_Summary" type="102" refreshedVersion="7" minRefreshableVersion="5">
    <extLst>
      <ext xmlns:x15="http://schemas.microsoft.com/office/spreadsheetml/2010/11/main" uri="{DE250136-89BD-433C-8126-D09CA5730AF9}">
        <x15:connection id="Engagement_Summary">
          <x15:rangePr sourceName="_xlcn.WorksheetConnection_FollowerRetentionAudienceLoyalty.xlsxEngagement_Summary1"/>
        </x15:connection>
      </ext>
    </extLst>
  </connection>
</connections>
</file>

<file path=xl/sharedStrings.xml><?xml version="1.0" encoding="utf-8"?>
<sst xmlns="http://schemas.openxmlformats.org/spreadsheetml/2006/main" count="3315" uniqueCount="813">
  <si>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</si>
  <si>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</si>
  <si>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</si>
  <si>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</si>
  <si>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</si>
  <si>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</si>
  <si>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</si>
  <si>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</si>
  <si>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</si>
  <si>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</si>
  <si>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</si>
  <si>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</si>
  <si>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</si>
  <si>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</si>
  <si>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</si>
  <si>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</si>
  <si>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</si>
  <si>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Check out our latest reel on twitter!</t>
  </si>
  <si>
    <t>#LiveForNow,#AnytimeIsPepsiTime</t>
  </si>
  <si>
    <t>SummerSplash</t>
  </si>
  <si>
    <t>P002</t>
  </si>
  <si>
    <t>2025-04-03</t>
  </si>
  <si>
    <t>Text</t>
  </si>
  <si>
    <t>Check out our latest text on twitter!</t>
  </si>
  <si>
    <t>#PepsiCoRefresh,#BetterWithPepsi</t>
  </si>
  <si>
    <t>FestiveRadiance</t>
  </si>
  <si>
    <t>P003</t>
  </si>
  <si>
    <t>YouTube</t>
  </si>
  <si>
    <t>2025-05-12</t>
  </si>
  <si>
    <t>Check out our latest reel on youtube!</t>
  </si>
  <si>
    <t>#PepsiCoRefresh</t>
  </si>
  <si>
    <t>NewYearRefresh</t>
  </si>
  <si>
    <t>P004</t>
  </si>
  <si>
    <t>Instagram</t>
  </si>
  <si>
    <t>2024-08-12</t>
  </si>
  <si>
    <t>Story</t>
  </si>
  <si>
    <t>Check out our latest story on instagram!</t>
  </si>
  <si>
    <t>#ThirstyForMore</t>
  </si>
  <si>
    <t>DailyWellness</t>
  </si>
  <si>
    <t>P005</t>
  </si>
  <si>
    <t>2024-06-26</t>
  </si>
  <si>
    <t>#ThirstyForMore,#PepsiCoRefresh</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</si>
  <si>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</si>
  <si>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</si>
  <si>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</si>
  <si>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</si>
  <si>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</si>
  <si>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</si>
  <si>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</si>
  <si>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</si>
  <si>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</si>
  <si>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</si>
  <si>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</si>
  <si>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</si>
  <si>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</si>
  <si>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</si>
  <si>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</si>
  <si>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</si>
  <si>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</si>
  <si>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</si>
  <si>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</si>
  <si>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</si>
  <si>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#LiveForNow</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</si>
  <si>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</si>
  <si>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</si>
  <si>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</si>
  <si>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</si>
  <si>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</si>
  <si>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</si>
  <si>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</si>
  <si>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</si>
  <si>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</si>
  <si>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</si>
  <si>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</si>
  <si>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</si>
  <si>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</si>
  <si>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</si>
  <si>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</si>
  <si>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</si>
  <si>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</si>
  <si>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</si>
  <si>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</si>
  <si>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</si>
  <si>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</si>
  <si>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</si>
  <si>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</si>
  <si>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</si>
  <si>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</si>
  <si>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</si>
  <si>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</si>
  <si>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</si>
  <si>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</si>
  <si>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</si>
  <si>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</si>
  <si>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</si>
  <si>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#PepsiCoRefresh,#AnytimeIsPepsiTime</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</si>
  <si>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</si>
  <si>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</si>
  <si>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</si>
  <si>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</si>
  <si>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</si>
  <si>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</si>
  <si>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</si>
  <si>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</si>
  <si>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</si>
  <si>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</si>
  <si>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</si>
  <si>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</si>
  <si>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</si>
  <si>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</si>
  <si>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</si>
  <si>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</si>
  <si>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</si>
  <si>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</si>
  <si>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</si>
  <si>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</si>
  <si>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</si>
  <si>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</si>
  <si>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</si>
  <si>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</si>
  <si>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</si>
  <si>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</si>
  <si>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</si>
  <si>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</si>
  <si>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</si>
  <si>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</si>
  <si>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</si>
  <si>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</si>
  <si>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</si>
  <si>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</si>
  <si>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</si>
  <si>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</si>
  <si>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</si>
  <si>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</si>
  <si>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</si>
  <si>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</si>
  <si>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</si>
  <si>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</si>
  <si>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</si>
  <si>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</si>
  <si>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</si>
  <si>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</si>
  <si>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</si>
  <si>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</si>
  <si>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</si>
  <si>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</si>
  <si>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</si>
  <si>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</si>
  <si>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</si>
  <si>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</si>
  <si>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</si>
  <si>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</si>
  <si>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</si>
  <si>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</si>
  <si>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</si>
  <si>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</si>
  <si>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</si>
  <si>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</si>
  <si>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</si>
  <si>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</si>
  <si>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#ThirstyForMore,#BetterWithPepsi</t>
  </si>
  <si>
    <t>P054</t>
  </si>
  <si>
    <t>2025-03-13</t>
  </si>
  <si>
    <t>P055</t>
  </si>
  <si>
    <t>2024-06-17</t>
  </si>
  <si>
    <t>P056</t>
  </si>
  <si>
    <t>2024-12-18</t>
  </si>
  <si>
    <t>P057</t>
  </si>
  <si>
    <t>2024-10-21</t>
  </si>
  <si>
    <t>P058</t>
  </si>
  <si>
    <t>2025-04-15</t>
  </si>
  <si>
    <t>P059</t>
  </si>
  <si>
    <t>2024-06-22</t>
  </si>
  <si>
    <t>P060</t>
  </si>
  <si>
    <t>2025-01-28</t>
  </si>
  <si>
    <t>#ThirstyForMore,#PepsiCoRefresh,#AnytimeIsPepsiTime</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</si>
  <si>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</si>
  <si>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</si>
  <si>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</si>
  <si>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</si>
  <si>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</si>
  <si>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</si>
  <si>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</si>
  <si>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</si>
  <si>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</si>
  <si>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</si>
  <si>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</si>
  <si>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</si>
  <si>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</si>
  <si>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</si>
  <si>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</si>
  <si>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</si>
  <si>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</si>
  <si>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</si>
  <si>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</si>
  <si>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</si>
  <si>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</si>
  <si>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</si>
  <si>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</si>
  <si>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</si>
  <si>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</si>
  <si>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</si>
  <si>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</si>
  <si>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</si>
  <si>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</si>
  <si>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</si>
  <si>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</si>
  <si>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</si>
  <si>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</si>
  <si>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</si>
  <si>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</si>
  <si>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</si>
  <si>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</si>
  <si>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</si>
  <si>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</si>
  <si>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</si>
  <si>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#LiveForNow,#PepsiCoRefresh,#AnytimeIsPepsiTime</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</si>
  <si>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</si>
  <si>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</si>
  <si>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</si>
  <si>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</si>
  <si>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</si>
  <si>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</si>
  <si>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</si>
  <si>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</si>
  <si>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</si>
  <si>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</si>
  <si>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</si>
  <si>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</si>
  <si>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</si>
  <si>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</si>
  <si>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</si>
  <si>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</si>
  <si>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</si>
  <si>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</si>
  <si>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</si>
  <si>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</si>
  <si>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</si>
  <si>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</si>
  <si>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</si>
  <si>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</si>
  <si>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</si>
  <si>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</si>
  <si>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</si>
  <si>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</si>
  <si>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</si>
  <si>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</si>
  <si>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</si>
  <si>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</si>
  <si>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</si>
  <si>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</si>
  <si>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</si>
  <si>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</si>
  <si>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</si>
  <si>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</si>
  <si>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</si>
  <si>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</si>
  <si>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</si>
  <si>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</si>
  <si>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</si>
  <si>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</si>
  <si>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</si>
  <si>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</si>
  <si>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</si>
  <si>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</si>
  <si>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</si>
  <si>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</si>
  <si>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</si>
  <si>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</si>
  <si>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</si>
  <si>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</si>
  <si>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</si>
  <si>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</si>
  <si>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</si>
  <si>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</si>
  <si>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</si>
  <si>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</si>
  <si>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</si>
  <si>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</si>
  <si>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</si>
  <si>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</si>
  <si>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</si>
  <si>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</si>
  <si>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</si>
  <si>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</si>
  <si>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</si>
  <si>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</si>
  <si>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</si>
  <si>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</si>
  <si>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</si>
  <si>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</si>
  <si>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</si>
  <si>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</si>
  <si>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</si>
  <si>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</si>
  <si>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</si>
  <si>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</si>
  <si>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</si>
  <si>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</si>
  <si>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</si>
  <si>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</si>
  <si>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</si>
  <si>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</si>
  <si>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</si>
  <si>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</si>
  <si>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</si>
  <si>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</si>
  <si>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</si>
  <si>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</si>
  <si>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</si>
  <si>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</si>
  <si>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</si>
  <si>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</si>
  <si>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</si>
  <si>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</si>
  <si>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</si>
  <si>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#ThirstyForMore,#SmoothLikeNitroPepsi</t>
  </si>
  <si>
    <t>P141</t>
  </si>
  <si>
    <t>2024-08-31</t>
  </si>
  <si>
    <t>P142</t>
  </si>
  <si>
    <t>P143</t>
  </si>
  <si>
    <t>P144</t>
  </si>
  <si>
    <t>P145</t>
  </si>
  <si>
    <t>P146</t>
  </si>
  <si>
    <t>2024-06-05</t>
  </si>
  <si>
    <t>#ThirstyForMore,#AnytimeIsPepsiTime</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</si>
  <si>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</si>
  <si>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</si>
  <si>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</si>
  <si>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</si>
  <si>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</si>
  <si>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</si>
  <si>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</si>
  <si>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</si>
  <si>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</si>
  <si>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</si>
  <si>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</si>
  <si>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</si>
  <si>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</si>
  <si>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</si>
  <si>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</si>
  <si>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</si>
  <si>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</si>
  <si>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</si>
  <si>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</si>
  <si>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</si>
  <si>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</si>
  <si>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</si>
  <si>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</si>
  <si>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</si>
  <si>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</si>
  <si>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</si>
  <si>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</si>
  <si>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</si>
  <si>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</si>
  <si>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</si>
  <si>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</si>
  <si>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</si>
  <si>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</si>
  <si>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</si>
  <si>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</si>
  <si>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</si>
  <si>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</si>
  <si>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</si>
  <si>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</si>
  <si>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</si>
  <si>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</si>
  <si>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</si>
  <si>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</si>
  <si>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</si>
  <si>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</si>
  <si>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</si>
  <si>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</si>
  <si>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</si>
  <si>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</si>
  <si>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</si>
  <si>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</si>
  <si>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</si>
  <si>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</si>
  <si>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</si>
  <si>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</si>
  <si>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</si>
  <si>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</si>
  <si>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</si>
  <si>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</si>
  <si>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</si>
  <si>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</si>
  <si>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</si>
  <si>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</si>
  <si>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</si>
  <si>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</si>
  <si>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</si>
  <si>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</si>
  <si>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</si>
  <si>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</si>
  <si>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</si>
  <si>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</si>
  <si>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</si>
  <si>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</si>
  <si>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</si>
  <si>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</si>
  <si>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</si>
  <si>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</si>
  <si>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</si>
  <si>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</si>
  <si>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</si>
  <si>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</si>
  <si>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</si>
  <si>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</si>
  <si>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</si>
  <si>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</si>
  <si>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</si>
  <si>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</si>
  <si>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</si>
  <si>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</si>
  <si>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</si>
  <si>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</si>
  <si>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</si>
  <si>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</si>
  <si>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</si>
  <si>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</si>
  <si>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#PepsiCoRefresh,#SmoothLikeNitroPepsi</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</si>
  <si>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</si>
  <si>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</si>
  <si>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</si>
  <si>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</si>
  <si>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</si>
  <si>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</si>
  <si>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</si>
  <si>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</si>
  <si>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</si>
  <si>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</si>
  <si>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</si>
  <si>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</si>
  <si>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</si>
  <si>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</si>
  <si>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</si>
  <si>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</si>
  <si>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</si>
  <si>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</si>
  <si>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</si>
  <si>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</si>
  <si>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</si>
  <si>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</si>
  <si>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</si>
  <si>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#LiveForNow,#SmoothLikeNitroPepsi</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</si>
  <si>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</si>
  <si>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</si>
  <si>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</si>
  <si>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</si>
  <si>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</si>
  <si>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</si>
  <si>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</si>
  <si>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</si>
  <si>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</si>
  <si>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</si>
  <si>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</si>
  <si>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</si>
  <si>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</si>
  <si>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</si>
  <si>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</si>
  <si>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</si>
  <si>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</si>
  <si>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</si>
  <si>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</si>
  <si>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</si>
  <si>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#LiveForNow,#AnytimeIsPepsiTime,#ThirstyForMore</t>
  </si>
  <si>
    <t>P237</t>
  </si>
  <si>
    <t>P238</t>
  </si>
  <si>
    <t>2024-07-16</t>
  </si>
  <si>
    <t>P239</t>
  </si>
  <si>
    <t>P240</t>
  </si>
  <si>
    <t>P241</t>
  </si>
  <si>
    <t>2025-01-18</t>
  </si>
  <si>
    <t>P242</t>
  </si>
  <si>
    <t>P243</t>
  </si>
  <si>
    <t>2025-03-06</t>
  </si>
  <si>
    <t>P244</t>
  </si>
  <si>
    <t>2024-10-25</t>
  </si>
  <si>
    <t>P245</t>
  </si>
  <si>
    <t>2025-01-12</t>
  </si>
  <si>
    <t>P246</t>
  </si>
  <si>
    <t>2024-10-11</t>
  </si>
  <si>
    <t>P247</t>
  </si>
  <si>
    <t>2024-08-27</t>
  </si>
  <si>
    <t>#LiveForNow,#ThirstyForMore,#BetterWithPepsi</t>
  </si>
  <si>
    <t>P248</t>
  </si>
  <si>
    <t>P249</t>
  </si>
  <si>
    <t>P250</t>
  </si>
  <si>
    <t>P251</t>
  </si>
  <si>
    <t>2025-03-27</t>
  </si>
  <si>
    <t>P252</t>
  </si>
  <si>
    <t>P253</t>
  </si>
  <si>
    <t>2024-08-03</t>
  </si>
  <si>
    <t>P254</t>
  </si>
  <si>
    <t>2025-01-14</t>
  </si>
  <si>
    <t>P255</t>
  </si>
  <si>
    <t>P256</t>
  </si>
  <si>
    <t>P257</t>
  </si>
  <si>
    <t>#ThirstyForMore,#ThirstyForMore,#BetterWithPepsi</t>
  </si>
  <si>
    <t>P258</t>
  </si>
  <si>
    <t>2024-08-05</t>
  </si>
  <si>
    <t>P259</t>
  </si>
  <si>
    <t>P260</t>
  </si>
  <si>
    <t>2025-02-12</t>
  </si>
  <si>
    <t>#PepsiCoRefresh,#ThirstyForMore,#BetterWithPepsi</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</si>
  <si>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</si>
  <si>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</si>
  <si>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</si>
  <si>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</si>
  <si>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</si>
  <si>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</si>
  <si>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</si>
  <si>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</si>
  <si>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</si>
  <si>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</si>
  <si>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</si>
  <si>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</si>
  <si>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</si>
  <si>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</si>
  <si>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</si>
  <si>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</si>
  <si>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</si>
  <si>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</si>
  <si>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</si>
  <si>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</si>
  <si>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</si>
  <si>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</si>
  <si>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</si>
  <si>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</si>
  <si>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</si>
  <si>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</si>
  <si>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</si>
  <si>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</si>
  <si>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</si>
  <si>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</si>
  <si>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</si>
  <si>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</si>
  <si>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</si>
  <si>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</si>
  <si>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</si>
  <si>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</si>
  <si>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</si>
  <si>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</si>
  <si>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</si>
  <si>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</si>
  <si>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</si>
  <si>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</si>
  <si>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</si>
  <si>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</si>
  <si>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</si>
  <si>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</si>
  <si>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</si>
  <si>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</si>
  <si>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</si>
  <si>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</si>
  <si>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</si>
  <si>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</si>
  <si>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</si>
  <si>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</si>
  <si>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</si>
  <si>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</si>
  <si>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</si>
  <si>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</si>
  <si>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</si>
  <si>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</si>
  <si>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</si>
  <si>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</si>
  <si>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</si>
  <si>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</si>
  <si>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</si>
  <si>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</si>
  <si>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</si>
  <si>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</si>
  <si>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</si>
  <si>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</si>
  <si>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</si>
  <si>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</si>
  <si>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</si>
  <si>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</si>
  <si>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</si>
  <si>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</si>
  <si>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</si>
  <si>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</si>
  <si>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</si>
  <si>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</si>
  <si>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</si>
  <si>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</si>
  <si>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</si>
  <si>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</si>
  <si>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</si>
  <si>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Net_Followers</t>
  </si>
  <si>
    <t>₹5,904.00</t>
  </si>
  <si>
    <t>₹9,566.00</t>
  </si>
  <si>
    <t>₹26,752.00</t>
  </si>
  <si>
    <t>₹30,671.00</t>
  </si>
  <si>
    <t>₹9,920.00</t>
  </si>
  <si>
    <t>₹7,924.00</t>
  </si>
  <si>
    <t>₹8,912.00</t>
  </si>
  <si>
    <t>₹21,205.00</t>
  </si>
  <si>
    <t>₹11,329.00</t>
  </si>
  <si>
    <t>₹46,670.00</t>
  </si>
  <si>
    <t>₹22,482.00</t>
  </si>
  <si>
    <t>₹24,313.00</t>
  </si>
  <si>
    <t>₹18,050.00</t>
  </si>
  <si>
    <t>₹30,635.00</t>
  </si>
  <si>
    <t>₹31,280.00</t>
  </si>
  <si>
    <t>₹1,783.00</t>
  </si>
  <si>
    <t>₹42,307.00</t>
  </si>
  <si>
    <t>₹5,914.00</t>
  </si>
  <si>
    <t>₹30,060.00</t>
  </si>
  <si>
    <t>₹22,728.00</t>
  </si>
  <si>
    <t>₹38,610.00</t>
  </si>
  <si>
    <t>₹2,932.00</t>
  </si>
  <si>
    <t>₹15,071.00</t>
  </si>
  <si>
    <t>₹10,740.00</t>
  </si>
  <si>
    <t>₹43,420.00</t>
  </si>
  <si>
    <t>₹32,393.00</t>
  </si>
  <si>
    <t>₹28,474.00</t>
  </si>
  <si>
    <t>₹17,328.00</t>
  </si>
  <si>
    <t>₹26,067.00</t>
  </si>
  <si>
    <t>₹32,763.00</t>
  </si>
  <si>
    <t>₹26,452.00</t>
  </si>
  <si>
    <t>₹15,353.00</t>
  </si>
  <si>
    <t>₹4,839.00</t>
  </si>
  <si>
    <t>₹39,272.00</t>
  </si>
  <si>
    <t>₹16,804.00</t>
  </si>
  <si>
    <t>₹49,303.00</t>
  </si>
  <si>
    <t>₹26,455.00</t>
  </si>
  <si>
    <t>₹12,384.00</t>
  </si>
  <si>
    <t>₹49,372.00</t>
  </si>
  <si>
    <t>₹47,101.00</t>
  </si>
  <si>
    <t>₹37,903.00</t>
  </si>
  <si>
    <t>₹33,258.00</t>
  </si>
  <si>
    <t>₹6,915.00</t>
  </si>
  <si>
    <t>₹35,501.00</t>
  </si>
  <si>
    <t>₹14,203.00</t>
  </si>
  <si>
    <t>₹22,206.00</t>
  </si>
  <si>
    <t>₹10,283.00</t>
  </si>
  <si>
    <t>₹24,913.00</t>
  </si>
  <si>
    <t>₹26,925.00</t>
  </si>
  <si>
    <t>₹9,942.00</t>
  </si>
  <si>
    <t>₹32,929.00</t>
  </si>
  <si>
    <t>₹37,829.00</t>
  </si>
  <si>
    <t>₹24,384.00</t>
  </si>
  <si>
    <t>₹25,797.00</t>
  </si>
  <si>
    <t>₹12,646.00</t>
  </si>
  <si>
    <t>₹26,663.00</t>
  </si>
  <si>
    <t>₹40,478.00</t>
  </si>
  <si>
    <t>₹15,476.00</t>
  </si>
  <si>
    <t>₹10,217.00</t>
  </si>
  <si>
    <t>₹21,939.00</t>
  </si>
  <si>
    <t>₹47,462.00</t>
  </si>
  <si>
    <t>₹30,270.00</t>
  </si>
  <si>
    <t>₹5,442.00</t>
  </si>
  <si>
    <t>₹1,083.00</t>
  </si>
  <si>
    <t>₹11,901.00</t>
  </si>
  <si>
    <t>₹24,018.00</t>
  </si>
  <si>
    <t>₹38,883.00</t>
  </si>
  <si>
    <t>₹30,575.00</t>
  </si>
  <si>
    <t>₹2,315.00</t>
  </si>
  <si>
    <t>₹12,148.00</t>
  </si>
  <si>
    <t>₹36,851.00</t>
  </si>
  <si>
    <t>₹41,215.00</t>
  </si>
  <si>
    <t>₹43,836.00</t>
  </si>
  <si>
    <t>₹4,509.00</t>
  </si>
  <si>
    <t>₹27,822.00</t>
  </si>
  <si>
    <t>₹36,397.00</t>
  </si>
  <si>
    <t>₹7,285.00</t>
  </si>
  <si>
    <t>₹33,174.00</t>
  </si>
  <si>
    <t>₹6,742.00</t>
  </si>
  <si>
    <t>₹32,478.00</t>
  </si>
  <si>
    <t>₹42,824.00</t>
  </si>
  <si>
    <t>₹21,208.00</t>
  </si>
  <si>
    <t>₹44,321.00</t>
  </si>
  <si>
    <t>₹13,116.00</t>
  </si>
  <si>
    <t>₹30,214.00</t>
  </si>
  <si>
    <t>₹15,827.00</t>
  </si>
  <si>
    <t>₹46,643.00</t>
  </si>
  <si>
    <t>₹36,484.00</t>
  </si>
  <si>
    <t>₹4,996.00</t>
  </si>
  <si>
    <t>₹36,095.00</t>
  </si>
  <si>
    <t>₹16,443.00</t>
  </si>
  <si>
    <t>₹47,812.00</t>
  </si>
  <si>
    <t>₹38,452.00</t>
  </si>
  <si>
    <t>₹30,428.00</t>
  </si>
  <si>
    <t>₹9,269.00</t>
  </si>
  <si>
    <t>₹29,533.00</t>
  </si>
  <si>
    <t>₹39,997.00</t>
  </si>
  <si>
    <t>₹5,391.00</t>
  </si>
  <si>
    <t>₹22,373.00</t>
  </si>
  <si>
    <t>₹1,810.00</t>
  </si>
  <si>
    <t>₹28,498.00</t>
  </si>
  <si>
    <t>₹39,530.00</t>
  </si>
  <si>
    <t>₹37,876.00</t>
  </si>
  <si>
    <t>₹36,103.00</t>
  </si>
  <si>
    <t>₹26,103.00</t>
  </si>
  <si>
    <t>₹3,455.00</t>
  </si>
  <si>
    <t>₹40,888.00</t>
  </si>
  <si>
    <t>₹22,724.00</t>
  </si>
  <si>
    <t>₹18,601.00</t>
  </si>
  <si>
    <t>₹20,861.00</t>
  </si>
  <si>
    <t>₹46,625.00</t>
  </si>
  <si>
    <t>₹20,692.00</t>
  </si>
  <si>
    <t>₹18,656.00</t>
  </si>
  <si>
    <t>₹13,316.00</t>
  </si>
  <si>
    <t>₹49,558.00</t>
  </si>
  <si>
    <t>₹4,683.00</t>
  </si>
  <si>
    <t>₹47,502.00</t>
  </si>
  <si>
    <t>₹35,359.00</t>
  </si>
  <si>
    <t>₹14,154.00</t>
  </si>
  <si>
    <t>₹4,313.00</t>
  </si>
  <si>
    <t>₹25,140.00</t>
  </si>
  <si>
    <t>₹9,118.00</t>
  </si>
  <si>
    <t>₹39,931.00</t>
  </si>
  <si>
    <t>₹37,132.00</t>
  </si>
  <si>
    <t>₹17,951.00</t>
  </si>
  <si>
    <t>₹2,798.00</t>
  </si>
  <si>
    <t>₹15,045.00</t>
  </si>
  <si>
    <t>₹14,548.00</t>
  </si>
  <si>
    <t>₹45,708.00</t>
  </si>
  <si>
    <t>₹12,350.00</t>
  </si>
  <si>
    <t>₹40,868.00</t>
  </si>
  <si>
    <t>₹43,122.00</t>
  </si>
  <si>
    <t>₹23,853.00</t>
  </si>
  <si>
    <t>₹45,380.00</t>
  </si>
  <si>
    <t>₹7,705.00</t>
  </si>
  <si>
    <t>₹25,525.00</t>
  </si>
  <si>
    <t>₹20,560.00</t>
  </si>
  <si>
    <t>₹19,119.00</t>
  </si>
  <si>
    <t>₹43,999.00</t>
  </si>
  <si>
    <t>₹10,825.00</t>
  </si>
  <si>
    <t>₹40,323.00</t>
  </si>
  <si>
    <t>₹48,270.00</t>
  </si>
  <si>
    <t>₹18,001.00</t>
  </si>
  <si>
    <t>₹3,314.00</t>
  </si>
  <si>
    <t>₹23,489.00</t>
  </si>
  <si>
    <t>₹42,832.00</t>
  </si>
  <si>
    <t>₹24,494.00</t>
  </si>
  <si>
    <t>₹44,097.00</t>
  </si>
  <si>
    <t>₹31,853.00</t>
  </si>
  <si>
    <t>₹37,636.00</t>
  </si>
  <si>
    <t>₹22,996.00</t>
  </si>
  <si>
    <t>₹49,772.00</t>
  </si>
  <si>
    <t>₹22,713.00</t>
  </si>
  <si>
    <t>₹8,718.00</t>
  </si>
  <si>
    <t>₹39,031.00</t>
  </si>
  <si>
    <t>₹33,799.00</t>
  </si>
  <si>
    <t>₹20,553.00</t>
  </si>
  <si>
    <t>₹10,002.00</t>
  </si>
  <si>
    <t>₹30,987.00</t>
  </si>
  <si>
    <t>₹6,296.00</t>
  </si>
  <si>
    <t>₹21,539.00</t>
  </si>
  <si>
    <t>₹14,722.00</t>
  </si>
  <si>
    <t>₹11,383.00</t>
  </si>
  <si>
    <t>₹9,480.00</t>
  </si>
  <si>
    <t>₹29,116.00</t>
  </si>
  <si>
    <t>₹14,068.00</t>
  </si>
  <si>
    <t>₹35,801.00</t>
  </si>
  <si>
    <t>₹49,077.00</t>
  </si>
  <si>
    <t>₹21,453.00</t>
  </si>
  <si>
    <t>₹21,061.00</t>
  </si>
  <si>
    <t>₹20,059.00</t>
  </si>
  <si>
    <t>₹23,140.00</t>
  </si>
  <si>
    <t>₹23,461.00</t>
  </si>
  <si>
    <t>₹11,805.00</t>
  </si>
  <si>
    <t>₹15,969.00</t>
  </si>
  <si>
    <t>₹2,436.00</t>
  </si>
  <si>
    <t>₹47,603.00</t>
  </si>
  <si>
    <t>₹42,964.00</t>
  </si>
  <si>
    <t>₹39,923.00</t>
  </si>
  <si>
    <t>₹2,293.00</t>
  </si>
  <si>
    <t>₹25,920.00</t>
  </si>
  <si>
    <t>₹11,035.00</t>
  </si>
  <si>
    <t>₹20,733.00</t>
  </si>
  <si>
    <t>₹18,693.00</t>
  </si>
  <si>
    <t>₹7,875.00</t>
  </si>
  <si>
    <t>₹8,471.00</t>
  </si>
  <si>
    <t>₹14,090.00</t>
  </si>
  <si>
    <t>₹14,216.00</t>
  </si>
  <si>
    <t>₹3,582.00</t>
  </si>
  <si>
    <t>₹32,500.00</t>
  </si>
  <si>
    <t>₹6,832.00</t>
  </si>
  <si>
    <t>₹33,381.00</t>
  </si>
  <si>
    <t>₹48,419.00</t>
  </si>
  <si>
    <t>₹16,149.00</t>
  </si>
  <si>
    <t>₹7,541.00</t>
  </si>
  <si>
    <t>₹20,042.00</t>
  </si>
  <si>
    <t>₹49,400.00</t>
  </si>
  <si>
    <t>₹4,007.00</t>
  </si>
  <si>
    <t>₹12,174.00</t>
  </si>
  <si>
    <t>Grand Total</t>
  </si>
  <si>
    <t>2024</t>
  </si>
  <si>
    <t>2025</t>
  </si>
  <si>
    <t>Jun</t>
  </si>
  <si>
    <t>Jul</t>
  </si>
  <si>
    <t>Aug</t>
  </si>
  <si>
    <t>Sep</t>
  </si>
  <si>
    <t>Oct</t>
  </si>
  <si>
    <t>Nov</t>
  </si>
  <si>
    <t>Dec</t>
  </si>
  <si>
    <t>Jan</t>
  </si>
  <si>
    <t>Feb</t>
  </si>
  <si>
    <t>Mar</t>
  </si>
  <si>
    <t>Apr</t>
  </si>
  <si>
    <t>May</t>
  </si>
  <si>
    <t>Row Labels</t>
  </si>
  <si>
    <t>Sum of Net_Followers</t>
  </si>
  <si>
    <t>Rank</t>
  </si>
  <si>
    <t>Correlation between Ad_Spend and Follower Growth</t>
  </si>
  <si>
    <t>Correlations between adspend and follower growth</t>
  </si>
  <si>
    <t>Ad_spend</t>
  </si>
  <si>
    <t>Net followers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</si>
</sst>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x14ac:knownFonts="1">
    <font>
      <sz val="11"/>
      <color theme="1"/>
      <name val="Calibri"/>
      <scheme val="minor"/>
    </font>
    <font>
      <b/>
      <sz val="11"/>
      <color theme="1"/>
      <name val="Calibri"/>
      <family val="2"/>
    </font>
    <font>
      <sz val="11"/>
      <color theme="1"/>
      <name val="Calibri"/>
      <family val="2"/>
      <scheme val="minor"/>
    </font>
    <font>
      <sz val="11"/>
      <color theme="1"/>
      <name val="Arial"/>
      <family val="2"/>
    </font>
    <font>
      <sz val="11"/>
      <color theme="1"/>
      <name val="Calibri"/>
      <family val="2"/>
    </font>
    <font>
      <sz val="11"/>
      <color theme="1"/>
      <name val="Calibri"/>
      <family val="2"/>
    </font>
    <font>
      <sz val="12"/>
      <color theme="1"/>
      <name val="Arial"/>
      <family val="2"/>
    </font>
    <font>
      <b/>
      <sz val="18"/>
      <color theme="1"/>
      <name val="Arial"/>
      <family val="2"/>
    </font>
    <font>
      <b/>
      <sz val="11"/>
      <color theme="1"/>
      <name val="Calibri"/>
      <family val="2"/>
    </font>
    <font>
      <sz val="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applyFont="1" applyAlignment="1"/>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3" fillId="0" borderId="0" xfId="0" applyFont="1" applyAlignment="1"/>
    <xf numFmtId="0" fontId="4" fillId="0" borderId="0" xfId="0" applyFont="1" applyAlignment="1"/>
    <xf numFmtId="0" fontId="4" fillId="0" borderId="0" xfId="0" applyFont="1"/>
    <xf numFmtId="0" fontId="3" fillId="0" borderId="0" xfId="0" applyFont="1" applyAlignment="1"/>
    <xf numFmtId="14" fontId="0" fillId="0" borderId="0" xfId="0" applyNumberFormat="1" applyFont="1" applyAlignment="1"/>
    <xf numFmtId="0" fontId="0" fillId="0" borderId="0" xfId="0" applyNumberFormat="1" applyFont="1" applyAlignment="1"/>
    <xf numFmtId="0" fontId="0" fillId="0" borderId="0" xfId="0" applyFont="1" applyAlignment="1">
      <alignment horizontal="left"/>
    </xf>
    <xf numFmtId="0" fontId="6" fillId="0" borderId="3" xfId="0" pivotButton="1" applyFont="1" applyBorder="1" applyAlignment="1"/>
    <xf numFmtId="0" fontId="6" fillId="0" borderId="3" xfId="0" applyFont="1" applyBorder="1" applyAlignment="1"/>
    <xf numFmtId="0" fontId="6" fillId="0" borderId="3" xfId="0" applyFont="1" applyBorder="1" applyAlignment="1">
      <alignment horizontal="left"/>
    </xf>
    <xf numFmtId="0" fontId="6" fillId="0" borderId="3" xfId="0" applyNumberFormat="1" applyFont="1" applyBorder="1" applyAlignment="1"/>
    <xf numFmtId="0" fontId="6" fillId="0" borderId="3" xfId="0" applyFont="1" applyBorder="1" applyAlignment="1">
      <alignment horizontal="left" indent="1"/>
    </xf>
    <xf numFmtId="0" fontId="6" fillId="0" borderId="3" xfId="0" applyFont="1" applyBorder="1" applyAlignment="1">
      <alignment horizontal="left" indent="2"/>
    </xf>
    <xf numFmtId="14" fontId="6" fillId="0" borderId="3" xfId="0" applyNumberFormat="1" applyFont="1" applyBorder="1" applyAlignment="1">
      <alignment horizontal="left" indent="3"/>
    </xf>
    <xf numFmtId="0" fontId="0" fillId="0" borderId="3" xfId="0" pivotButton="1" applyFont="1" applyBorder="1" applyAlignment="1"/>
    <xf numFmtId="0" fontId="0" fillId="0" borderId="3" xfId="0"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3" xfId="0" applyFont="1" applyBorder="1" applyAlignment="1">
      <alignment horizontal="left" indent="1"/>
    </xf>
    <xf numFmtId="14" fontId="0" fillId="0" borderId="3" xfId="0" applyNumberFormat="1" applyFont="1" applyBorder="1" applyAlignment="1">
      <alignment horizontal="left" indent="2"/>
    </xf>
    <xf numFmtId="14" fontId="0" fillId="3" borderId="3" xfId="0" applyNumberFormat="1" applyFont="1" applyFill="1" applyBorder="1" applyAlignment="1">
      <alignment horizontal="left"/>
    </xf>
    <xf numFmtId="0" fontId="0" fillId="3" borderId="3" xfId="0" applyNumberFormat="1" applyFont="1" applyFill="1" applyBorder="1" applyAlignment="1"/>
    <xf numFmtId="14" fontId="0" fillId="0" borderId="3" xfId="0" applyNumberFormat="1" applyFont="1" applyBorder="1" applyAlignment="1">
      <alignment horizontal="left"/>
    </xf>
    <xf numFmtId="0" fontId="7" fillId="2" borderId="3" xfId="0" applyFont="1" applyFill="1" applyBorder="1" applyAlignment="1"/>
    <xf numFmtId="0" fontId="0" fillId="2" borderId="3" xfId="0" applyFont="1" applyFill="1" applyBorder="1" applyAlignment="1"/>
    <xf numFmtId="0" fontId="8" fillId="0" borderId="1" xfId="0" applyFont="1" applyBorder="1" applyAlignment="1">
      <alignment horizontal="center" vertical="top"/>
    </xf>
    <xf numFmtId="0" fontId="8" fillId="0" borderId="1" xfId="0" applyFont="1" applyBorder="1" applyAlignment="1">
      <alignment horizontal="center" vertical="top" wrapText="1"/>
    </xf>
    <xf numFmtId="0" fontId="0" fillId="0" borderId="0" xfId="0"/>
    <xf numFmtId="0" fontId="5" fillId="0" borderId="0" xfId="0" applyFont="1"/>
    <xf numFmtId="0" fontId="8" fillId="0" borderId="2" xfId="0" applyFont="1" applyFill="1" applyBorder="1" applyAlignment="1">
      <alignment horizontal="center" vertical="top" wrapText="1"/>
    </xf>
    <xf numFmtId="0" fontId="8" fillId="2" borderId="2" xfId="0" applyFont="1" applyFill="1" applyBorder="1" applyAlignment="1">
      <alignment horizontal="center" vertical="top" wrapText="1"/>
    </xf>
    <xf numFmtId="0" fontId="0" fillId="2" borderId="0" xfId="0" applyFill="1"/>
    <xf numFmtId="0" fontId="9" fillId="0" borderId="0" xfId="0" applyFont="1" applyAlignment="1"/>
    <xf numFmtId="0" fontId="9" fillId="0" borderId="0" xfId="0" applyFont="1" applyAlignment="1">
      <alignment horizontal="left"/>
    </xf>
    <xf numFmtId="0" fontId="9" fillId="0" borderId="0" xfId="0" applyNumberFormat="1" applyFont="1" applyAlignment="1"/>
    <xf numFmtId="164" fontId="8" fillId="0" borderId="1" xfId="0" applyNumberFormat="1" applyFont="1" applyBorder="1" applyAlignment="1">
      <alignment horizontal="center" vertical="top" wrapText="1"/>
    </xf>
    <xf numFmtId="164" fontId="5" fillId="0" borderId="0" xfId="0" applyNumberFormat="1" applyFont="1"/>
    <xf numFmtId="164" fontId="0" fillId="0" borderId="0" xfId="0" applyNumberFormat="1"/>
  </cellXfs>
  <cellStyles count="1">
    <cellStyle name="Normal" xfId="0" builtinId="0"/>
  </cellStyles>
  <dxfs count="23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Follower Retention &amp; Audience Loyalty.xlsx]Weekly follower growth line cha!PivotTable2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follower growth line cha'!$B$3</c:f>
              <c:strCache>
                <c:ptCount val="1"/>
                <c:pt idx="0">
                  <c:v>Total</c:v>
                </c:pt>
              </c:strCache>
            </c:strRef>
          </c:tx>
          <c:spPr>
            <a:ln w="28575" cap="rnd">
              <a:solidFill>
                <a:schemeClr val="accent1"/>
              </a:solidFill>
              <a:round/>
            </a:ln>
            <a:effectLst/>
          </c:spPr>
          <c:marker>
            <c:symbol val="none"/>
          </c:marker>
          <c:cat>
            <c:multiLvlStrRef>
              <c:f>'Weekly follower growth line cha'!$A$4:$A$68</c:f>
              <c:multiLvlStrCache>
                <c:ptCount val="49"/>
                <c:lvl>
                  <c:pt idx="0">
                    <c:v>03-06-2024</c:v>
                  </c:pt>
                  <c:pt idx="1">
                    <c:v>10-06-2024</c:v>
                  </c:pt>
                  <c:pt idx="2">
                    <c:v>17-06-2024</c:v>
                  </c:pt>
                  <c:pt idx="3">
                    <c:v>24-06-2024</c:v>
                  </c:pt>
                  <c:pt idx="4">
                    <c:v>08-07-2024</c:v>
                  </c:pt>
                  <c:pt idx="5">
                    <c:v>15-07-2024</c:v>
                  </c:pt>
                  <c:pt idx="6">
                    <c:v>22-07-2024</c:v>
                  </c:pt>
                  <c:pt idx="7">
                    <c:v>29-07-2024</c:v>
                  </c:pt>
                  <c:pt idx="8">
                    <c:v>05-08-2024</c:v>
                  </c:pt>
                  <c:pt idx="9">
                    <c:v>12-08-2024</c:v>
                  </c:pt>
                  <c:pt idx="10">
                    <c:v>19-08-2024</c:v>
                  </c:pt>
                  <c:pt idx="11">
                    <c:v>26-08-2024</c:v>
                  </c:pt>
                  <c:pt idx="12">
                    <c:v>02-09-2024</c:v>
                  </c:pt>
                  <c:pt idx="13">
                    <c:v>09-09-2024</c:v>
                  </c:pt>
                  <c:pt idx="14">
                    <c:v>16-09-2024</c:v>
                  </c:pt>
                  <c:pt idx="15">
                    <c:v>23-09-2024</c:v>
                  </c:pt>
                  <c:pt idx="16">
                    <c:v>30-09-2024</c:v>
                  </c:pt>
                  <c:pt idx="17">
                    <c:v>07-10-2024</c:v>
                  </c:pt>
                  <c:pt idx="18">
                    <c:v>14-10-2024</c:v>
                  </c:pt>
                  <c:pt idx="19">
                    <c:v>21-10-2024</c:v>
                  </c:pt>
                  <c:pt idx="20">
                    <c:v>28-10-2024</c:v>
                  </c:pt>
                  <c:pt idx="21">
                    <c:v>04-11-2024</c:v>
                  </c:pt>
                  <c:pt idx="22">
                    <c:v>11-11-2024</c:v>
                  </c:pt>
                  <c:pt idx="23">
                    <c:v>18-11-2024</c:v>
                  </c:pt>
                  <c:pt idx="24">
                    <c:v>25-11-2024</c:v>
                  </c:pt>
                  <c:pt idx="25">
                    <c:v>02-12-2024</c:v>
                  </c:pt>
                  <c:pt idx="26">
                    <c:v>09-12-2024</c:v>
                  </c:pt>
                  <c:pt idx="27">
                    <c:v>16-12-2024</c:v>
                  </c:pt>
                  <c:pt idx="28">
                    <c:v>23-12-2024</c:v>
                  </c:pt>
                  <c:pt idx="29">
                    <c:v>30-12-2024</c:v>
                  </c:pt>
                  <c:pt idx="30">
                    <c:v>06-01-2025</c:v>
                  </c:pt>
                  <c:pt idx="31">
                    <c:v>13-01-2025</c:v>
                  </c:pt>
                  <c:pt idx="32">
                    <c:v>20-01-2025</c:v>
                  </c:pt>
                  <c:pt idx="33">
                    <c:v>27-01-2025</c:v>
                  </c:pt>
                  <c:pt idx="34">
                    <c:v>03-02-2025</c:v>
                  </c:pt>
                  <c:pt idx="35">
                    <c:v>10-02-2025</c:v>
                  </c:pt>
                  <c:pt idx="36">
                    <c:v>17-02-2025</c:v>
                  </c:pt>
                  <c:pt idx="37">
                    <c:v>24-02-2025</c:v>
                  </c:pt>
                  <c:pt idx="38">
                    <c:v>03-03-2025</c:v>
                  </c:pt>
                  <c:pt idx="39">
                    <c:v>10-03-2025</c:v>
                  </c:pt>
                  <c:pt idx="40">
                    <c:v>17-03-2025</c:v>
                  </c:pt>
                  <c:pt idx="41">
                    <c:v>24-03-2025</c:v>
                  </c:pt>
                  <c:pt idx="42">
                    <c:v>31-03-2025</c:v>
                  </c:pt>
                  <c:pt idx="43">
                    <c:v>07-04-2025</c:v>
                  </c:pt>
                  <c:pt idx="44">
                    <c:v>14-04-2025</c:v>
                  </c:pt>
                  <c:pt idx="45">
                    <c:v>21-04-2025</c:v>
                  </c:pt>
                  <c:pt idx="46">
                    <c:v>28-04-2025</c:v>
                  </c:pt>
                  <c:pt idx="47">
                    <c:v>05-05-2025</c:v>
                  </c:pt>
                  <c:pt idx="48">
                    <c:v>12-05-2025</c:v>
                  </c:pt>
                </c:lvl>
                <c:lvl>
                  <c:pt idx="0">
                    <c:v>Jun</c:v>
                  </c:pt>
                  <c:pt idx="4">
                    <c:v>Jul</c:v>
                  </c:pt>
                  <c:pt idx="8">
                    <c:v>Aug</c:v>
                  </c:pt>
                  <c:pt idx="12">
                    <c:v>Sep</c:v>
                  </c:pt>
                  <c:pt idx="17">
                    <c:v>Oct</c:v>
                  </c:pt>
                  <c:pt idx="21">
                    <c:v>Nov</c:v>
                  </c:pt>
                  <c:pt idx="25">
                    <c:v>Dec</c:v>
                  </c:pt>
                  <c:pt idx="30">
                    <c:v>Jan</c:v>
                  </c:pt>
                  <c:pt idx="34">
                    <c:v>Feb</c:v>
                  </c:pt>
                  <c:pt idx="38">
                    <c:v>Mar</c:v>
                  </c:pt>
                  <c:pt idx="43">
                    <c:v>Apr</c:v>
                  </c:pt>
                  <c:pt idx="47">
                    <c:v>May</c:v>
                  </c:pt>
                </c:lvl>
                <c:lvl>
                  <c:pt idx="0">
                    <c:v>2024</c:v>
                  </c:pt>
                  <c:pt idx="30">
                    <c:v>2025</c:v>
                  </c:pt>
                </c:lvl>
                <c:lvl>
                  <c:pt idx="0">
                    <c:v>Instagram</c:v>
                  </c:pt>
                </c:lvl>
              </c:multiLvlStrCache>
            </c:multiLvlStrRef>
          </c:cat>
          <c:val>
            <c:numRef>
              <c:f>'Weekly follower growth line cha'!$B$4:$B$68</c:f>
              <c:numCache>
                <c:formatCode>General</c:formatCode>
                <c:ptCount val="49"/>
                <c:pt idx="0">
                  <c:v>1047</c:v>
                </c:pt>
                <c:pt idx="1">
                  <c:v>517</c:v>
                </c:pt>
                <c:pt idx="2">
                  <c:v>893</c:v>
                </c:pt>
                <c:pt idx="3">
                  <c:v>629</c:v>
                </c:pt>
                <c:pt idx="4">
                  <c:v>1672</c:v>
                </c:pt>
                <c:pt idx="5">
                  <c:v>1845</c:v>
                </c:pt>
                <c:pt idx="6">
                  <c:v>159</c:v>
                </c:pt>
                <c:pt idx="7">
                  <c:v>541</c:v>
                </c:pt>
                <c:pt idx="8">
                  <c:v>352</c:v>
                </c:pt>
                <c:pt idx="9">
                  <c:v>1325</c:v>
                </c:pt>
                <c:pt idx="10">
                  <c:v>76</c:v>
                </c:pt>
                <c:pt idx="11">
                  <c:v>1609</c:v>
                </c:pt>
                <c:pt idx="12">
                  <c:v>1247</c:v>
                </c:pt>
                <c:pt idx="13">
                  <c:v>1572</c:v>
                </c:pt>
                <c:pt idx="14">
                  <c:v>377</c:v>
                </c:pt>
                <c:pt idx="15">
                  <c:v>666</c:v>
                </c:pt>
                <c:pt idx="16">
                  <c:v>1025</c:v>
                </c:pt>
                <c:pt idx="17">
                  <c:v>1872</c:v>
                </c:pt>
                <c:pt idx="18">
                  <c:v>1224</c:v>
                </c:pt>
                <c:pt idx="19">
                  <c:v>262</c:v>
                </c:pt>
                <c:pt idx="20">
                  <c:v>576</c:v>
                </c:pt>
                <c:pt idx="21">
                  <c:v>1397</c:v>
                </c:pt>
                <c:pt idx="22">
                  <c:v>902</c:v>
                </c:pt>
                <c:pt idx="23">
                  <c:v>-49</c:v>
                </c:pt>
                <c:pt idx="24">
                  <c:v>1693</c:v>
                </c:pt>
                <c:pt idx="25">
                  <c:v>1625</c:v>
                </c:pt>
                <c:pt idx="26">
                  <c:v>1119</c:v>
                </c:pt>
                <c:pt idx="27">
                  <c:v>1432</c:v>
                </c:pt>
                <c:pt idx="28">
                  <c:v>684</c:v>
                </c:pt>
                <c:pt idx="29">
                  <c:v>1765</c:v>
                </c:pt>
                <c:pt idx="30">
                  <c:v>903</c:v>
                </c:pt>
                <c:pt idx="31">
                  <c:v>1722</c:v>
                </c:pt>
                <c:pt idx="32">
                  <c:v>1572</c:v>
                </c:pt>
                <c:pt idx="33">
                  <c:v>-166</c:v>
                </c:pt>
                <c:pt idx="34">
                  <c:v>1080</c:v>
                </c:pt>
                <c:pt idx="35">
                  <c:v>1723</c:v>
                </c:pt>
                <c:pt idx="36">
                  <c:v>965</c:v>
                </c:pt>
                <c:pt idx="37">
                  <c:v>1375</c:v>
                </c:pt>
                <c:pt idx="38">
                  <c:v>1315</c:v>
                </c:pt>
                <c:pt idx="39">
                  <c:v>212</c:v>
                </c:pt>
                <c:pt idx="40">
                  <c:v>680</c:v>
                </c:pt>
                <c:pt idx="41">
                  <c:v>461</c:v>
                </c:pt>
                <c:pt idx="42">
                  <c:v>641</c:v>
                </c:pt>
                <c:pt idx="43">
                  <c:v>167</c:v>
                </c:pt>
                <c:pt idx="44">
                  <c:v>-160</c:v>
                </c:pt>
                <c:pt idx="45">
                  <c:v>603</c:v>
                </c:pt>
                <c:pt idx="46">
                  <c:v>1539</c:v>
                </c:pt>
                <c:pt idx="47">
                  <c:v>1881</c:v>
                </c:pt>
                <c:pt idx="48">
                  <c:v>1656</c:v>
                </c:pt>
              </c:numCache>
            </c:numRef>
          </c:val>
          <c:smooth val="0"/>
          <c:extLst>
            <c:ext xmlns:c16="http://schemas.microsoft.com/office/drawing/2014/chart" uri="{C3380CC4-5D6E-409C-BE32-E72D297353CC}">
              <c16:uniqueId val="{00000003-A503-4A96-870B-16D2B85B332E}"/>
            </c:ext>
          </c:extLst>
        </c:ser>
        <c:dLbls>
          <c:showLegendKey val="0"/>
          <c:showVal val="0"/>
          <c:showCatName val="0"/>
          <c:showSerName val="0"/>
          <c:showPercent val="0"/>
          <c:showBubbleSize val="0"/>
        </c:dLbls>
        <c:smooth val="0"/>
        <c:axId val="538302640"/>
        <c:axId val="538299312"/>
      </c:lineChart>
      <c:catAx>
        <c:axId val="53830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38299312"/>
        <c:crosses val="autoZero"/>
        <c:auto val="1"/>
        <c:lblAlgn val="ctr"/>
        <c:lblOffset val="100"/>
        <c:noMultiLvlLbl val="0"/>
      </c:catAx>
      <c:valAx>
        <c:axId val="53829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0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Follower Retention &amp; Audience Loyalty.xlsx]Moving Average!PivotTable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'Moving Average'!$B$3</c:f>
              <c:strCache>
                <c:ptCount val="1"/>
                <c:pt idx="0">
                  <c:v>Total</c:v>
                </c:pt>
              </c:strCache>
            </c:strRef>
          </c:tx>
          <c:spPr>
            <a:ln w="28575" cap="rnd">
              <a:solidFill>
                <a:schemeClr val="accent1"/>
              </a:solidFill>
              <a:round/>
            </a:ln>
            <a:effectLst/>
          </c:spPr>
          <c:marker>
            <c:symbol val="none"/>
          </c:marker>
          <c:cat>
            <c:multiLvlStrRef>
              <c:f>'Moving Average'!$A$4:$A$68</c:f>
              <c:multiLvlStrCache>
                <c:ptCount val="50"/>
                <c:lvl>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lvl>
                <c:lvl>
                  <c:pt idx="0">
                    <c:v>Jun</c:v>
                  </c:pt>
                  <c:pt idx="4">
                    <c:v>Jul</c:v>
                  </c:pt>
                  <c:pt idx="9">
                    <c:v>Aug</c:v>
                  </c:pt>
                  <c:pt idx="13">
                    <c:v>Sep</c:v>
                  </c:pt>
                  <c:pt idx="18">
                    <c:v>Oct</c:v>
                  </c:pt>
                  <c:pt idx="22">
                    <c:v>Nov</c:v>
                  </c:pt>
                  <c:pt idx="26">
                    <c:v>Dec</c:v>
                  </c:pt>
                  <c:pt idx="31">
                    <c:v>Jan</c:v>
                  </c:pt>
                  <c:pt idx="35">
                    <c:v>Feb</c:v>
                  </c:pt>
                  <c:pt idx="39">
                    <c:v>Mar</c:v>
                  </c:pt>
                  <c:pt idx="44">
                    <c:v>Apr</c:v>
                  </c:pt>
                  <c:pt idx="48">
                    <c:v>May</c:v>
                  </c:pt>
                </c:lvl>
                <c:lvl>
                  <c:pt idx="0">
                    <c:v>2024</c:v>
                  </c:pt>
                  <c:pt idx="31">
                    <c:v>2025</c:v>
                  </c:pt>
                </c:lvl>
              </c:multiLvlStrCache>
            </c:multiLvlStrRef>
          </c:cat>
          <c:val>
            <c:numRef>
              <c:f>'Moving Average'!$B$4:$B$68</c:f>
              <c:numCache>
                <c:formatCode>General</c:formatCode>
                <c:ptCount val="50"/>
                <c:pt idx="0">
                  <c:v>3554</c:v>
                </c:pt>
                <c:pt idx="1">
                  <c:v>2980</c:v>
                </c:pt>
                <c:pt idx="2">
                  <c:v>3907</c:v>
                </c:pt>
                <c:pt idx="3">
                  <c:v>3011</c:v>
                </c:pt>
                <c:pt idx="4">
                  <c:v>1512</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0B65-45F8-9C2D-AC8A802D38ED}"/>
            </c:ext>
          </c:extLst>
        </c:ser>
        <c:dLbls>
          <c:showLegendKey val="0"/>
          <c:showVal val="0"/>
          <c:showCatName val="0"/>
          <c:showSerName val="0"/>
          <c:showPercent val="0"/>
          <c:showBubbleSize val="0"/>
        </c:dLbls>
        <c:smooth val="0"/>
        <c:axId val="2077645664"/>
        <c:axId val="2078167296"/>
      </c:lineChart>
      <c:catAx>
        <c:axId val="207764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167296"/>
        <c:crosses val="autoZero"/>
        <c:auto val="1"/>
        <c:lblAlgn val="ctr"/>
        <c:lblOffset val="100"/>
        <c:noMultiLvlLbl val="0"/>
      </c:catAx>
      <c:valAx>
        <c:axId val="207816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4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1" baseline="0">
                <a:effectLst>
                  <a:outerShdw blurRad="38100" dist="19050" dir="2700000" algn="tl" rotWithShape="0">
                    <a:schemeClr val="dk1">
                      <a:alpha val="40000"/>
                    </a:schemeClr>
                  </a:outerShdw>
                </a:effectLst>
              </a:rPr>
              <a:t>Ad Spend vs Follower Growth</a:t>
            </a:r>
            <a:endParaRPr lang="en-IN">
              <a:effectLst/>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Correlation!$AF$6</c:f>
              <c:strCache>
                <c:ptCount val="1"/>
                <c:pt idx="0">
                  <c:v>Net followers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flat" cmpd="sng" algn="ctr">
                <a:solidFill>
                  <a:schemeClr val="accent2"/>
                </a:solidFill>
                <a:prstDash val="solid"/>
                <a:miter lim="800000"/>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34953737640824101"/>
                  <c:y val="-0.21287281809640271"/>
                </c:manualLayout>
              </c:layout>
              <c:numFmt formatCode="General" sourceLinked="0"/>
              <c:spPr>
                <a:solidFill>
                  <a:schemeClr val="accent6">
                    <a:lumMod val="20000"/>
                    <a:lumOff val="80000"/>
                  </a:schemeClr>
                </a:solid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rendlineLbl>
          </c:trendline>
          <c:xVal>
            <c:strRef>
              <c:f>Correlation!$AE$7:$AE$205</c:f>
              <c:strCache>
                <c:ptCount val="199"/>
                <c:pt idx="0">
                  <c:v>₹1,083.00</c:v>
                </c:pt>
                <c:pt idx="1">
                  <c:v>₹1,783.00</c:v>
                </c:pt>
                <c:pt idx="2">
                  <c:v>₹1,810.00</c:v>
                </c:pt>
                <c:pt idx="3">
                  <c:v>₹10,002.00</c:v>
                </c:pt>
                <c:pt idx="4">
                  <c:v>₹10,217.00</c:v>
                </c:pt>
                <c:pt idx="5">
                  <c:v>₹10,283.00</c:v>
                </c:pt>
                <c:pt idx="6">
                  <c:v>₹10,740.00</c:v>
                </c:pt>
                <c:pt idx="7">
                  <c:v>₹10,825.00</c:v>
                </c:pt>
                <c:pt idx="8">
                  <c:v>₹11,035.00</c:v>
                </c:pt>
                <c:pt idx="9">
                  <c:v>₹11,329.00</c:v>
                </c:pt>
                <c:pt idx="10">
                  <c:v>₹11,383.00</c:v>
                </c:pt>
                <c:pt idx="11">
                  <c:v>₹11,805.00</c:v>
                </c:pt>
                <c:pt idx="12">
                  <c:v>₹11,901.00</c:v>
                </c:pt>
                <c:pt idx="13">
                  <c:v>₹12,148.00</c:v>
                </c:pt>
                <c:pt idx="14">
                  <c:v>₹12,174.00</c:v>
                </c:pt>
                <c:pt idx="15">
                  <c:v>₹12,350.00</c:v>
                </c:pt>
                <c:pt idx="16">
                  <c:v>₹12,384.00</c:v>
                </c:pt>
                <c:pt idx="17">
                  <c:v>₹12,646.00</c:v>
                </c:pt>
                <c:pt idx="18">
                  <c:v>₹13,116.00</c:v>
                </c:pt>
                <c:pt idx="19">
                  <c:v>₹13,316.00</c:v>
                </c:pt>
                <c:pt idx="20">
                  <c:v>₹14,068.00</c:v>
                </c:pt>
                <c:pt idx="21">
                  <c:v>₹14,090.00</c:v>
                </c:pt>
                <c:pt idx="22">
                  <c:v>₹14,154.00</c:v>
                </c:pt>
                <c:pt idx="23">
                  <c:v>₹14,203.00</c:v>
                </c:pt>
                <c:pt idx="24">
                  <c:v>₹14,216.00</c:v>
                </c:pt>
                <c:pt idx="25">
                  <c:v>₹14,548.00</c:v>
                </c:pt>
                <c:pt idx="26">
                  <c:v>₹14,722.00</c:v>
                </c:pt>
                <c:pt idx="27">
                  <c:v>₹15,045.00</c:v>
                </c:pt>
                <c:pt idx="28">
                  <c:v>₹15,071.00</c:v>
                </c:pt>
                <c:pt idx="29">
                  <c:v>₹15,353.00</c:v>
                </c:pt>
                <c:pt idx="30">
                  <c:v>₹15,476.00</c:v>
                </c:pt>
                <c:pt idx="31">
                  <c:v>₹15,827.00</c:v>
                </c:pt>
                <c:pt idx="32">
                  <c:v>₹15,969.00</c:v>
                </c:pt>
                <c:pt idx="33">
                  <c:v>₹16,149.00</c:v>
                </c:pt>
                <c:pt idx="34">
                  <c:v>₹16,443.00</c:v>
                </c:pt>
                <c:pt idx="35">
                  <c:v>₹16,804.00</c:v>
                </c:pt>
                <c:pt idx="36">
                  <c:v>₹17,328.00</c:v>
                </c:pt>
                <c:pt idx="37">
                  <c:v>₹17,951.00</c:v>
                </c:pt>
                <c:pt idx="38">
                  <c:v>₹18,001.00</c:v>
                </c:pt>
                <c:pt idx="39">
                  <c:v>₹18,050.00</c:v>
                </c:pt>
                <c:pt idx="40">
                  <c:v>₹18,601.00</c:v>
                </c:pt>
                <c:pt idx="41">
                  <c:v>₹18,656.00</c:v>
                </c:pt>
                <c:pt idx="42">
                  <c:v>₹18,693.00</c:v>
                </c:pt>
                <c:pt idx="43">
                  <c:v>₹19,119.00</c:v>
                </c:pt>
                <c:pt idx="44">
                  <c:v>₹2,293.00</c:v>
                </c:pt>
                <c:pt idx="45">
                  <c:v>₹2,315.00</c:v>
                </c:pt>
                <c:pt idx="46">
                  <c:v>₹2,436.00</c:v>
                </c:pt>
                <c:pt idx="47">
                  <c:v>₹2,798.00</c:v>
                </c:pt>
                <c:pt idx="48">
                  <c:v>₹2,932.00</c:v>
                </c:pt>
                <c:pt idx="49">
                  <c:v>₹20,042.00</c:v>
                </c:pt>
                <c:pt idx="50">
                  <c:v>₹20,059.00</c:v>
                </c:pt>
                <c:pt idx="51">
                  <c:v>₹20,553.00</c:v>
                </c:pt>
                <c:pt idx="52">
                  <c:v>₹20,560.00</c:v>
                </c:pt>
                <c:pt idx="53">
                  <c:v>₹20,692.00</c:v>
                </c:pt>
                <c:pt idx="54">
                  <c:v>₹20,733.00</c:v>
                </c:pt>
                <c:pt idx="55">
                  <c:v>₹20,861.00</c:v>
                </c:pt>
                <c:pt idx="56">
                  <c:v>₹21,061.00</c:v>
                </c:pt>
                <c:pt idx="57">
                  <c:v>₹21,205.00</c:v>
                </c:pt>
                <c:pt idx="58">
                  <c:v>₹21,208.00</c:v>
                </c:pt>
                <c:pt idx="59">
                  <c:v>₹21,453.00</c:v>
                </c:pt>
                <c:pt idx="60">
                  <c:v>₹21,539.00</c:v>
                </c:pt>
                <c:pt idx="61">
                  <c:v>₹21,939.00</c:v>
                </c:pt>
                <c:pt idx="62">
                  <c:v>₹22,206.00</c:v>
                </c:pt>
                <c:pt idx="63">
                  <c:v>₹22,373.00</c:v>
                </c:pt>
                <c:pt idx="64">
                  <c:v>₹22,482.00</c:v>
                </c:pt>
                <c:pt idx="65">
                  <c:v>₹22,713.00</c:v>
                </c:pt>
                <c:pt idx="66">
                  <c:v>₹22,724.00</c:v>
                </c:pt>
                <c:pt idx="67">
                  <c:v>₹22,728.00</c:v>
                </c:pt>
                <c:pt idx="68">
                  <c:v>₹22,996.00</c:v>
                </c:pt>
                <c:pt idx="69">
                  <c:v>₹23,140.00</c:v>
                </c:pt>
                <c:pt idx="70">
                  <c:v>₹23,461.00</c:v>
                </c:pt>
                <c:pt idx="71">
                  <c:v>₹23,489.00</c:v>
                </c:pt>
                <c:pt idx="72">
                  <c:v>₹23,853.00</c:v>
                </c:pt>
                <c:pt idx="73">
                  <c:v>₹24,018.00</c:v>
                </c:pt>
                <c:pt idx="74">
                  <c:v>₹24,313.00</c:v>
                </c:pt>
                <c:pt idx="75">
                  <c:v>₹24,384.00</c:v>
                </c:pt>
                <c:pt idx="76">
                  <c:v>₹24,494.00</c:v>
                </c:pt>
                <c:pt idx="77">
                  <c:v>₹24,913.00</c:v>
                </c:pt>
                <c:pt idx="78">
                  <c:v>₹25,140.00</c:v>
                </c:pt>
                <c:pt idx="79">
                  <c:v>₹25,525.00</c:v>
                </c:pt>
                <c:pt idx="80">
                  <c:v>₹25,797.00</c:v>
                </c:pt>
                <c:pt idx="81">
                  <c:v>₹25,920.00</c:v>
                </c:pt>
                <c:pt idx="82">
                  <c:v>₹26,067.00</c:v>
                </c:pt>
                <c:pt idx="83">
                  <c:v>₹26,103.00</c:v>
                </c:pt>
                <c:pt idx="84">
                  <c:v>₹26,452.00</c:v>
                </c:pt>
                <c:pt idx="85">
                  <c:v>₹26,455.00</c:v>
                </c:pt>
                <c:pt idx="86">
                  <c:v>₹26,663.00</c:v>
                </c:pt>
                <c:pt idx="87">
                  <c:v>₹26,752.00</c:v>
                </c:pt>
                <c:pt idx="88">
                  <c:v>₹26,925.00</c:v>
                </c:pt>
                <c:pt idx="89">
                  <c:v>₹27,822.00</c:v>
                </c:pt>
                <c:pt idx="90">
                  <c:v>₹28,474.00</c:v>
                </c:pt>
                <c:pt idx="91">
                  <c:v>₹28,498.00</c:v>
                </c:pt>
                <c:pt idx="92">
                  <c:v>₹29,116.00</c:v>
                </c:pt>
                <c:pt idx="93">
                  <c:v>₹29,533.00</c:v>
                </c:pt>
                <c:pt idx="94">
                  <c:v>₹3,314.00</c:v>
                </c:pt>
                <c:pt idx="95">
                  <c:v>₹3,455.00</c:v>
                </c:pt>
                <c:pt idx="96">
                  <c:v>₹3,582.00</c:v>
                </c:pt>
                <c:pt idx="97">
                  <c:v>₹30,060.00</c:v>
                </c:pt>
                <c:pt idx="98">
                  <c:v>₹30,214.00</c:v>
                </c:pt>
                <c:pt idx="99">
                  <c:v>₹30,270.00</c:v>
                </c:pt>
                <c:pt idx="100">
                  <c:v>₹30,428.00</c:v>
                </c:pt>
                <c:pt idx="101">
                  <c:v>₹30,575.00</c:v>
                </c:pt>
                <c:pt idx="102">
                  <c:v>₹30,635.00</c:v>
                </c:pt>
                <c:pt idx="103">
                  <c:v>₹30,671.00</c:v>
                </c:pt>
                <c:pt idx="104">
                  <c:v>₹30,987.00</c:v>
                </c:pt>
                <c:pt idx="105">
                  <c:v>₹31,280.00</c:v>
                </c:pt>
                <c:pt idx="106">
                  <c:v>₹31,853.00</c:v>
                </c:pt>
                <c:pt idx="107">
                  <c:v>₹32,393.00</c:v>
                </c:pt>
                <c:pt idx="108">
                  <c:v>₹32,478.00</c:v>
                </c:pt>
                <c:pt idx="109">
                  <c:v>₹32,500.00</c:v>
                </c:pt>
                <c:pt idx="110">
                  <c:v>₹32,763.00</c:v>
                </c:pt>
                <c:pt idx="111">
                  <c:v>₹32,929.00</c:v>
                </c:pt>
                <c:pt idx="112">
                  <c:v>₹33,174.00</c:v>
                </c:pt>
                <c:pt idx="113">
                  <c:v>₹33,258.00</c:v>
                </c:pt>
                <c:pt idx="114">
                  <c:v>₹33,381.00</c:v>
                </c:pt>
                <c:pt idx="115">
                  <c:v>₹33,799.00</c:v>
                </c:pt>
                <c:pt idx="116">
                  <c:v>₹35,359.00</c:v>
                </c:pt>
                <c:pt idx="117">
                  <c:v>₹35,501.00</c:v>
                </c:pt>
                <c:pt idx="118">
                  <c:v>₹35,801.00</c:v>
                </c:pt>
                <c:pt idx="119">
                  <c:v>₹36,095.00</c:v>
                </c:pt>
                <c:pt idx="120">
                  <c:v>₹36,103.00</c:v>
                </c:pt>
                <c:pt idx="121">
                  <c:v>₹36,397.00</c:v>
                </c:pt>
                <c:pt idx="122">
                  <c:v>₹36,484.00</c:v>
                </c:pt>
                <c:pt idx="123">
                  <c:v>₹36,851.00</c:v>
                </c:pt>
                <c:pt idx="124">
                  <c:v>₹37,132.00</c:v>
                </c:pt>
                <c:pt idx="125">
                  <c:v>₹37,636.00</c:v>
                </c:pt>
                <c:pt idx="126">
                  <c:v>₹37,829.00</c:v>
                </c:pt>
                <c:pt idx="127">
                  <c:v>₹37,876.00</c:v>
                </c:pt>
                <c:pt idx="128">
                  <c:v>₹37,903.00</c:v>
                </c:pt>
                <c:pt idx="129">
                  <c:v>₹38,452.00</c:v>
                </c:pt>
                <c:pt idx="130">
                  <c:v>₹38,610.00</c:v>
                </c:pt>
                <c:pt idx="131">
                  <c:v>₹38,883.00</c:v>
                </c:pt>
                <c:pt idx="132">
                  <c:v>₹39,031.00</c:v>
                </c:pt>
                <c:pt idx="133">
                  <c:v>₹39,272.00</c:v>
                </c:pt>
                <c:pt idx="134">
                  <c:v>₹39,530.00</c:v>
                </c:pt>
                <c:pt idx="135">
                  <c:v>₹39,923.00</c:v>
                </c:pt>
                <c:pt idx="136">
                  <c:v>₹39,931.00</c:v>
                </c:pt>
                <c:pt idx="137">
                  <c:v>₹39,997.00</c:v>
                </c:pt>
                <c:pt idx="138">
                  <c:v>₹4,007.00</c:v>
                </c:pt>
                <c:pt idx="139">
                  <c:v>₹4,313.00</c:v>
                </c:pt>
                <c:pt idx="140">
                  <c:v>₹4,509.00</c:v>
                </c:pt>
                <c:pt idx="141">
                  <c:v>₹4,683.00</c:v>
                </c:pt>
                <c:pt idx="142">
                  <c:v>₹4,839.00</c:v>
                </c:pt>
                <c:pt idx="143">
                  <c:v>₹4,996.00</c:v>
                </c:pt>
                <c:pt idx="144">
                  <c:v>₹40,323.00</c:v>
                </c:pt>
                <c:pt idx="145">
                  <c:v>₹40,478.00</c:v>
                </c:pt>
                <c:pt idx="146">
                  <c:v>₹40,868.00</c:v>
                </c:pt>
                <c:pt idx="147">
                  <c:v>₹40,888.00</c:v>
                </c:pt>
                <c:pt idx="148">
                  <c:v>₹41,215.00</c:v>
                </c:pt>
                <c:pt idx="149">
                  <c:v>₹42,307.00</c:v>
                </c:pt>
                <c:pt idx="150">
                  <c:v>₹42,824.00</c:v>
                </c:pt>
                <c:pt idx="151">
                  <c:v>₹42,832.00</c:v>
                </c:pt>
                <c:pt idx="152">
                  <c:v>₹42,964.00</c:v>
                </c:pt>
                <c:pt idx="153">
                  <c:v>₹43,122.00</c:v>
                </c:pt>
                <c:pt idx="154">
                  <c:v>₹43,420.00</c:v>
                </c:pt>
                <c:pt idx="155">
                  <c:v>₹43,836.00</c:v>
                </c:pt>
                <c:pt idx="156">
                  <c:v>₹43,999.00</c:v>
                </c:pt>
                <c:pt idx="157">
                  <c:v>₹44,097.00</c:v>
                </c:pt>
                <c:pt idx="158">
                  <c:v>₹44,321.00</c:v>
                </c:pt>
                <c:pt idx="159">
                  <c:v>₹45,380.00</c:v>
                </c:pt>
                <c:pt idx="160">
                  <c:v>₹45,708.00</c:v>
                </c:pt>
                <c:pt idx="161">
                  <c:v>₹46,625.00</c:v>
                </c:pt>
                <c:pt idx="162">
                  <c:v>₹46,643.00</c:v>
                </c:pt>
                <c:pt idx="163">
                  <c:v>₹46,670.00</c:v>
                </c:pt>
                <c:pt idx="164">
                  <c:v>₹47,101.00</c:v>
                </c:pt>
                <c:pt idx="165">
                  <c:v>₹47,462.00</c:v>
                </c:pt>
                <c:pt idx="166">
                  <c:v>₹47,502.00</c:v>
                </c:pt>
                <c:pt idx="167">
                  <c:v>₹47,603.00</c:v>
                </c:pt>
                <c:pt idx="168">
                  <c:v>₹47,812.00</c:v>
                </c:pt>
                <c:pt idx="169">
                  <c:v>₹48,270.00</c:v>
                </c:pt>
                <c:pt idx="170">
                  <c:v>₹48,419.00</c:v>
                </c:pt>
                <c:pt idx="171">
                  <c:v>₹49,077.00</c:v>
                </c:pt>
                <c:pt idx="172">
                  <c:v>₹49,303.00</c:v>
                </c:pt>
                <c:pt idx="173">
                  <c:v>₹49,372.00</c:v>
                </c:pt>
                <c:pt idx="174">
                  <c:v>₹49,400.00</c:v>
                </c:pt>
                <c:pt idx="175">
                  <c:v>₹49,558.00</c:v>
                </c:pt>
                <c:pt idx="176">
                  <c:v>₹49,772.00</c:v>
                </c:pt>
                <c:pt idx="177">
                  <c:v>₹5,391.00</c:v>
                </c:pt>
                <c:pt idx="178">
                  <c:v>₹5,442.00</c:v>
                </c:pt>
                <c:pt idx="179">
                  <c:v>₹5,904.00</c:v>
                </c:pt>
                <c:pt idx="180">
                  <c:v>₹5,914.00</c:v>
                </c:pt>
                <c:pt idx="181">
                  <c:v>₹6,296.00</c:v>
                </c:pt>
                <c:pt idx="182">
                  <c:v>₹6,742.00</c:v>
                </c:pt>
                <c:pt idx="183">
                  <c:v>₹6,832.00</c:v>
                </c:pt>
                <c:pt idx="184">
                  <c:v>₹6,915.00</c:v>
                </c:pt>
                <c:pt idx="185">
                  <c:v>₹7,285.00</c:v>
                </c:pt>
                <c:pt idx="186">
                  <c:v>₹7,541.00</c:v>
                </c:pt>
                <c:pt idx="187">
                  <c:v>₹7,705.00</c:v>
                </c:pt>
                <c:pt idx="188">
                  <c:v>₹7,875.00</c:v>
                </c:pt>
                <c:pt idx="189">
                  <c:v>₹7,924.00</c:v>
                </c:pt>
                <c:pt idx="190">
                  <c:v>₹8,471.00</c:v>
                </c:pt>
                <c:pt idx="191">
                  <c:v>₹8,718.00</c:v>
                </c:pt>
                <c:pt idx="192">
                  <c:v>₹8,912.00</c:v>
                </c:pt>
                <c:pt idx="193">
                  <c:v>₹9,118.00</c:v>
                </c:pt>
                <c:pt idx="194">
                  <c:v>₹9,269.00</c:v>
                </c:pt>
                <c:pt idx="195">
                  <c:v>₹9,480.00</c:v>
                </c:pt>
                <c:pt idx="196">
                  <c:v>₹9,566.00</c:v>
                </c:pt>
                <c:pt idx="197">
                  <c:v>₹9,920.00</c:v>
                </c:pt>
                <c:pt idx="198">
                  <c:v>₹9,942.00</c:v>
                </c:pt>
              </c:strCache>
            </c:strRef>
          </c:xVal>
          <c:yVal>
            <c:numRef>
              <c:f>Correlation!$AF$7:$AF$205</c:f>
              <c:numCache>
                <c:formatCode>General</c:formatCode>
                <c:ptCount val="199"/>
                <c:pt idx="0">
                  <c:v>666</c:v>
                </c:pt>
                <c:pt idx="1">
                  <c:v>-123</c:v>
                </c:pt>
                <c:pt idx="2">
                  <c:v>1693</c:v>
                </c:pt>
                <c:pt idx="3">
                  <c:v>899</c:v>
                </c:pt>
                <c:pt idx="4">
                  <c:v>1100</c:v>
                </c:pt>
                <c:pt idx="5">
                  <c:v>190</c:v>
                </c:pt>
                <c:pt idx="6">
                  <c:v>1845</c:v>
                </c:pt>
                <c:pt idx="7">
                  <c:v>1080</c:v>
                </c:pt>
                <c:pt idx="8">
                  <c:v>53</c:v>
                </c:pt>
                <c:pt idx="9">
                  <c:v>893</c:v>
                </c:pt>
                <c:pt idx="10">
                  <c:v>1242</c:v>
                </c:pt>
                <c:pt idx="11">
                  <c:v>1676</c:v>
                </c:pt>
                <c:pt idx="12">
                  <c:v>-19</c:v>
                </c:pt>
                <c:pt idx="13">
                  <c:v>599</c:v>
                </c:pt>
                <c:pt idx="14">
                  <c:v>-337</c:v>
                </c:pt>
                <c:pt idx="15">
                  <c:v>-144</c:v>
                </c:pt>
                <c:pt idx="16">
                  <c:v>328</c:v>
                </c:pt>
                <c:pt idx="17">
                  <c:v>333</c:v>
                </c:pt>
                <c:pt idx="18">
                  <c:v>576</c:v>
                </c:pt>
                <c:pt idx="19">
                  <c:v>1359</c:v>
                </c:pt>
                <c:pt idx="20">
                  <c:v>861</c:v>
                </c:pt>
                <c:pt idx="21">
                  <c:v>1633</c:v>
                </c:pt>
                <c:pt idx="22">
                  <c:v>1589</c:v>
                </c:pt>
                <c:pt idx="23">
                  <c:v>1058</c:v>
                </c:pt>
                <c:pt idx="24">
                  <c:v>1539</c:v>
                </c:pt>
                <c:pt idx="25">
                  <c:v>1722</c:v>
                </c:pt>
                <c:pt idx="26">
                  <c:v>1350</c:v>
                </c:pt>
                <c:pt idx="27">
                  <c:v>846</c:v>
                </c:pt>
                <c:pt idx="28">
                  <c:v>514</c:v>
                </c:pt>
                <c:pt idx="29">
                  <c:v>541</c:v>
                </c:pt>
                <c:pt idx="30">
                  <c:v>260</c:v>
                </c:pt>
                <c:pt idx="31">
                  <c:v>37</c:v>
                </c:pt>
                <c:pt idx="32">
                  <c:v>1467</c:v>
                </c:pt>
                <c:pt idx="33">
                  <c:v>1510</c:v>
                </c:pt>
                <c:pt idx="34">
                  <c:v>1044</c:v>
                </c:pt>
                <c:pt idx="35">
                  <c:v>475</c:v>
                </c:pt>
                <c:pt idx="36">
                  <c:v>159</c:v>
                </c:pt>
                <c:pt idx="37">
                  <c:v>620</c:v>
                </c:pt>
                <c:pt idx="38">
                  <c:v>-203</c:v>
                </c:pt>
                <c:pt idx="39">
                  <c:v>629</c:v>
                </c:pt>
                <c:pt idx="40">
                  <c:v>1373</c:v>
                </c:pt>
                <c:pt idx="41">
                  <c:v>1377</c:v>
                </c:pt>
                <c:pt idx="42">
                  <c:v>603</c:v>
                </c:pt>
                <c:pt idx="43">
                  <c:v>1426</c:v>
                </c:pt>
                <c:pt idx="44">
                  <c:v>-160</c:v>
                </c:pt>
                <c:pt idx="45">
                  <c:v>-179</c:v>
                </c:pt>
                <c:pt idx="46">
                  <c:v>167</c:v>
                </c:pt>
                <c:pt idx="47">
                  <c:v>1188</c:v>
                </c:pt>
                <c:pt idx="48">
                  <c:v>547</c:v>
                </c:pt>
                <c:pt idx="49">
                  <c:v>1656</c:v>
                </c:pt>
                <c:pt idx="50">
                  <c:v>389</c:v>
                </c:pt>
                <c:pt idx="51">
                  <c:v>-119</c:v>
                </c:pt>
                <c:pt idx="52">
                  <c:v>898</c:v>
                </c:pt>
                <c:pt idx="53">
                  <c:v>1432</c:v>
                </c:pt>
                <c:pt idx="54">
                  <c:v>145</c:v>
                </c:pt>
                <c:pt idx="55">
                  <c:v>1727</c:v>
                </c:pt>
                <c:pt idx="56">
                  <c:v>292</c:v>
                </c:pt>
                <c:pt idx="57">
                  <c:v>994</c:v>
                </c:pt>
                <c:pt idx="58">
                  <c:v>636</c:v>
                </c:pt>
                <c:pt idx="59">
                  <c:v>474</c:v>
                </c:pt>
                <c:pt idx="60">
                  <c:v>908</c:v>
                </c:pt>
                <c:pt idx="61">
                  <c:v>377</c:v>
                </c:pt>
                <c:pt idx="62">
                  <c:v>1665</c:v>
                </c:pt>
                <c:pt idx="63">
                  <c:v>60</c:v>
                </c:pt>
                <c:pt idx="64">
                  <c:v>1295</c:v>
                </c:pt>
                <c:pt idx="65">
                  <c:v>1707</c:v>
                </c:pt>
                <c:pt idx="66">
                  <c:v>1119</c:v>
                </c:pt>
                <c:pt idx="67">
                  <c:v>1672</c:v>
                </c:pt>
                <c:pt idx="68">
                  <c:v>1175</c:v>
                </c:pt>
                <c:pt idx="69">
                  <c:v>641</c:v>
                </c:pt>
                <c:pt idx="70">
                  <c:v>514</c:v>
                </c:pt>
                <c:pt idx="71">
                  <c:v>912</c:v>
                </c:pt>
                <c:pt idx="72">
                  <c:v>427</c:v>
                </c:pt>
                <c:pt idx="73">
                  <c:v>1680</c:v>
                </c:pt>
                <c:pt idx="74">
                  <c:v>337</c:v>
                </c:pt>
                <c:pt idx="75">
                  <c:v>1045</c:v>
                </c:pt>
                <c:pt idx="76">
                  <c:v>1444</c:v>
                </c:pt>
                <c:pt idx="77">
                  <c:v>1609</c:v>
                </c:pt>
                <c:pt idx="78">
                  <c:v>1776</c:v>
                </c:pt>
                <c:pt idx="79">
                  <c:v>-166</c:v>
                </c:pt>
                <c:pt idx="80">
                  <c:v>197</c:v>
                </c:pt>
                <c:pt idx="81">
                  <c:v>-175</c:v>
                </c:pt>
                <c:pt idx="82">
                  <c:v>961</c:v>
                </c:pt>
                <c:pt idx="83">
                  <c:v>1706</c:v>
                </c:pt>
                <c:pt idx="84">
                  <c:v>317</c:v>
                </c:pt>
                <c:pt idx="85">
                  <c:v>-197</c:v>
                </c:pt>
                <c:pt idx="86">
                  <c:v>1572</c:v>
                </c:pt>
                <c:pt idx="87">
                  <c:v>415</c:v>
                </c:pt>
                <c:pt idx="88">
                  <c:v>37</c:v>
                </c:pt>
                <c:pt idx="89">
                  <c:v>118</c:v>
                </c:pt>
                <c:pt idx="90">
                  <c:v>160</c:v>
                </c:pt>
                <c:pt idx="91">
                  <c:v>1332</c:v>
                </c:pt>
                <c:pt idx="92">
                  <c:v>1116</c:v>
                </c:pt>
                <c:pt idx="93">
                  <c:v>-49</c:v>
                </c:pt>
                <c:pt idx="94">
                  <c:v>1723</c:v>
                </c:pt>
                <c:pt idx="95">
                  <c:v>1173</c:v>
                </c:pt>
                <c:pt idx="96">
                  <c:v>453</c:v>
                </c:pt>
                <c:pt idx="97">
                  <c:v>91</c:v>
                </c:pt>
                <c:pt idx="98">
                  <c:v>386</c:v>
                </c:pt>
                <c:pt idx="99">
                  <c:v>1125</c:v>
                </c:pt>
                <c:pt idx="100">
                  <c:v>1150</c:v>
                </c:pt>
                <c:pt idx="101">
                  <c:v>1025</c:v>
                </c:pt>
                <c:pt idx="102">
                  <c:v>1670</c:v>
                </c:pt>
                <c:pt idx="103">
                  <c:v>1090</c:v>
                </c:pt>
                <c:pt idx="104">
                  <c:v>315</c:v>
                </c:pt>
                <c:pt idx="105">
                  <c:v>835</c:v>
                </c:pt>
                <c:pt idx="106">
                  <c:v>1590</c:v>
                </c:pt>
                <c:pt idx="107">
                  <c:v>429</c:v>
                </c:pt>
                <c:pt idx="108">
                  <c:v>262</c:v>
                </c:pt>
                <c:pt idx="109">
                  <c:v>948</c:v>
                </c:pt>
                <c:pt idx="110">
                  <c:v>1316</c:v>
                </c:pt>
                <c:pt idx="111">
                  <c:v>28</c:v>
                </c:pt>
                <c:pt idx="112">
                  <c:v>-20</c:v>
                </c:pt>
                <c:pt idx="113">
                  <c:v>37</c:v>
                </c:pt>
                <c:pt idx="114">
                  <c:v>1881</c:v>
                </c:pt>
                <c:pt idx="115">
                  <c:v>1315</c:v>
                </c:pt>
                <c:pt idx="116">
                  <c:v>911</c:v>
                </c:pt>
                <c:pt idx="117">
                  <c:v>76</c:v>
                </c:pt>
                <c:pt idx="118">
                  <c:v>1385</c:v>
                </c:pt>
                <c:pt idx="119">
                  <c:v>1603</c:v>
                </c:pt>
                <c:pt idx="120">
                  <c:v>1625</c:v>
                </c:pt>
                <c:pt idx="121">
                  <c:v>1224</c:v>
                </c:pt>
                <c:pt idx="122">
                  <c:v>1397</c:v>
                </c:pt>
                <c:pt idx="123">
                  <c:v>1706</c:v>
                </c:pt>
                <c:pt idx="124">
                  <c:v>903</c:v>
                </c:pt>
                <c:pt idx="125">
                  <c:v>-37</c:v>
                </c:pt>
                <c:pt idx="126">
                  <c:v>1247</c:v>
                </c:pt>
                <c:pt idx="127">
                  <c:v>885</c:v>
                </c:pt>
                <c:pt idx="128">
                  <c:v>1334</c:v>
                </c:pt>
                <c:pt idx="129">
                  <c:v>-106</c:v>
                </c:pt>
                <c:pt idx="130">
                  <c:v>309</c:v>
                </c:pt>
                <c:pt idx="131">
                  <c:v>1006</c:v>
                </c:pt>
                <c:pt idx="132">
                  <c:v>1016</c:v>
                </c:pt>
                <c:pt idx="133">
                  <c:v>1495</c:v>
                </c:pt>
                <c:pt idx="134">
                  <c:v>98</c:v>
                </c:pt>
                <c:pt idx="135">
                  <c:v>209</c:v>
                </c:pt>
                <c:pt idx="136">
                  <c:v>1460</c:v>
                </c:pt>
                <c:pt idx="137">
                  <c:v>72</c:v>
                </c:pt>
                <c:pt idx="138">
                  <c:v>269</c:v>
                </c:pt>
                <c:pt idx="139">
                  <c:v>1765</c:v>
                </c:pt>
                <c:pt idx="140">
                  <c:v>107</c:v>
                </c:pt>
                <c:pt idx="141">
                  <c:v>684</c:v>
                </c:pt>
                <c:pt idx="142">
                  <c:v>-318</c:v>
                </c:pt>
                <c:pt idx="143">
                  <c:v>540</c:v>
                </c:pt>
                <c:pt idx="144">
                  <c:v>748</c:v>
                </c:pt>
                <c:pt idx="145">
                  <c:v>1428</c:v>
                </c:pt>
                <c:pt idx="146">
                  <c:v>901</c:v>
                </c:pt>
                <c:pt idx="147">
                  <c:v>291</c:v>
                </c:pt>
                <c:pt idx="148">
                  <c:v>1872</c:v>
                </c:pt>
                <c:pt idx="149">
                  <c:v>64</c:v>
                </c:pt>
                <c:pt idx="150">
                  <c:v>439</c:v>
                </c:pt>
                <c:pt idx="151">
                  <c:v>1202</c:v>
                </c:pt>
                <c:pt idx="152">
                  <c:v>1007</c:v>
                </c:pt>
                <c:pt idx="153">
                  <c:v>1572</c:v>
                </c:pt>
                <c:pt idx="154">
                  <c:v>-164</c:v>
                </c:pt>
                <c:pt idx="155">
                  <c:v>1662</c:v>
                </c:pt>
                <c:pt idx="156">
                  <c:v>1225</c:v>
                </c:pt>
                <c:pt idx="157">
                  <c:v>965</c:v>
                </c:pt>
                <c:pt idx="158">
                  <c:v>1484</c:v>
                </c:pt>
                <c:pt idx="159">
                  <c:v>891</c:v>
                </c:pt>
                <c:pt idx="160">
                  <c:v>298</c:v>
                </c:pt>
                <c:pt idx="161">
                  <c:v>573</c:v>
                </c:pt>
                <c:pt idx="162">
                  <c:v>1657</c:v>
                </c:pt>
                <c:pt idx="163">
                  <c:v>1382</c:v>
                </c:pt>
                <c:pt idx="164">
                  <c:v>1325</c:v>
                </c:pt>
                <c:pt idx="165">
                  <c:v>98</c:v>
                </c:pt>
                <c:pt idx="166">
                  <c:v>730</c:v>
                </c:pt>
                <c:pt idx="167">
                  <c:v>1029</c:v>
                </c:pt>
                <c:pt idx="168">
                  <c:v>902</c:v>
                </c:pt>
                <c:pt idx="169">
                  <c:v>569</c:v>
                </c:pt>
                <c:pt idx="170">
                  <c:v>339</c:v>
                </c:pt>
                <c:pt idx="171">
                  <c:v>461</c:v>
                </c:pt>
                <c:pt idx="172">
                  <c:v>352</c:v>
                </c:pt>
                <c:pt idx="173">
                  <c:v>319</c:v>
                </c:pt>
                <c:pt idx="174">
                  <c:v>407</c:v>
                </c:pt>
                <c:pt idx="175">
                  <c:v>876</c:v>
                </c:pt>
                <c:pt idx="176">
                  <c:v>1375</c:v>
                </c:pt>
                <c:pt idx="177">
                  <c:v>445</c:v>
                </c:pt>
                <c:pt idx="178">
                  <c:v>-32</c:v>
                </c:pt>
                <c:pt idx="179">
                  <c:v>1047</c:v>
                </c:pt>
                <c:pt idx="180">
                  <c:v>1357</c:v>
                </c:pt>
                <c:pt idx="181">
                  <c:v>212</c:v>
                </c:pt>
                <c:pt idx="182">
                  <c:v>367</c:v>
                </c:pt>
                <c:pt idx="183">
                  <c:v>637</c:v>
                </c:pt>
                <c:pt idx="184">
                  <c:v>1032</c:v>
                </c:pt>
                <c:pt idx="185">
                  <c:v>285</c:v>
                </c:pt>
                <c:pt idx="186">
                  <c:v>864</c:v>
                </c:pt>
                <c:pt idx="187">
                  <c:v>724</c:v>
                </c:pt>
                <c:pt idx="188">
                  <c:v>1045</c:v>
                </c:pt>
                <c:pt idx="189">
                  <c:v>1283</c:v>
                </c:pt>
                <c:pt idx="190">
                  <c:v>759</c:v>
                </c:pt>
                <c:pt idx="191">
                  <c:v>708</c:v>
                </c:pt>
                <c:pt idx="192">
                  <c:v>186</c:v>
                </c:pt>
                <c:pt idx="193">
                  <c:v>1529</c:v>
                </c:pt>
                <c:pt idx="194">
                  <c:v>349</c:v>
                </c:pt>
                <c:pt idx="195">
                  <c:v>680</c:v>
                </c:pt>
                <c:pt idx="196">
                  <c:v>1002</c:v>
                </c:pt>
                <c:pt idx="197">
                  <c:v>517</c:v>
                </c:pt>
                <c:pt idx="198">
                  <c:v>1229</c:v>
                </c:pt>
              </c:numCache>
            </c:numRef>
          </c:yVal>
          <c:smooth val="0"/>
          <c:extLst>
            <c:ext xmlns:c16="http://schemas.microsoft.com/office/drawing/2014/chart" uri="{C3380CC4-5D6E-409C-BE32-E72D297353CC}">
              <c16:uniqueId val="{00000000-9565-4980-A45E-584CE29DC278}"/>
            </c:ext>
          </c:extLst>
        </c:ser>
        <c:dLbls>
          <c:showLegendKey val="0"/>
          <c:showVal val="0"/>
          <c:showCatName val="0"/>
          <c:showSerName val="0"/>
          <c:showPercent val="0"/>
          <c:showBubbleSize val="0"/>
        </c:dLbls>
        <c:axId val="1767246704"/>
        <c:axId val="1767246288"/>
      </c:scatterChart>
      <c:valAx>
        <c:axId val="1767246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r>
                  <a:rPr lang="en-IN" sz="1800" b="1" i="0" baseline="0">
                    <a:effectLst/>
                  </a:rPr>
                  <a:t>Ad Spend</a:t>
                </a:r>
                <a:endParaRPr lang="en-IN">
                  <a:effectLst/>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246288"/>
        <c:crosses val="autoZero"/>
        <c:crossBetween val="midCat"/>
      </c:valAx>
      <c:valAx>
        <c:axId val="176724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800" b="1" i="0" baseline="0">
                    <a:effectLst/>
                  </a:rPr>
                  <a:t>Net Follower</a:t>
                </a:r>
                <a:endParaRPr lang="en-IN">
                  <a:effectLst/>
                </a:endParaRPr>
              </a:p>
            </c:rich>
          </c:tx>
          <c:overlay val="0"/>
          <c:spPr>
            <a:solidFill>
              <a:schemeClr val="accent6">
                <a:lumMod val="60000"/>
                <a:lumOff val="4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246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245341</xdr:colOff>
      <xdr:row>2</xdr:row>
      <xdr:rowOff>187615</xdr:rowOff>
    </xdr:from>
    <xdr:to>
      <xdr:col>16</xdr:col>
      <xdr:colOff>298018</xdr:colOff>
      <xdr:row>29</xdr:row>
      <xdr:rowOff>105210</xdr:rowOff>
    </xdr:to>
    <xdr:graphicFrame macro="">
      <xdr:nvGraphicFramePr>
        <xdr:cNvPr id="4" name="Chart 3">
          <a:extLst>
            <a:ext uri="{FF2B5EF4-FFF2-40B4-BE49-F238E27FC236}">
              <a16:creationId xmlns:a16="http://schemas.microsoft.com/office/drawing/2014/main" id="{6AAD9BB4-AE20-4D8A-BA0E-7B71867B2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28865</xdr:colOff>
      <xdr:row>3</xdr:row>
      <xdr:rowOff>64943</xdr:rowOff>
    </xdr:from>
    <xdr:to>
      <xdr:col>4</xdr:col>
      <xdr:colOff>223695</xdr:colOff>
      <xdr:row>11</xdr:row>
      <xdr:rowOff>137103</xdr:rowOff>
    </xdr:to>
    <mc:AlternateContent xmlns:mc="http://schemas.openxmlformats.org/markup-compatibility/2006" xmlns:a14="http://schemas.microsoft.com/office/drawing/2010/main">
      <mc:Choice Requires="a14">
        <xdr:graphicFrame macro="">
          <xdr:nvGraphicFramePr>
            <xdr:cNvPr id="6" name="Platform">
              <a:extLst>
                <a:ext uri="{FF2B5EF4-FFF2-40B4-BE49-F238E27FC236}">
                  <a16:creationId xmlns:a16="http://schemas.microsoft.com/office/drawing/2014/main" id="{3AEFAFAD-0B8C-4076-A789-750921BDA55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124490" y="635000"/>
              <a:ext cx="1609148" cy="1630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6</xdr:row>
      <xdr:rowOff>133350</xdr:rowOff>
    </xdr:from>
    <xdr:to>
      <xdr:col>9</xdr:col>
      <xdr:colOff>292100</xdr:colOff>
      <xdr:row>15</xdr:row>
      <xdr:rowOff>50800</xdr:rowOff>
    </xdr:to>
    <xdr:sp macro="" textlink="">
      <xdr:nvSpPr>
        <xdr:cNvPr id="2" name="Rectangle 1">
          <a:extLst>
            <a:ext uri="{FF2B5EF4-FFF2-40B4-BE49-F238E27FC236}">
              <a16:creationId xmlns:a16="http://schemas.microsoft.com/office/drawing/2014/main" id="{0F645DF8-94BE-4B87-B803-1908E3547DA9}"/>
            </a:ext>
          </a:extLst>
        </xdr:cNvPr>
        <xdr:cNvSpPr/>
      </xdr:nvSpPr>
      <xdr:spPr>
        <a:xfrm>
          <a:off x="2882900" y="1238250"/>
          <a:ext cx="1835150" cy="15748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r>
            <a:rPr lang="en-IN" sz="1200" b="1">
              <a:solidFill>
                <a:schemeClr val="dk1"/>
              </a:solidFill>
              <a:effectLst/>
              <a:latin typeface="Arial" panose="020B0604020202020204" pitchFamily="34" charset="0"/>
              <a:ea typeface="+mn-ea"/>
              <a:cs typeface="Arial" panose="020B0604020202020204" pitchFamily="34" charset="0"/>
            </a:rPr>
            <a:t>These highlighted Rows Show the Highest net follower gain during their respective weeks</a:t>
          </a:r>
          <a:endParaRPr lang="en-IN" sz="1200" b="1">
            <a:effectLst/>
            <a:latin typeface="Arial" panose="020B0604020202020204" pitchFamily="34" charset="0"/>
            <a:cs typeface="Arial" panose="020B0604020202020204" pitchFamily="34" charset="0"/>
          </a:endParaRPr>
        </a:p>
        <a:p>
          <a:r>
            <a:rPr lang="en-IN" sz="1200" b="1">
              <a:solidFill>
                <a:schemeClr val="dk1"/>
              </a:solidFill>
              <a:effectLst/>
              <a:latin typeface="Arial" panose="020B0604020202020204" pitchFamily="34" charset="0"/>
              <a:ea typeface="+mn-ea"/>
              <a:cs typeface="Arial" panose="020B0604020202020204" pitchFamily="34" charset="0"/>
            </a:rPr>
            <a:t>This is a top week 30-12-2024 with 1,765 net new followers. </a:t>
          </a:r>
          <a:endParaRPr lang="en-IN" sz="11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577850</xdr:colOff>
      <xdr:row>1</xdr:row>
      <xdr:rowOff>168274</xdr:rowOff>
    </xdr:from>
    <xdr:to>
      <xdr:col>7</xdr:col>
      <xdr:colOff>673100</xdr:colOff>
      <xdr:row>21</xdr:row>
      <xdr:rowOff>38099</xdr:rowOff>
    </xdr:to>
    <xdr:graphicFrame macro="">
      <xdr:nvGraphicFramePr>
        <xdr:cNvPr id="2" name="Chart 1">
          <a:extLst>
            <a:ext uri="{FF2B5EF4-FFF2-40B4-BE49-F238E27FC236}">
              <a16:creationId xmlns:a16="http://schemas.microsoft.com/office/drawing/2014/main" id="{ED128540-1B42-4ADB-A24B-F1010CF8E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222250</xdr:colOff>
      <xdr:row>3</xdr:row>
      <xdr:rowOff>180974</xdr:rowOff>
    </xdr:from>
    <xdr:to>
      <xdr:col>16</xdr:col>
      <xdr:colOff>587376</xdr:colOff>
      <xdr:row>31</xdr:row>
      <xdr:rowOff>107950</xdr:rowOff>
    </xdr:to>
    <xdr:graphicFrame macro="">
      <xdr:nvGraphicFramePr>
        <xdr:cNvPr id="7" name="Chart 6">
          <a:extLst>
            <a:ext uri="{FF2B5EF4-FFF2-40B4-BE49-F238E27FC236}">
              <a16:creationId xmlns:a16="http://schemas.microsoft.com/office/drawing/2014/main" id="{1679BDA1-9352-4DD8-B501-87EF71A5E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330200</xdr:colOff>
      <xdr:row>33</xdr:row>
      <xdr:rowOff>158750</xdr:rowOff>
    </xdr:from>
    <xdr:to>
      <xdr:col>15</xdr:col>
      <xdr:colOff>152400</xdr:colOff>
      <xdr:row>39</xdr:row>
      <xdr:rowOff>69850</xdr:rowOff>
    </xdr:to>
    <xdr:sp macro="" textlink="">
      <xdr:nvSpPr>
        <xdr:cNvPr id="4" name="Rectangle 3">
          <a:extLst>
            <a:ext uri="{FF2B5EF4-FFF2-40B4-BE49-F238E27FC236}">
              <a16:creationId xmlns:a16="http://schemas.microsoft.com/office/drawing/2014/main" id="{374907E6-3183-4108-9033-46BC3294895E}"/>
            </a:ext>
          </a:extLst>
        </xdr:cNvPr>
        <xdr:cNvSpPr/>
      </xdr:nvSpPr>
      <xdr:spPr>
        <a:xfrm>
          <a:off x="4368800" y="6343650"/>
          <a:ext cx="5918200" cy="10160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a:t>The correlation coefficient (r = 0.085932222) indicates a very weak and positive relationship between Ad Spend and Follower Growth. </a:t>
          </a:r>
        </a:p>
        <a:p>
          <a:pPr algn="l"/>
          <a:r>
            <a:rPr lang="en-IN" sz="1200" b="1"/>
            <a:t>The R² value (0.0074) means that less than 1% of the variation in follower growth can be explained by changes in ad spend, suggesting that follower growth is largely independent of </a:t>
          </a:r>
        </a:p>
        <a:p>
          <a:pPr algn="l"/>
          <a:r>
            <a:rPr lang="en-IN" sz="1200" b="1"/>
            <a:t>advertising budget in this datas</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0.00661</cdr:x>
      <cdr:y>0.00999</cdr:y>
    </cdr:from>
    <cdr:to>
      <cdr:x>0.28359</cdr:x>
      <cdr:y>0.06121</cdr:y>
    </cdr:to>
    <cdr:sp macro="" textlink="">
      <cdr:nvSpPr>
        <cdr:cNvPr id="2" name="Rectangle 1">
          <a:extLst xmlns:a="http://schemas.openxmlformats.org/drawingml/2006/main">
            <a:ext uri="{FF2B5EF4-FFF2-40B4-BE49-F238E27FC236}">
              <a16:creationId xmlns:a16="http://schemas.microsoft.com/office/drawing/2014/main" id="{BB056219-DF50-4A2D-8A8A-D35B884C3286}"/>
            </a:ext>
          </a:extLst>
        </cdr:cNvPr>
        <cdr:cNvSpPr/>
      </cdr:nvSpPr>
      <cdr:spPr>
        <a:xfrm xmlns:a="http://schemas.openxmlformats.org/drawingml/2006/main">
          <a:off x="50800" y="50800"/>
          <a:ext cx="2127237" cy="260329"/>
        </a:xfrm>
        <a:prstGeom xmlns:a="http://schemas.openxmlformats.org/drawingml/2006/main" prst="rect">
          <a:avLst/>
        </a:prstGeom>
        <a:solidFill xmlns:a="http://schemas.openxmlformats.org/drawingml/2006/main">
          <a:schemeClr val="accent6">
            <a:lumMod val="20000"/>
            <a:lumOff val="80000"/>
          </a:schemeClr>
        </a:solidFill>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sz="1100"/>
            <a:t>Basic Correlation :- </a:t>
          </a:r>
          <a:r>
            <a:rPr lang="en-IN" sz="1100" b="1"/>
            <a:t>0.085932222</a:t>
          </a:r>
          <a:r>
            <a:rPr lang="en-IN" sz="1100" baseline="0"/>
            <a:t> </a:t>
          </a:r>
          <a:endParaRPr lang="en-IN"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ta Pradhan" refreshedDate="46042.69115752315" backgroundQuery="1" createdVersion="7" refreshedVersion="7" minRefreshableVersion="3" recordCount="0" supportSubquery="1" supportAdvancedDrill="1" xr:uid="{BF45870A-4A60-4F34-98E5-0085BB486D63}">
  <cacheSource type="external" connectionId="2"/>
  <cacheFields count="5">
    <cacheField name="[Range].[Week_Start_Date (Month)].[Week_Start_Date (Month)]" caption="Week_Start_Date (Month)" numFmtId="0" hierarchy="18" level="1">
      <sharedItems count="12">
        <s v="Jun"/>
        <s v="Jul"/>
        <s v="Aug"/>
        <s v="Sep"/>
        <s v="Oct"/>
        <s v="Nov"/>
        <s v="Dec"/>
        <s v="Jan"/>
        <s v="Feb"/>
        <s v="Mar"/>
        <s v="Apr"/>
        <s v="May"/>
      </sharedItems>
    </cacheField>
    <cacheField name="[Range].[Week_Start_Date (Year)].[Week_Start_Date (Year)]" caption="Week_Start_Date (Year)" numFmtId="0" hierarchy="16" level="1">
      <sharedItems count="2">
        <s v="2024"/>
        <s v="2025"/>
      </sharedItems>
    </cacheField>
    <cacheField name="[Measures].[Sum of Net_Followers]" caption="Sum of Net_Followers" numFmtId="0" hierarchy="23" level="32767"/>
    <cacheField name="[Range].[Week_Start_Date].[Week_Start_Date]" caption="Week_Start_Date" numFmtId="0" hierarchy="8" level="1">
      <sharedItems containsSemiMixedTypes="0" containsNonDate="0" containsDate="1" containsString="0" minDate="2024-06-03T00:00:00" maxDate="2025-05-13T00:00:00" count="50">
        <d v="2024-06-03T00:00:00"/>
        <d v="2024-06-10T00:00:00"/>
        <d v="2024-06-17T00:00:00"/>
        <d v="2024-06-24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4-07-01T00:00:00" u="1"/>
      </sharedItems>
    </cacheField>
    <cacheField name="[Range].[Platform].[Platform]" caption="Platform" numFmtId="0" hierarchy="9" level="1">
      <sharedItems count="4">
        <s v="Instagram"/>
        <s v="Facebook" u="1"/>
        <s v="Twitter" u="1"/>
        <s v="YouTube" u="1"/>
      </sharedItems>
    </cacheField>
  </cacheFields>
  <cacheHierarchies count="25">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0" memberValueDatatype="130" unbalanced="0"/>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130" unbalanced="0"/>
    <cacheHierarchy uniqueName="[Engagement_Summary].[Net_Followers]" caption="Net_Followers" attribute="1" defaultMemberUniqueName="[Engagement_Summary].[Net_Followers].[All]" allUniqueName="[Engagement_Summary].[Net_Followers].[All]" dimensionUniqueName="[Engagement_Summary]" displayFolder="" count="0" memberValueDatatype="20" unbalanced="0"/>
    <cacheHierarchy uniqueName="[Range].[Week_Start_Date]" caption="Week_Start_Date" attribute="1" time="1" defaultMemberUniqueName="[Range].[Week_Start_Date].[All]" allUniqueName="[Range].[Week_Start_Date].[All]" dimensionUniqueName="[Range]" displayFolder="" count="2" memberValueDatatype="7" unbalanced="0">
      <fieldsUsage count="2">
        <fieldUsage x="-1"/>
        <fieldUsage x="3"/>
      </fieldsUsage>
    </cacheHierarchy>
    <cacheHierarchy uniqueName="[Range].[Platform]" caption="Platform" attribute="1" defaultMemberUniqueName="[Range].[Platform].[All]" allUniqueName="[Range].[Platform].[All]" dimensionUniqueName="[Range]" displayFolder="" count="2" memberValueDatatype="130" unbalanced="0">
      <fieldsUsage count="2">
        <fieldUsage x="-1"/>
        <fieldUsage x="4"/>
      </fieldsUsage>
    </cacheHierarchy>
    <cacheHierarchy uniqueName="[Range].[New_Followers]" caption="New_Followers" attribute="1" defaultMemberUniqueName="[Range].[New_Followers].[All]" allUniqueName="[Range].[New_Followers].[All]" dimensionUniqueName="[Range]" displayFolder="" count="0" memberValueDatatype="20" unbalanced="0"/>
    <cacheHierarchy uniqueName="[Range].[Unfollows]" caption="Unfollows" attribute="1" defaultMemberUniqueName="[Range].[Unfollows].[All]" allUniqueName="[Range].[Unfollows].[All]" dimensionUniqueName="[Range]" displayFolder="" count="0" memberValueDatatype="20" unbalanced="0"/>
    <cacheHierarchy uniqueName="[Range].[Total_Followers]" caption="Total_Followers" attribute="1" defaultMemberUniqueName="[Range].[Total_Followers].[All]" allUniqueName="[Range].[Total_Followers].[All]" dimensionUniqueName="[Range]" displayFolder="" count="0" memberValueDatatype="20" unbalanced="0"/>
    <cacheHierarchy uniqueName="[Range].[Engagement_Rate]" caption="Engagement_Rate" attribute="1" defaultMemberUniqueName="[Range].[Engagement_Rate].[All]" allUniqueName="[Range].[Engagement_Rate].[All]" dimensionUniqueName="[Range]" displayFolder="" count="0" memberValueDatatype="5" unbalanced="0"/>
    <cacheHierarchy uniqueName="[Range].[Ad_Spend]" caption="Ad_Spend" attribute="1" defaultMemberUniqueName="[Range].[Ad_Spend].[All]" allUniqueName="[Range].[Ad_Spend].[All]" dimensionUniqueName="[Range]" displayFolder="" count="0" memberValueDatatype="130" unbalanced="0"/>
    <cacheHierarchy uniqueName="[Range].[Net_Followers]" caption="Net_Followers" attribute="1" defaultMemberUniqueName="[Range].[Net_Followers].[All]" allUniqueName="[Range].[Net_Followers].[All]" dimensionUniqueName="[Range]" displayFolder="" count="0" memberValueDatatype="20" unbalanced="0"/>
    <cacheHierarchy uniqueName="[Range].[Week_Start_Date (Year)]" caption="Week_Start_Date (Year)" attribute="1" defaultMemberUniqueName="[Range].[Week_Start_Date (Year)].[All]" allUniqueName="[Range].[Week_Start_Date (Year)].[All]" dimensionUniqueName="[Range]" displayFolder="" count="2" memberValueDatatype="130" unbalanced="0">
      <fieldsUsage count="2">
        <fieldUsage x="-1"/>
        <fieldUsage x="1"/>
      </fieldsUsage>
    </cacheHierarchy>
    <cacheHierarchy uniqueName="[Range].[Week_Start_Date (Quarter)]" caption="Week_Start_Date (Quarter)" attribute="1" defaultMemberUniqueName="[Range].[Week_Start_Date (Quarter)].[All]" allUniqueName="[Range].[Week_Start_Date (Quarter)].[All]" dimensionUniqueName="[Range]" displayFolder="" count="0" memberValueDatatype="130" unbalanced="0"/>
    <cacheHierarchy uniqueName="[Range].[Week_Start_Date (Month)]" caption="Week_Start_Date (Month)" attribute="1" defaultMemberUniqueName="[Range].[Week_Start_Date (Month)].[All]" allUniqueName="[Range].[Week_Start_Date (Month)].[All]" dimensionUniqueName="[Range]" displayFolder="" count="2" memberValueDatatype="130" unbalanced="0">
      <fieldsUsage count="2">
        <fieldUsage x="-1"/>
        <fieldUsage x="0"/>
      </fieldsUsage>
    </cacheHierarchy>
    <cacheHierarchy uniqueName="[Range].[Week_Start_Date (Month Index)]" caption="Week_Start_Date (Month Index)" attribute="1" defaultMemberUniqueName="[Range].[Week_Start_Date (Month Index)].[All]" allUniqueName="[Range].[Week_Star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Net_Followers]" caption="Sum of Net_Followers"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Week_Start_Date]" caption="Count of Week_Start_Date"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name="Engagement_Summary" uniqueName="[Engagement_Summary]" caption="Engagement_Summary"/>
    <dimension measure="1" name="Measures" uniqueName="[Measures]" caption="Measures"/>
    <dimension name="Range" uniqueName="[Range]" caption="Range"/>
  </dimensions>
  <measureGroups count="2">
    <measureGroup name="Engagement_Summary" caption="Engagement_Summary"/>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ta Pradhan" refreshedDate="46042.706647800929" backgroundQuery="1" createdVersion="7" refreshedVersion="7" minRefreshableVersion="3" recordCount="0" supportSubquery="1" supportAdvancedDrill="1" xr:uid="{01C733A2-05EA-4361-86A7-91647045773F}">
  <cacheSource type="external" connectionId="2"/>
  <cacheFields count="3">
    <cacheField name="[Range].[Week_Start_Date].[Week_Start_Date]" caption="Week_Start_Date" numFmtId="0" hierarchy="8" level="1">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Measures].[Sum of Net_Followers]" caption="Sum of Net_Followers" numFmtId="0" hierarchy="23"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0" memberValueDatatype="130" unbalanced="0"/>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130" unbalanced="0"/>
    <cacheHierarchy uniqueName="[Engagement_Summary].[Net_Followers]" caption="Net_Followers" attribute="1" defaultMemberUniqueName="[Engagement_Summary].[Net_Followers].[All]" allUniqueName="[Engagement_Summary].[Net_Followers].[All]" dimensionUniqueName="[Engagement_Summary]" displayFolder="" count="0" memberValueDatatype="20" unbalanced="0"/>
    <cacheHierarchy uniqueName="[Range].[Week_Start_Date]" caption="Week_Start_Date" attribute="1" time="1" defaultMemberUniqueName="[Range].[Week_Start_Date].[All]" allUniqueName="[Range].[Week_Start_Date].[All]" dimensionUniqueName="[Range]" displayFolder="" count="2" memberValueDatatype="7" unbalanced="0">
      <fieldsUsage count="2">
        <fieldUsage x="-1"/>
        <fieldUsage x="0"/>
      </fieldsUsage>
    </cacheHierarchy>
    <cacheHierarchy uniqueName="[Range].[Platform]" caption="Platform" attribute="1" defaultMemberUniqueName="[Range].[Platform].[All]" allUniqueName="[Range].[Platform].[All]" dimensionUniqueName="[Range]" displayFolder="" count="0" memberValueDatatype="130" unbalanced="0"/>
    <cacheHierarchy uniqueName="[Range].[New_Followers]" caption="New_Followers" attribute="1" defaultMemberUniqueName="[Range].[New_Followers].[All]" allUniqueName="[Range].[New_Followers].[All]" dimensionUniqueName="[Range]" displayFolder="" count="0" memberValueDatatype="20" unbalanced="0"/>
    <cacheHierarchy uniqueName="[Range].[Unfollows]" caption="Unfollows" attribute="1" defaultMemberUniqueName="[Range].[Unfollows].[All]" allUniqueName="[Range].[Unfollows].[All]" dimensionUniqueName="[Range]" displayFolder="" count="0" memberValueDatatype="20" unbalanced="0"/>
    <cacheHierarchy uniqueName="[Range].[Total_Followers]" caption="Total_Followers" attribute="1" defaultMemberUniqueName="[Range].[Total_Followers].[All]" allUniqueName="[Range].[Total_Followers].[All]" dimensionUniqueName="[Range]" displayFolder="" count="0" memberValueDatatype="20" unbalanced="0"/>
    <cacheHierarchy uniqueName="[Range].[Engagement_Rate]" caption="Engagement_Rate" attribute="1" defaultMemberUniqueName="[Range].[Engagement_Rate].[All]" allUniqueName="[Range].[Engagement_Rate].[All]" dimensionUniqueName="[Range]" displayFolder="" count="0" memberValueDatatype="5" unbalanced="0"/>
    <cacheHierarchy uniqueName="[Range].[Ad_Spend]" caption="Ad_Spend" attribute="1" defaultMemberUniqueName="[Range].[Ad_Spend].[All]" allUniqueName="[Range].[Ad_Spend].[All]" dimensionUniqueName="[Range]" displayFolder="" count="0" memberValueDatatype="130" unbalanced="0"/>
    <cacheHierarchy uniqueName="[Range].[Net_Followers]" caption="Net_Followers" attribute="1" defaultMemberUniqueName="[Range].[Net_Followers].[All]" allUniqueName="[Range].[Net_Followers].[All]" dimensionUniqueName="[Range]" displayFolder="" count="0" memberValueDatatype="20" unbalanced="0"/>
    <cacheHierarchy uniqueName="[Range].[Week_Start_Date (Year)]" caption="Week_Start_Date (Year)" attribute="1" defaultMemberUniqueName="[Range].[Week_Start_Date (Year)].[All]" allUniqueName="[Range].[Week_Start_Date (Year)].[All]" dimensionUniqueName="[Range]" displayFolder="" count="0" memberValueDatatype="130" unbalanced="0"/>
    <cacheHierarchy uniqueName="[Range].[Week_Start_Date (Quarter)]" caption="Week_Start_Date (Quarter)" attribute="1" defaultMemberUniqueName="[Range].[Week_Start_Date (Quarter)].[All]" allUniqueName="[Range].[Week_Start_Date (Quarter)].[All]" dimensionUniqueName="[Range]" displayFolder="" count="0" memberValueDatatype="130" unbalanced="0"/>
    <cacheHierarchy uniqueName="[Range].[Week_Start_Date (Month)]" caption="Week_Start_Date (Month)" attribute="1" defaultMemberUniqueName="[Range].[Week_Start_Date (Month)].[All]" allUniqueName="[Range].[Week_Start_Date (Month)].[All]" dimensionUniqueName="[Range]" displayFolder="" count="0" memberValueDatatype="130" unbalanced="0"/>
    <cacheHierarchy uniqueName="[Range].[Week_Start_Date (Month Index)]" caption="Week_Start_Date (Month Index)" attribute="1" defaultMemberUniqueName="[Range].[Week_Start_Date (Month Index)].[All]" allUniqueName="[Range].[Week_Star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Net_Followers]" caption="Sum of Net_Followers"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Week_Start_Date]" caption="Count of Week_Start_Date" measure="1" displayFolder="" measureGroup="Range" count="0" hidden="1">
      <extLst>
        <ext xmlns:x15="http://schemas.microsoft.com/office/spreadsheetml/2010/11/main" uri="{B97F6D7D-B522-45F9-BDA1-12C45D357490}">
          <x15:cacheHierarchy aggregatedColumn="8"/>
        </ext>
      </extLst>
    </cacheHierarchy>
    <cacheHierarchy uniqueName="Dummy0" caption="Week_Start_Date" measure="1" count="0">
      <extLst>
        <ext xmlns:x14="http://schemas.microsoft.com/office/spreadsheetml/2009/9/main" uri="{8CF416AD-EC4C-4aba-99F5-12A058AE0983}">
          <x14:cacheHierarchy ignore="1"/>
        </ext>
      </extLst>
    </cacheHierarchy>
  </cacheHierarchies>
  <kpis count="0"/>
  <dimensions count="3">
    <dimension name="Engagement_Summary" uniqueName="[Engagement_Summary]" caption="Engagement_Summary"/>
    <dimension measure="1" name="Measures" uniqueName="[Measures]" caption="Measures"/>
    <dimension name="Range" uniqueName="[Range]" caption="Range"/>
  </dimensions>
  <measureGroups count="2">
    <measureGroup name="Engagement_Summary" caption="Engagement_Summary"/>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ta Pradhan" refreshedDate="46042.732763888889" backgroundQuery="1" createdVersion="7" refreshedVersion="7" minRefreshableVersion="3" recordCount="0" supportSubquery="1" supportAdvancedDrill="1" xr:uid="{854C4FD1-E448-43F2-8B40-B86CC531190D}">
  <cacheSource type="external" connectionId="2"/>
  <cacheFields count="4">
    <cacheField name="[Range].[Week_Start_Date].[Week_Start_Date]" caption="Week_Start_Date" numFmtId="0" hierarchy="8" level="1">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Range].[Week_Start_Date (Month)].[Week_Start_Date (Month)]" caption="Week_Start_Date (Month)" numFmtId="0" hierarchy="18" level="1">
      <sharedItems count="12">
        <s v="Jun"/>
        <s v="Jul"/>
        <s v="Aug"/>
        <s v="Sep"/>
        <s v="Oct"/>
        <s v="Nov"/>
        <s v="Dec"/>
        <s v="Jan"/>
        <s v="Feb"/>
        <s v="Mar"/>
        <s v="Apr"/>
        <s v="May"/>
      </sharedItems>
    </cacheField>
    <cacheField name="[Range].[Week_Start_Date (Year)].[Week_Start_Date (Year)]" caption="Week_Start_Date (Year)" numFmtId="0" hierarchy="16" level="1">
      <sharedItems count="2">
        <s v="2024"/>
        <s v="2025"/>
      </sharedItems>
    </cacheField>
    <cacheField name="[Measures].[Sum of Net_Followers]" caption="Sum of Net_Followers" numFmtId="0" hierarchy="23" level="32767"/>
  </cacheFields>
  <cacheHierarchies count="25">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0" memberValueDatatype="130" unbalanced="0"/>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130" unbalanced="0"/>
    <cacheHierarchy uniqueName="[Engagement_Summary].[Net_Followers]" caption="Net_Followers" attribute="1" defaultMemberUniqueName="[Engagement_Summary].[Net_Followers].[All]" allUniqueName="[Engagement_Summary].[Net_Followers].[All]" dimensionUniqueName="[Engagement_Summary]" displayFolder="" count="0" memberValueDatatype="20" unbalanced="0"/>
    <cacheHierarchy uniqueName="[Range].[Week_Start_Date]" caption="Week_Start_Date" attribute="1" time="1" defaultMemberUniqueName="[Range].[Week_Start_Date].[All]" allUniqueName="[Range].[Week_Start_Date].[All]" dimensionUniqueName="[Range]" displayFolder="" count="2" memberValueDatatype="7" unbalanced="0">
      <fieldsUsage count="2">
        <fieldUsage x="-1"/>
        <fieldUsage x="0"/>
      </fieldsUsage>
    </cacheHierarchy>
    <cacheHierarchy uniqueName="[Range].[Platform]" caption="Platform" attribute="1" defaultMemberUniqueName="[Range].[Platform].[All]" allUniqueName="[Range].[Platform].[All]" dimensionUniqueName="[Range]" displayFolder="" count="0" memberValueDatatype="130" unbalanced="0"/>
    <cacheHierarchy uniqueName="[Range].[New_Followers]" caption="New_Followers" attribute="1" defaultMemberUniqueName="[Range].[New_Followers].[All]" allUniqueName="[Range].[New_Followers].[All]" dimensionUniqueName="[Range]" displayFolder="" count="0" memberValueDatatype="20" unbalanced="0"/>
    <cacheHierarchy uniqueName="[Range].[Unfollows]" caption="Unfollows" attribute="1" defaultMemberUniqueName="[Range].[Unfollows].[All]" allUniqueName="[Range].[Unfollows].[All]" dimensionUniqueName="[Range]" displayFolder="" count="0" memberValueDatatype="20" unbalanced="0"/>
    <cacheHierarchy uniqueName="[Range].[Total_Followers]" caption="Total_Followers" attribute="1" defaultMemberUniqueName="[Range].[Total_Followers].[All]" allUniqueName="[Range].[Total_Followers].[All]" dimensionUniqueName="[Range]" displayFolder="" count="0" memberValueDatatype="20" unbalanced="0"/>
    <cacheHierarchy uniqueName="[Range].[Engagement_Rate]" caption="Engagement_Rate" attribute="1" defaultMemberUniqueName="[Range].[Engagement_Rate].[All]" allUniqueName="[Range].[Engagement_Rate].[All]" dimensionUniqueName="[Range]" displayFolder="" count="0" memberValueDatatype="5" unbalanced="0"/>
    <cacheHierarchy uniqueName="[Range].[Ad_Spend]" caption="Ad_Spend" attribute="1" defaultMemberUniqueName="[Range].[Ad_Spend].[All]" allUniqueName="[Range].[Ad_Spend].[All]" dimensionUniqueName="[Range]" displayFolder="" count="0" memberValueDatatype="130" unbalanced="0"/>
    <cacheHierarchy uniqueName="[Range].[Net_Followers]" caption="Net_Followers" attribute="1" defaultMemberUniqueName="[Range].[Net_Followers].[All]" allUniqueName="[Range].[Net_Followers].[All]" dimensionUniqueName="[Range]" displayFolder="" count="0" memberValueDatatype="20" unbalanced="0"/>
    <cacheHierarchy uniqueName="[Range].[Week_Start_Date (Year)]" caption="Week_Start_Date (Year)" attribute="1" defaultMemberUniqueName="[Range].[Week_Start_Date (Year)].[All]" allUniqueName="[Range].[Week_Start_Date (Year)].[All]" dimensionUniqueName="[Range]" displayFolder="" count="2" memberValueDatatype="130" unbalanced="0">
      <fieldsUsage count="2">
        <fieldUsage x="-1"/>
        <fieldUsage x="2"/>
      </fieldsUsage>
    </cacheHierarchy>
    <cacheHierarchy uniqueName="[Range].[Week_Start_Date (Quarter)]" caption="Week_Start_Date (Quarter)" attribute="1" defaultMemberUniqueName="[Range].[Week_Start_Date (Quarter)].[All]" allUniqueName="[Range].[Week_Start_Date (Quarter)].[All]" dimensionUniqueName="[Range]" displayFolder="" count="0" memberValueDatatype="130" unbalanced="0"/>
    <cacheHierarchy uniqueName="[Range].[Week_Start_Date (Month)]" caption="Week_Start_Date (Month)" attribute="1" defaultMemberUniqueName="[Range].[Week_Start_Date (Month)].[All]" allUniqueName="[Range].[Week_Start_Date (Month)].[All]" dimensionUniqueName="[Range]" displayFolder="" count="2" memberValueDatatype="130" unbalanced="0">
      <fieldsUsage count="2">
        <fieldUsage x="-1"/>
        <fieldUsage x="1"/>
      </fieldsUsage>
    </cacheHierarchy>
    <cacheHierarchy uniqueName="[Range].[Week_Start_Date (Month Index)]" caption="Week_Start_Date (Month Index)" attribute="1" defaultMemberUniqueName="[Range].[Week_Start_Date (Month Index)].[All]" allUniqueName="[Range].[Week_Star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Net_Followers]" caption="Sum of Net_Followers" measure="1" displayFolder="" measureGroup="Range"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Week_Start_Date]" caption="Count of Week_Start_Date"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name="Engagement_Summary" uniqueName="[Engagement_Summary]" caption="Engagement_Summary"/>
    <dimension measure="1" name="Measures" uniqueName="[Measures]" caption="Measures"/>
    <dimension name="Range" uniqueName="[Range]" caption="Range"/>
  </dimensions>
  <measureGroups count="2">
    <measureGroup name="Engagement_Summary" caption="Engagement_Summary"/>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ta Pradhan" refreshedDate="46042.813301967595" backgroundQuery="1" createdVersion="7" refreshedVersion="7" minRefreshableVersion="3" recordCount="0" supportSubquery="1" supportAdvancedDrill="1" xr:uid="{D40E275D-46A1-41DA-B8AE-89288D6B629B}">
  <cacheSource type="external" connectionId="2"/>
  <cacheFields count="2">
    <cacheField name="[Engagement_Summary].[Ad_Spend].[Ad_Spend]" caption="Ad_Spend" numFmtId="0" hierarchy="6" level="1">
      <sharedItems count="199">
        <s v="₹1,083.00"/>
        <s v="₹1,783.00"/>
        <s v="₹1,810.00"/>
        <s v="₹10,002.00"/>
        <s v="₹10,217.00"/>
        <s v="₹10,283.00"/>
        <s v="₹10,740.00"/>
        <s v="₹10,825.00"/>
        <s v="₹11,035.00"/>
        <s v="₹11,329.00"/>
        <s v="₹11,383.00"/>
        <s v="₹11,805.00"/>
        <s v="₹11,901.00"/>
        <s v="₹12,148.00"/>
        <s v="₹12,174.00"/>
        <s v="₹12,350.00"/>
        <s v="₹12,384.00"/>
        <s v="₹12,646.00"/>
        <s v="₹13,116.00"/>
        <s v="₹13,316.00"/>
        <s v="₹14,068.00"/>
        <s v="₹14,090.00"/>
        <s v="₹14,154.00"/>
        <s v="₹14,203.00"/>
        <s v="₹14,216.00"/>
        <s v="₹14,548.00"/>
        <s v="₹14,722.00"/>
        <s v="₹15,045.00"/>
        <s v="₹15,071.00"/>
        <s v="₹15,353.00"/>
        <s v="₹15,476.00"/>
        <s v="₹15,827.00"/>
        <s v="₹15,969.00"/>
        <s v="₹16,149.00"/>
        <s v="₹16,443.00"/>
        <s v="₹16,804.00"/>
        <s v="₹17,328.00"/>
        <s v="₹17,951.00"/>
        <s v="₹18,001.00"/>
        <s v="₹18,050.00"/>
        <s v="₹18,601.00"/>
        <s v="₹18,656.00"/>
        <s v="₹18,693.00"/>
        <s v="₹19,119.00"/>
        <s v="₹2,293.00"/>
        <s v="₹2,315.00"/>
        <s v="₹2,436.00"/>
        <s v="₹2,798.00"/>
        <s v="₹2,932.00"/>
        <s v="₹20,042.00"/>
        <s v="₹20,059.00"/>
        <s v="₹20,553.00"/>
        <s v="₹20,560.00"/>
        <s v="₹20,692.00"/>
        <s v="₹20,733.00"/>
        <s v="₹20,861.00"/>
        <s v="₹21,061.00"/>
        <s v="₹21,205.00"/>
        <s v="₹21,208.00"/>
        <s v="₹21,453.00"/>
        <s v="₹21,539.00"/>
        <s v="₹21,939.00"/>
        <s v="₹22,206.00"/>
        <s v="₹22,373.00"/>
        <s v="₹22,482.00"/>
        <s v="₹22,713.00"/>
        <s v="₹22,724.00"/>
        <s v="₹22,728.00"/>
        <s v="₹22,996.00"/>
        <s v="₹23,140.00"/>
        <s v="₹23,461.00"/>
        <s v="₹23,489.00"/>
        <s v="₹23,853.00"/>
        <s v="₹24,018.00"/>
        <s v="₹24,313.00"/>
        <s v="₹24,384.00"/>
        <s v="₹24,494.00"/>
        <s v="₹24,913.00"/>
        <s v="₹25,140.00"/>
        <s v="₹25,525.00"/>
        <s v="₹25,797.00"/>
        <s v="₹25,920.00"/>
        <s v="₹26,067.00"/>
        <s v="₹26,103.00"/>
        <s v="₹26,452.00"/>
        <s v="₹26,455.00"/>
        <s v="₹26,663.00"/>
        <s v="₹26,752.00"/>
        <s v="₹26,925.00"/>
        <s v="₹27,822.00"/>
        <s v="₹28,474.00"/>
        <s v="₹28,498.00"/>
        <s v="₹29,116.00"/>
        <s v="₹29,533.00"/>
        <s v="₹3,314.00"/>
        <s v="₹3,455.00"/>
        <s v="₹3,582.00"/>
        <s v="₹30,060.00"/>
        <s v="₹30,214.00"/>
        <s v="₹30,270.00"/>
        <s v="₹30,428.00"/>
        <s v="₹30,575.00"/>
        <s v="₹30,635.00"/>
        <s v="₹30,671.00"/>
        <s v="₹30,987.00"/>
        <s v="₹31,280.00"/>
        <s v="₹31,853.00"/>
        <s v="₹32,393.00"/>
        <s v="₹32,478.00"/>
        <s v="₹32,500.00"/>
        <s v="₹32,763.00"/>
        <s v="₹32,929.00"/>
        <s v="₹33,174.00"/>
        <s v="₹33,258.00"/>
        <s v="₹33,381.00"/>
        <s v="₹33,799.00"/>
        <s v="₹35,359.00"/>
        <s v="₹35,501.00"/>
        <s v="₹35,801.00"/>
        <s v="₹36,095.00"/>
        <s v="₹36,103.00"/>
        <s v="₹36,397.00"/>
        <s v="₹36,484.00"/>
        <s v="₹36,851.00"/>
        <s v="₹37,132.00"/>
        <s v="₹37,636.00"/>
        <s v="₹37,829.00"/>
        <s v="₹37,876.00"/>
        <s v="₹37,903.00"/>
        <s v="₹38,452.00"/>
        <s v="₹38,610.00"/>
        <s v="₹38,883.00"/>
        <s v="₹39,031.00"/>
        <s v="₹39,272.00"/>
        <s v="₹39,530.00"/>
        <s v="₹39,923.00"/>
        <s v="₹39,931.00"/>
        <s v="₹39,997.00"/>
        <s v="₹4,007.00"/>
        <s v="₹4,313.00"/>
        <s v="₹4,509.00"/>
        <s v="₹4,683.00"/>
        <s v="₹4,839.00"/>
        <s v="₹4,996.00"/>
        <s v="₹40,323.00"/>
        <s v="₹40,478.00"/>
        <s v="₹40,868.00"/>
        <s v="₹40,888.00"/>
        <s v="₹41,215.00"/>
        <s v="₹42,307.00"/>
        <s v="₹42,824.00"/>
        <s v="₹42,832.00"/>
        <s v="₹42,964.00"/>
        <s v="₹43,122.00"/>
        <s v="₹43,420.00"/>
        <s v="₹43,836.00"/>
        <s v="₹43,999.00"/>
        <s v="₹44,097.00"/>
        <s v="₹44,321.00"/>
        <s v="₹45,380.00"/>
        <s v="₹45,708.00"/>
        <s v="₹46,625.00"/>
        <s v="₹46,643.00"/>
        <s v="₹46,670.00"/>
        <s v="₹47,101.00"/>
        <s v="₹47,462.00"/>
        <s v="₹47,502.00"/>
        <s v="₹47,603.00"/>
        <s v="₹47,812.00"/>
        <s v="₹48,270.00"/>
        <s v="₹48,419.00"/>
        <s v="₹49,077.00"/>
        <s v="₹49,303.00"/>
        <s v="₹49,372.00"/>
        <s v="₹49,400.00"/>
        <s v="₹49,558.00"/>
        <s v="₹49,772.00"/>
        <s v="₹5,391.00"/>
        <s v="₹5,442.00"/>
        <s v="₹5,904.00"/>
        <s v="₹5,914.00"/>
        <s v="₹6,296.00"/>
        <s v="₹6,742.00"/>
        <s v="₹6,832.00"/>
        <s v="₹6,915.00"/>
        <s v="₹7,285.00"/>
        <s v="₹7,541.00"/>
        <s v="₹7,705.00"/>
        <s v="₹7,875.00"/>
        <s v="₹7,924.00"/>
        <s v="₹8,471.00"/>
        <s v="₹8,718.00"/>
        <s v="₹8,912.00"/>
        <s v="₹9,118.00"/>
        <s v="₹9,269.00"/>
        <s v="₹9,480.00"/>
        <s v="₹9,566.00"/>
        <s v="₹9,920.00"/>
        <s v="₹9,942.00"/>
      </sharedItems>
    </cacheField>
    <cacheField name="[Measures].[Sum of Net_Followers 2]" caption="Sum of Net_Followers 2" numFmtId="0" hierarchy="25" level="32767"/>
  </cacheFields>
  <cacheHierarchies count="26">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0" memberValueDatatype="130" unbalanced="0"/>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2" memberValueDatatype="130" unbalanced="0">
      <fieldsUsage count="2">
        <fieldUsage x="-1"/>
        <fieldUsage x="0"/>
      </fieldsUsage>
    </cacheHierarchy>
    <cacheHierarchy uniqueName="[Engagement_Summary].[Net_Followers]" caption="Net_Followers" attribute="1" defaultMemberUniqueName="[Engagement_Summary].[Net_Followers].[All]" allUniqueName="[Engagement_Summary].[Net_Followers].[All]" dimensionUniqueName="[Engagement_Summary]" displayFolder="" count="0" memberValueDatatype="20" unbalanced="0"/>
    <cacheHierarchy uniqueName="[Range].[Week_Start_Date]" caption="Week_Start_Date" attribute="1" time="1" defaultMemberUniqueName="[Range].[Week_Start_Date].[All]" allUniqueName="[Range].[Week_Start_Date].[All]" dimensionUniqueName="[Range]" displayFolder="" count="0" memberValueDatatype="7" unbalanced="0"/>
    <cacheHierarchy uniqueName="[Range].[Platform]" caption="Platform" attribute="1" defaultMemberUniqueName="[Range].[Platform].[All]" allUniqueName="[Range].[Platform].[All]" dimensionUniqueName="[Range]" displayFolder="" count="0" memberValueDatatype="130" unbalanced="0"/>
    <cacheHierarchy uniqueName="[Range].[New_Followers]" caption="New_Followers" attribute="1" defaultMemberUniqueName="[Range].[New_Followers].[All]" allUniqueName="[Range].[New_Followers].[All]" dimensionUniqueName="[Range]" displayFolder="" count="0" memberValueDatatype="20" unbalanced="0"/>
    <cacheHierarchy uniqueName="[Range].[Unfollows]" caption="Unfollows" attribute="1" defaultMemberUniqueName="[Range].[Unfollows].[All]" allUniqueName="[Range].[Unfollows].[All]" dimensionUniqueName="[Range]" displayFolder="" count="0" memberValueDatatype="20" unbalanced="0"/>
    <cacheHierarchy uniqueName="[Range].[Total_Followers]" caption="Total_Followers" attribute="1" defaultMemberUniqueName="[Range].[Total_Followers].[All]" allUniqueName="[Range].[Total_Followers].[All]" dimensionUniqueName="[Range]" displayFolder="" count="0" memberValueDatatype="20" unbalanced="0"/>
    <cacheHierarchy uniqueName="[Range].[Engagement_Rate]" caption="Engagement_Rate" attribute="1" defaultMemberUniqueName="[Range].[Engagement_Rate].[All]" allUniqueName="[Range].[Engagement_Rate].[All]" dimensionUniqueName="[Range]" displayFolder="" count="0" memberValueDatatype="5" unbalanced="0"/>
    <cacheHierarchy uniqueName="[Range].[Ad_Spend]" caption="Ad_Spend" attribute="1" defaultMemberUniqueName="[Range].[Ad_Spend].[All]" allUniqueName="[Range].[Ad_Spend].[All]" dimensionUniqueName="[Range]" displayFolder="" count="0" memberValueDatatype="130" unbalanced="0"/>
    <cacheHierarchy uniqueName="[Range].[Net_Followers]" caption="Net_Followers" attribute="1" defaultMemberUniqueName="[Range].[Net_Followers].[All]" allUniqueName="[Range].[Net_Followers].[All]" dimensionUniqueName="[Range]" displayFolder="" count="0" memberValueDatatype="20" unbalanced="0"/>
    <cacheHierarchy uniqueName="[Range].[Week_Start_Date (Year)]" caption="Week_Start_Date (Year)" attribute="1" defaultMemberUniqueName="[Range].[Week_Start_Date (Year)].[All]" allUniqueName="[Range].[Week_Start_Date (Year)].[All]" dimensionUniqueName="[Range]" displayFolder="" count="0" memberValueDatatype="130" unbalanced="0"/>
    <cacheHierarchy uniqueName="[Range].[Week_Start_Date (Quarter)]" caption="Week_Start_Date (Quarter)" attribute="1" defaultMemberUniqueName="[Range].[Week_Start_Date (Quarter)].[All]" allUniqueName="[Range].[Week_Start_Date (Quarter)].[All]" dimensionUniqueName="[Range]" displayFolder="" count="0" memberValueDatatype="130" unbalanced="0"/>
    <cacheHierarchy uniqueName="[Range].[Week_Start_Date (Month)]" caption="Week_Start_Date (Month)" attribute="1" defaultMemberUniqueName="[Range].[Week_Start_Date (Month)].[All]" allUniqueName="[Range].[Week_Start_Date (Month)].[All]" dimensionUniqueName="[Range]" displayFolder="" count="0" memberValueDatatype="130" unbalanced="0"/>
    <cacheHierarchy uniqueName="[Range].[Week_Start_Date (Month Index)]" caption="Week_Start_Date (Month Index)" attribute="1" defaultMemberUniqueName="[Range].[Week_Start_Date (Month Index)].[All]" allUniqueName="[Range].[Week_Star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Net_Followers]" caption="Sum of Net_Followers" measure="1" displayFolder="" measureGroup="Range" count="0" hidden="1">
      <extLst>
        <ext xmlns:x15="http://schemas.microsoft.com/office/spreadsheetml/2010/11/main" uri="{B97F6D7D-B522-45F9-BDA1-12C45D357490}">
          <x15:cacheHierarchy aggregatedColumn="15"/>
        </ext>
      </extLst>
    </cacheHierarchy>
    <cacheHierarchy uniqueName="[Measures].[Count of Week_Start_Date]" caption="Count of Week_Start_Date" measure="1" displayFolder="" measureGroup="Range" count="0" hidden="1">
      <extLst>
        <ext xmlns:x15="http://schemas.microsoft.com/office/spreadsheetml/2010/11/main" uri="{B97F6D7D-B522-45F9-BDA1-12C45D357490}">
          <x15:cacheHierarchy aggregatedColumn="8"/>
        </ext>
      </extLst>
    </cacheHierarchy>
    <cacheHierarchy uniqueName="[Measures].[Sum of Net_Followers 2]" caption="Sum of Net_Followers 2" measure="1" displayFolder="" measureGroup="Engagement_Summary"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name="Engagement_Summary" uniqueName="[Engagement_Summary]" caption="Engagement_Summary"/>
    <dimension measure="1" name="Measures" uniqueName="[Measures]" caption="Measures"/>
    <dimension name="Range" uniqueName="[Range]" caption="Range"/>
  </dimensions>
  <measureGroups count="2">
    <measureGroup name="Engagement_Summary" caption="Engagement_Summary"/>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mita Pradhan" refreshedDate="46042.688934722224" backgroundQuery="1" createdVersion="3" refreshedVersion="7" minRefreshableVersion="3" recordCount="0" supportSubquery="1" supportAdvancedDrill="1" xr:uid="{31DBF629-8A62-40D9-9EF6-A6AD11CE86E8}">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0" memberValueDatatype="130" unbalanced="0"/>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130" unbalanced="0"/>
    <cacheHierarchy uniqueName="[Engagement_Summary].[Net_Followers]" caption="Net_Followers" attribute="1" defaultMemberUniqueName="[Engagement_Summary].[Net_Followers].[All]" allUniqueName="[Engagement_Summary].[Net_Followers].[All]" dimensionUniqueName="[Engagement_Summary]" displayFolder="" count="0" memberValueDatatype="20" unbalanced="0"/>
    <cacheHierarchy uniqueName="[Range].[Week_Start_Date]" caption="Week_Start_Date" attribute="1" time="1" defaultMemberUniqueName="[Range].[Week_Start_Date].[All]" allUniqueName="[Range].[Week_Start_Date].[All]" dimensionUniqueName="[Range]" displayFolder="" count="0" memberValueDatatype="7" unbalanced="0"/>
    <cacheHierarchy uniqueName="[Range].[Platform]" caption="Platform" attribute="1" defaultMemberUniqueName="[Range].[Platform].[All]" allUniqueName="[Range].[Platform].[All]" dimensionUniqueName="[Range]" displayFolder="" count="0" memberValueDatatype="130" unbalanced="0"/>
    <cacheHierarchy uniqueName="[Range].[New_Followers]" caption="New_Followers" attribute="1" defaultMemberUniqueName="[Range].[New_Followers].[All]" allUniqueName="[Range].[New_Followers].[All]" dimensionUniqueName="[Range]" displayFolder="" count="0" memberValueDatatype="20" unbalanced="0"/>
    <cacheHierarchy uniqueName="[Range].[Unfollows]" caption="Unfollows" attribute="1" defaultMemberUniqueName="[Range].[Unfollows].[All]" allUniqueName="[Range].[Unfollows].[All]" dimensionUniqueName="[Range]" displayFolder="" count="0" memberValueDatatype="20" unbalanced="0"/>
    <cacheHierarchy uniqueName="[Range].[Total_Followers]" caption="Total_Followers" attribute="1" defaultMemberUniqueName="[Range].[Total_Followers].[All]" allUniqueName="[Range].[Total_Followers].[All]" dimensionUniqueName="[Range]" displayFolder="" count="0" memberValueDatatype="20" unbalanced="0"/>
    <cacheHierarchy uniqueName="[Range].[Engagement_Rate]" caption="Engagement_Rate" attribute="1" defaultMemberUniqueName="[Range].[Engagement_Rate].[All]" allUniqueName="[Range].[Engagement_Rate].[All]" dimensionUniqueName="[Range]" displayFolder="" count="0" memberValueDatatype="5" unbalanced="0"/>
    <cacheHierarchy uniqueName="[Range].[Ad_Spend]" caption="Ad_Spend" attribute="1" defaultMemberUniqueName="[Range].[Ad_Spend].[All]" allUniqueName="[Range].[Ad_Spend].[All]" dimensionUniqueName="[Range]" displayFolder="" count="0" memberValueDatatype="130" unbalanced="0"/>
    <cacheHierarchy uniqueName="[Range].[Net_Followers]" caption="Net_Followers" attribute="1" defaultMemberUniqueName="[Range].[Net_Followers].[All]" allUniqueName="[Range].[Net_Followers].[All]" dimensionUniqueName="[Range]" displayFolder="" count="0" memberValueDatatype="20" unbalanced="0"/>
    <cacheHierarchy uniqueName="[Range].[Week_Start_Date (Year)]" caption="Week_Start_Date (Year)" attribute="1" defaultMemberUniqueName="[Range].[Week_Start_Date (Year)].[All]" allUniqueName="[Range].[Week_Start_Date (Year)].[All]" dimensionUniqueName="[Range]" displayFolder="" count="0" memberValueDatatype="130" unbalanced="0"/>
    <cacheHierarchy uniqueName="[Range].[Week_Start_Date (Quarter)]" caption="Week_Start_Date (Quarter)" attribute="1" defaultMemberUniqueName="[Range].[Week_Start_Date (Quarter)].[All]" allUniqueName="[Range].[Week_Start_Date (Quarter)].[All]" dimensionUniqueName="[Range]" displayFolder="" count="0" memberValueDatatype="130" unbalanced="0"/>
    <cacheHierarchy uniqueName="[Range].[Week_Start_Date (Month)]" caption="Week_Start_Date (Month)" attribute="1" defaultMemberUniqueName="[Range].[Week_Start_Date (Month)].[All]" allUniqueName="[Range].[Week_Start_Date (Month)].[All]" dimensionUniqueName="[Range]" displayFolder="" count="0" memberValueDatatype="130" unbalanced="0"/>
    <cacheHierarchy uniqueName="[Range].[Week_Start_Date (Month Index)]" caption="Week_Start_Date (Month Index)" attribute="1" defaultMemberUniqueName="[Range].[Week_Start_Date (Month Index)].[All]" allUniqueName="[Range].[Week_Star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Net_Followers]" caption="Sum of Net_Followers" measure="1" displayFolder="" measureGroup="Range" count="0" hidden="1">
      <extLst>
        <ext xmlns:x15="http://schemas.microsoft.com/office/spreadsheetml/2010/11/main" uri="{B97F6D7D-B522-45F9-BDA1-12C45D357490}">
          <x15:cacheHierarchy aggregatedColumn="15"/>
        </ext>
      </extLst>
    </cacheHierarchy>
    <cacheHierarchy uniqueName="[Measures].[Count of Week_Start_Date]" caption="Count of Week_Start_Date"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name="Engagement_Summary" uniqueName="[Engagement_Summary]" caption="Engagement_Summary"/>
    <dimension measure="1" name="Measures" uniqueName="[Measures]" caption="Measures"/>
    <dimension name="Range" uniqueName="[Range]" caption="Range"/>
  </dimensions>
  <measureGroups count="2">
    <measureGroup name="Engagement_Summary" caption="Engagement_Summary"/>
    <measureGroup name="Range" caption="Range"/>
  </measureGroups>
  <maps count="2">
    <map measureGroup="0" dimension="0"/>
    <map measureGroup="1" dimension="2"/>
  </maps>
  <extLst>
    <ext xmlns:x14="http://schemas.microsoft.com/office/spreadsheetml/2009/9/main" uri="{725AE2AE-9491-48be-B2B4-4EB974FC3084}">
      <x14:pivotCacheDefinition slicerData="1" pivotCacheId="2216747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A3929-6B3E-4704-A610-6C06E5AF47E5}" name="PivotTable2"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9">
  <location ref="A3:B68" firstHeaderRow="1" firstDataRow="1" firstDataCol="1"/>
  <pivotFields count="5">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xis="axisRow" allDrilled="1" subtotalTop="0" showAll="0" measureFilter="1" sortType="ascending"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allDrilled="1" subtotalTop="0" showAll="0" dataSourceSort="1" defaultSubtotal="0" defaultAttributeDrillState="1">
      <items count="4">
        <item s="1" x="0"/>
        <item x="1"/>
        <item x="2"/>
        <item x="3"/>
      </items>
    </pivotField>
  </pivotFields>
  <rowFields count="4">
    <field x="4"/>
    <field x="1"/>
    <field x="0"/>
    <field x="3"/>
  </rowFields>
  <rowItems count="65">
    <i>
      <x/>
    </i>
    <i r="1">
      <x/>
    </i>
    <i r="2">
      <x/>
    </i>
    <i r="3">
      <x/>
    </i>
    <i r="3">
      <x v="1"/>
    </i>
    <i r="3">
      <x v="2"/>
    </i>
    <i r="3">
      <x v="3"/>
    </i>
    <i r="2">
      <x v="1"/>
    </i>
    <i r="3">
      <x v="4"/>
    </i>
    <i r="3">
      <x v="5"/>
    </i>
    <i r="3">
      <x v="6"/>
    </i>
    <i r="3">
      <x v="7"/>
    </i>
    <i r="2">
      <x v="2"/>
    </i>
    <i r="3">
      <x v="8"/>
    </i>
    <i r="3">
      <x v="9"/>
    </i>
    <i r="3">
      <x v="10"/>
    </i>
    <i r="3">
      <x v="11"/>
    </i>
    <i r="2">
      <x v="3"/>
    </i>
    <i r="3">
      <x v="12"/>
    </i>
    <i r="3">
      <x v="13"/>
    </i>
    <i r="3">
      <x v="14"/>
    </i>
    <i r="3">
      <x v="15"/>
    </i>
    <i r="3">
      <x v="16"/>
    </i>
    <i r="2">
      <x v="4"/>
    </i>
    <i r="3">
      <x v="17"/>
    </i>
    <i r="3">
      <x v="18"/>
    </i>
    <i r="3">
      <x v="19"/>
    </i>
    <i r="3">
      <x v="20"/>
    </i>
    <i r="2">
      <x v="5"/>
    </i>
    <i r="3">
      <x v="21"/>
    </i>
    <i r="3">
      <x v="22"/>
    </i>
    <i r="3">
      <x v="23"/>
    </i>
    <i r="3">
      <x v="24"/>
    </i>
    <i r="2">
      <x v="6"/>
    </i>
    <i r="3">
      <x v="25"/>
    </i>
    <i r="3">
      <x v="26"/>
    </i>
    <i r="3">
      <x v="27"/>
    </i>
    <i r="3">
      <x v="28"/>
    </i>
    <i r="3">
      <x v="29"/>
    </i>
    <i r="1">
      <x v="1"/>
    </i>
    <i r="2">
      <x v="7"/>
    </i>
    <i r="3">
      <x v="30"/>
    </i>
    <i r="3">
      <x v="31"/>
    </i>
    <i r="3">
      <x v="32"/>
    </i>
    <i r="3">
      <x v="33"/>
    </i>
    <i r="2">
      <x v="8"/>
    </i>
    <i r="3">
      <x v="34"/>
    </i>
    <i r="3">
      <x v="35"/>
    </i>
    <i r="3">
      <x v="36"/>
    </i>
    <i r="3">
      <x v="37"/>
    </i>
    <i r="2">
      <x v="9"/>
    </i>
    <i r="3">
      <x v="38"/>
    </i>
    <i r="3">
      <x v="39"/>
    </i>
    <i r="3">
      <x v="40"/>
    </i>
    <i r="3">
      <x v="41"/>
    </i>
    <i r="3">
      <x v="42"/>
    </i>
    <i r="2">
      <x v="10"/>
    </i>
    <i r="3">
      <x v="43"/>
    </i>
    <i r="3">
      <x v="44"/>
    </i>
    <i r="3">
      <x v="45"/>
    </i>
    <i r="3">
      <x v="46"/>
    </i>
    <i r="2">
      <x v="11"/>
    </i>
    <i r="3">
      <x v="47"/>
    </i>
    <i r="3">
      <x v="48"/>
    </i>
    <i t="grand">
      <x/>
    </i>
  </rowItems>
  <colItems count="1">
    <i/>
  </colItems>
  <dataFields count="1">
    <dataField name="Sum of Net_Followers" fld="2" baseField="1" baseItem="0"/>
  </dataFields>
  <formats count="200">
    <format dxfId="234">
      <pivotArea type="all" dataOnly="0" outline="0" fieldPosition="0"/>
    </format>
    <format dxfId="233">
      <pivotArea type="all" dataOnly="0" outline="0" fieldPosition="0"/>
    </format>
    <format dxfId="232">
      <pivotArea type="all" dataOnly="0" outline="0" fieldPosition="0"/>
    </format>
    <format dxfId="231">
      <pivotArea outline="0" collapsedLevelsAreSubtotals="1" fieldPosition="0"/>
    </format>
    <format dxfId="230">
      <pivotArea field="4" type="button" dataOnly="0" labelOnly="1" outline="0" axis="axisRow" fieldPosition="0"/>
    </format>
    <format dxfId="229">
      <pivotArea dataOnly="0" labelOnly="1" fieldPosition="0">
        <references count="1">
          <reference field="4" count="0"/>
        </references>
      </pivotArea>
    </format>
    <format dxfId="228">
      <pivotArea dataOnly="0" labelOnly="1" grandRow="1" outline="0" fieldPosition="0"/>
    </format>
    <format dxfId="227">
      <pivotArea dataOnly="0" labelOnly="1" fieldPosition="0">
        <references count="2">
          <reference field="1" count="0"/>
          <reference field="4" count="1" selected="0">
            <x v="1"/>
          </reference>
        </references>
      </pivotArea>
    </format>
    <format dxfId="226">
      <pivotArea dataOnly="0" labelOnly="1" fieldPosition="0">
        <references count="2">
          <reference field="1" count="0"/>
          <reference field="4" count="1" selected="0">
            <x v="0"/>
          </reference>
        </references>
      </pivotArea>
    </format>
    <format dxfId="225">
      <pivotArea dataOnly="0" labelOnly="1" fieldPosition="0">
        <references count="2">
          <reference field="1" count="0"/>
          <reference field="4" count="1" selected="0">
            <x v="2"/>
          </reference>
        </references>
      </pivotArea>
    </format>
    <format dxfId="224">
      <pivotArea dataOnly="0" labelOnly="1" fieldPosition="0">
        <references count="2">
          <reference field="1" count="0"/>
          <reference field="4" count="1" selected="0">
            <x v="3"/>
          </reference>
        </references>
      </pivotArea>
    </format>
    <format dxfId="223">
      <pivotArea dataOnly="0" labelOnly="1" fieldPosition="0">
        <references count="3">
          <reference field="0" count="7">
            <x v="0"/>
            <x v="1"/>
            <x v="2"/>
            <x v="3"/>
            <x v="4"/>
            <x v="5"/>
            <x v="6"/>
          </reference>
          <reference field="1" count="1" selected="0">
            <x v="0"/>
          </reference>
          <reference field="4" count="1" selected="0">
            <x v="1"/>
          </reference>
        </references>
      </pivotArea>
    </format>
    <format dxfId="222">
      <pivotArea dataOnly="0" labelOnly="1" fieldPosition="0">
        <references count="3">
          <reference field="0" count="5">
            <x v="7"/>
            <x v="8"/>
            <x v="9"/>
            <x v="10"/>
            <x v="11"/>
          </reference>
          <reference field="1" count="1" selected="0">
            <x v="1"/>
          </reference>
          <reference field="4" count="1" selected="0">
            <x v="1"/>
          </reference>
        </references>
      </pivotArea>
    </format>
    <format dxfId="221">
      <pivotArea dataOnly="0" labelOnly="1" fieldPosition="0">
        <references count="3">
          <reference field="0" count="7">
            <x v="0"/>
            <x v="1"/>
            <x v="2"/>
            <x v="3"/>
            <x v="4"/>
            <x v="5"/>
            <x v="6"/>
          </reference>
          <reference field="1" count="1" selected="0">
            <x v="0"/>
          </reference>
          <reference field="4" count="1" selected="0">
            <x v="0"/>
          </reference>
        </references>
      </pivotArea>
    </format>
    <format dxfId="220">
      <pivotArea dataOnly="0" labelOnly="1" fieldPosition="0">
        <references count="3">
          <reference field="0" count="5">
            <x v="7"/>
            <x v="8"/>
            <x v="9"/>
            <x v="10"/>
            <x v="11"/>
          </reference>
          <reference field="1" count="1" selected="0">
            <x v="1"/>
          </reference>
          <reference field="4" count="1" selected="0">
            <x v="0"/>
          </reference>
        </references>
      </pivotArea>
    </format>
    <format dxfId="219">
      <pivotArea dataOnly="0" labelOnly="1" fieldPosition="0">
        <references count="3">
          <reference field="0" count="7">
            <x v="0"/>
            <x v="1"/>
            <x v="2"/>
            <x v="3"/>
            <x v="4"/>
            <x v="5"/>
            <x v="6"/>
          </reference>
          <reference field="1" count="1" selected="0">
            <x v="0"/>
          </reference>
          <reference field="4" count="1" selected="0">
            <x v="2"/>
          </reference>
        </references>
      </pivotArea>
    </format>
    <format dxfId="218">
      <pivotArea dataOnly="0" labelOnly="1" fieldPosition="0">
        <references count="3">
          <reference field="0" count="5">
            <x v="7"/>
            <x v="8"/>
            <x v="9"/>
            <x v="10"/>
            <x v="11"/>
          </reference>
          <reference field="1" count="1" selected="0">
            <x v="1"/>
          </reference>
          <reference field="4" count="1" selected="0">
            <x v="2"/>
          </reference>
        </references>
      </pivotArea>
    </format>
    <format dxfId="217">
      <pivotArea dataOnly="0" labelOnly="1" fieldPosition="0">
        <references count="3">
          <reference field="0" count="7">
            <x v="0"/>
            <x v="1"/>
            <x v="2"/>
            <x v="3"/>
            <x v="4"/>
            <x v="5"/>
            <x v="6"/>
          </reference>
          <reference field="1" count="1" selected="0">
            <x v="0"/>
          </reference>
          <reference field="4" count="1" selected="0">
            <x v="3"/>
          </reference>
        </references>
      </pivotArea>
    </format>
    <format dxfId="216">
      <pivotArea dataOnly="0" labelOnly="1" fieldPosition="0">
        <references count="3">
          <reference field="0" count="5">
            <x v="7"/>
            <x v="8"/>
            <x v="9"/>
            <x v="10"/>
            <x v="11"/>
          </reference>
          <reference field="1" count="1" selected="0">
            <x v="1"/>
          </reference>
          <reference field="4" count="1" selected="0">
            <x v="3"/>
          </reference>
        </references>
      </pivotArea>
    </format>
    <format dxfId="215">
      <pivotArea dataOnly="0" labelOnly="1" fieldPosition="0">
        <references count="4">
          <reference field="0" count="1" selected="0">
            <x v="0"/>
          </reference>
          <reference field="1" count="1" selected="0">
            <x v="0"/>
          </reference>
          <reference field="3" count="4">
            <x v="0"/>
            <x v="1"/>
            <x v="2"/>
            <x v="3"/>
          </reference>
          <reference field="4" count="1" selected="0">
            <x v="1"/>
          </reference>
        </references>
      </pivotArea>
    </format>
    <format dxfId="214">
      <pivotArea dataOnly="0" labelOnly="1" fieldPosition="0">
        <references count="4">
          <reference field="0" count="1" selected="0">
            <x v="1"/>
          </reference>
          <reference field="1" count="1" selected="0">
            <x v="0"/>
          </reference>
          <reference field="3" count="5">
            <x v="4"/>
            <x v="5"/>
            <x v="6"/>
            <x v="7"/>
            <x v="49"/>
          </reference>
          <reference field="4" count="1" selected="0">
            <x v="1"/>
          </reference>
        </references>
      </pivotArea>
    </format>
    <format dxfId="213">
      <pivotArea dataOnly="0" labelOnly="1" fieldPosition="0">
        <references count="4">
          <reference field="0" count="1" selected="0">
            <x v="2"/>
          </reference>
          <reference field="1" count="1" selected="0">
            <x v="0"/>
          </reference>
          <reference field="3" count="4">
            <x v="8"/>
            <x v="9"/>
            <x v="10"/>
            <x v="11"/>
          </reference>
          <reference field="4" count="1" selected="0">
            <x v="1"/>
          </reference>
        </references>
      </pivotArea>
    </format>
    <format dxfId="212">
      <pivotArea dataOnly="0" labelOnly="1" fieldPosition="0">
        <references count="4">
          <reference field="0" count="1" selected="0">
            <x v="3"/>
          </reference>
          <reference field="1" count="1" selected="0">
            <x v="0"/>
          </reference>
          <reference field="3" count="5">
            <x v="12"/>
            <x v="13"/>
            <x v="14"/>
            <x v="15"/>
            <x v="16"/>
          </reference>
          <reference field="4" count="1" selected="0">
            <x v="1"/>
          </reference>
        </references>
      </pivotArea>
    </format>
    <format dxfId="211">
      <pivotArea dataOnly="0" labelOnly="1" fieldPosition="0">
        <references count="4">
          <reference field="0" count="1" selected="0">
            <x v="4"/>
          </reference>
          <reference field="1" count="1" selected="0">
            <x v="0"/>
          </reference>
          <reference field="3" count="4">
            <x v="17"/>
            <x v="18"/>
            <x v="19"/>
            <x v="20"/>
          </reference>
          <reference field="4" count="1" selected="0">
            <x v="1"/>
          </reference>
        </references>
      </pivotArea>
    </format>
    <format dxfId="210">
      <pivotArea dataOnly="0" labelOnly="1" fieldPosition="0">
        <references count="4">
          <reference field="0" count="1" selected="0">
            <x v="5"/>
          </reference>
          <reference field="1" count="1" selected="0">
            <x v="0"/>
          </reference>
          <reference field="3" count="4">
            <x v="21"/>
            <x v="22"/>
            <x v="23"/>
            <x v="24"/>
          </reference>
          <reference field="4" count="1" selected="0">
            <x v="1"/>
          </reference>
        </references>
      </pivotArea>
    </format>
    <format dxfId="209">
      <pivotArea dataOnly="0" labelOnly="1" fieldPosition="0">
        <references count="4">
          <reference field="0" count="1" selected="0">
            <x v="6"/>
          </reference>
          <reference field="1" count="1" selected="0">
            <x v="0"/>
          </reference>
          <reference field="3" count="5">
            <x v="25"/>
            <x v="26"/>
            <x v="27"/>
            <x v="28"/>
            <x v="29"/>
          </reference>
          <reference field="4" count="1" selected="0">
            <x v="1"/>
          </reference>
        </references>
      </pivotArea>
    </format>
    <format dxfId="208">
      <pivotArea dataOnly="0" labelOnly="1" fieldPosition="0">
        <references count="4">
          <reference field="0" count="1" selected="0">
            <x v="7"/>
          </reference>
          <reference field="1" count="1" selected="0">
            <x v="1"/>
          </reference>
          <reference field="3" count="4">
            <x v="30"/>
            <x v="31"/>
            <x v="32"/>
            <x v="33"/>
          </reference>
          <reference field="4" count="1" selected="0">
            <x v="1"/>
          </reference>
        </references>
      </pivotArea>
    </format>
    <format dxfId="207">
      <pivotArea dataOnly="0" labelOnly="1" fieldPosition="0">
        <references count="4">
          <reference field="0" count="1" selected="0">
            <x v="8"/>
          </reference>
          <reference field="1" count="1" selected="0">
            <x v="1"/>
          </reference>
          <reference field="3" count="4">
            <x v="34"/>
            <x v="35"/>
            <x v="36"/>
            <x v="37"/>
          </reference>
          <reference field="4" count="1" selected="0">
            <x v="1"/>
          </reference>
        </references>
      </pivotArea>
    </format>
    <format dxfId="206">
      <pivotArea dataOnly="0" labelOnly="1" fieldPosition="0">
        <references count="4">
          <reference field="0" count="1" selected="0">
            <x v="9"/>
          </reference>
          <reference field="1" count="1" selected="0">
            <x v="1"/>
          </reference>
          <reference field="3" count="5">
            <x v="38"/>
            <x v="39"/>
            <x v="40"/>
            <x v="41"/>
            <x v="42"/>
          </reference>
          <reference field="4" count="1" selected="0">
            <x v="1"/>
          </reference>
        </references>
      </pivotArea>
    </format>
    <format dxfId="205">
      <pivotArea dataOnly="0" labelOnly="1" fieldPosition="0">
        <references count="4">
          <reference field="0" count="1" selected="0">
            <x v="10"/>
          </reference>
          <reference field="1" count="1" selected="0">
            <x v="1"/>
          </reference>
          <reference field="3" count="4">
            <x v="43"/>
            <x v="44"/>
            <x v="45"/>
            <x v="46"/>
          </reference>
          <reference field="4" count="1" selected="0">
            <x v="1"/>
          </reference>
        </references>
      </pivotArea>
    </format>
    <format dxfId="204">
      <pivotArea dataOnly="0" labelOnly="1" fieldPosition="0">
        <references count="4">
          <reference field="0" count="1" selected="0">
            <x v="11"/>
          </reference>
          <reference field="1" count="1" selected="0">
            <x v="1"/>
          </reference>
          <reference field="3" count="2">
            <x v="47"/>
            <x v="48"/>
          </reference>
          <reference field="4" count="1" selected="0">
            <x v="1"/>
          </reference>
        </references>
      </pivotArea>
    </format>
    <format dxfId="203">
      <pivotArea dataOnly="0" labelOnly="1" fieldPosition="0">
        <references count="4">
          <reference field="0" count="1" selected="0">
            <x v="0"/>
          </reference>
          <reference field="1" count="1" selected="0">
            <x v="0"/>
          </reference>
          <reference field="3" count="4">
            <x v="0"/>
            <x v="1"/>
            <x v="2"/>
            <x v="3"/>
          </reference>
          <reference field="4" count="1" selected="0">
            <x v="0"/>
          </reference>
        </references>
      </pivotArea>
    </format>
    <format dxfId="202">
      <pivotArea dataOnly="0" labelOnly="1" fieldPosition="0">
        <references count="4">
          <reference field="0" count="1" selected="0">
            <x v="1"/>
          </reference>
          <reference field="1" count="1" selected="0">
            <x v="0"/>
          </reference>
          <reference field="3" count="4">
            <x v="4"/>
            <x v="5"/>
            <x v="6"/>
            <x v="7"/>
          </reference>
          <reference field="4" count="1" selected="0">
            <x v="0"/>
          </reference>
        </references>
      </pivotArea>
    </format>
    <format dxfId="201">
      <pivotArea dataOnly="0" labelOnly="1" fieldPosition="0">
        <references count="4">
          <reference field="0" count="1" selected="0">
            <x v="2"/>
          </reference>
          <reference field="1" count="1" selected="0">
            <x v="0"/>
          </reference>
          <reference field="3" count="4">
            <x v="8"/>
            <x v="9"/>
            <x v="10"/>
            <x v="11"/>
          </reference>
          <reference field="4" count="1" selected="0">
            <x v="0"/>
          </reference>
        </references>
      </pivotArea>
    </format>
    <format dxfId="200">
      <pivotArea dataOnly="0" labelOnly="1" fieldPosition="0">
        <references count="4">
          <reference field="0" count="1" selected="0">
            <x v="3"/>
          </reference>
          <reference field="1" count="1" selected="0">
            <x v="0"/>
          </reference>
          <reference field="3" count="5">
            <x v="12"/>
            <x v="13"/>
            <x v="14"/>
            <x v="15"/>
            <x v="16"/>
          </reference>
          <reference field="4" count="1" selected="0">
            <x v="0"/>
          </reference>
        </references>
      </pivotArea>
    </format>
    <format dxfId="199">
      <pivotArea dataOnly="0" labelOnly="1" fieldPosition="0">
        <references count="4">
          <reference field="0" count="1" selected="0">
            <x v="4"/>
          </reference>
          <reference field="1" count="1" selected="0">
            <x v="0"/>
          </reference>
          <reference field="3" count="4">
            <x v="17"/>
            <x v="18"/>
            <x v="19"/>
            <x v="20"/>
          </reference>
          <reference field="4" count="1" selected="0">
            <x v="0"/>
          </reference>
        </references>
      </pivotArea>
    </format>
    <format dxfId="198">
      <pivotArea dataOnly="0" labelOnly="1" fieldPosition="0">
        <references count="4">
          <reference field="0" count="1" selected="0">
            <x v="5"/>
          </reference>
          <reference field="1" count="1" selected="0">
            <x v="0"/>
          </reference>
          <reference field="3" count="4">
            <x v="21"/>
            <x v="22"/>
            <x v="23"/>
            <x v="24"/>
          </reference>
          <reference field="4" count="1" selected="0">
            <x v="0"/>
          </reference>
        </references>
      </pivotArea>
    </format>
    <format dxfId="197">
      <pivotArea dataOnly="0" labelOnly="1" fieldPosition="0">
        <references count="4">
          <reference field="0" count="1" selected="0">
            <x v="6"/>
          </reference>
          <reference field="1" count="1" selected="0">
            <x v="0"/>
          </reference>
          <reference field="3" count="5">
            <x v="25"/>
            <x v="26"/>
            <x v="27"/>
            <x v="28"/>
            <x v="29"/>
          </reference>
          <reference field="4" count="1" selected="0">
            <x v="0"/>
          </reference>
        </references>
      </pivotArea>
    </format>
    <format dxfId="196">
      <pivotArea dataOnly="0" labelOnly="1" fieldPosition="0">
        <references count="4">
          <reference field="0" count="1" selected="0">
            <x v="7"/>
          </reference>
          <reference field="1" count="1" selected="0">
            <x v="1"/>
          </reference>
          <reference field="3" count="4">
            <x v="30"/>
            <x v="31"/>
            <x v="32"/>
            <x v="33"/>
          </reference>
          <reference field="4" count="1" selected="0">
            <x v="0"/>
          </reference>
        </references>
      </pivotArea>
    </format>
    <format dxfId="195">
      <pivotArea dataOnly="0" labelOnly="1" fieldPosition="0">
        <references count="4">
          <reference field="0" count="1" selected="0">
            <x v="8"/>
          </reference>
          <reference field="1" count="1" selected="0">
            <x v="1"/>
          </reference>
          <reference field="3" count="4">
            <x v="34"/>
            <x v="35"/>
            <x v="36"/>
            <x v="37"/>
          </reference>
          <reference field="4" count="1" selected="0">
            <x v="0"/>
          </reference>
        </references>
      </pivotArea>
    </format>
    <format dxfId="194">
      <pivotArea dataOnly="0" labelOnly="1" fieldPosition="0">
        <references count="4">
          <reference field="0" count="1" selected="0">
            <x v="9"/>
          </reference>
          <reference field="1" count="1" selected="0">
            <x v="1"/>
          </reference>
          <reference field="3" count="5">
            <x v="38"/>
            <x v="39"/>
            <x v="40"/>
            <x v="41"/>
            <x v="42"/>
          </reference>
          <reference field="4" count="1" selected="0">
            <x v="0"/>
          </reference>
        </references>
      </pivotArea>
    </format>
    <format dxfId="193">
      <pivotArea dataOnly="0" labelOnly="1" fieldPosition="0">
        <references count="4">
          <reference field="0" count="1" selected="0">
            <x v="10"/>
          </reference>
          <reference field="1" count="1" selected="0">
            <x v="1"/>
          </reference>
          <reference field="3" count="4">
            <x v="43"/>
            <x v="44"/>
            <x v="45"/>
            <x v="46"/>
          </reference>
          <reference field="4" count="1" selected="0">
            <x v="0"/>
          </reference>
        </references>
      </pivotArea>
    </format>
    <format dxfId="192">
      <pivotArea dataOnly="0" labelOnly="1" fieldPosition="0">
        <references count="4">
          <reference field="0" count="1" selected="0">
            <x v="11"/>
          </reference>
          <reference field="1" count="1" selected="0">
            <x v="1"/>
          </reference>
          <reference field="3" count="2">
            <x v="47"/>
            <x v="48"/>
          </reference>
          <reference field="4" count="1" selected="0">
            <x v="0"/>
          </reference>
        </references>
      </pivotArea>
    </format>
    <format dxfId="191">
      <pivotArea dataOnly="0" labelOnly="1" fieldPosition="0">
        <references count="4">
          <reference field="0" count="1" selected="0">
            <x v="0"/>
          </reference>
          <reference field="1" count="1" selected="0">
            <x v="0"/>
          </reference>
          <reference field="3" count="4">
            <x v="0"/>
            <x v="1"/>
            <x v="2"/>
            <x v="3"/>
          </reference>
          <reference field="4" count="1" selected="0">
            <x v="2"/>
          </reference>
        </references>
      </pivotArea>
    </format>
    <format dxfId="190">
      <pivotArea dataOnly="0" labelOnly="1" fieldPosition="0">
        <references count="4">
          <reference field="0" count="1" selected="0">
            <x v="1"/>
          </reference>
          <reference field="1" count="1" selected="0">
            <x v="0"/>
          </reference>
          <reference field="3" count="5">
            <x v="4"/>
            <x v="5"/>
            <x v="6"/>
            <x v="7"/>
            <x v="49"/>
          </reference>
          <reference field="4" count="1" selected="0">
            <x v="2"/>
          </reference>
        </references>
      </pivotArea>
    </format>
    <format dxfId="189">
      <pivotArea dataOnly="0" labelOnly="1" fieldPosition="0">
        <references count="4">
          <reference field="0" count="1" selected="0">
            <x v="2"/>
          </reference>
          <reference field="1" count="1" selected="0">
            <x v="0"/>
          </reference>
          <reference field="3" count="4">
            <x v="8"/>
            <x v="9"/>
            <x v="10"/>
            <x v="11"/>
          </reference>
          <reference field="4" count="1" selected="0">
            <x v="2"/>
          </reference>
        </references>
      </pivotArea>
    </format>
    <format dxfId="188">
      <pivotArea dataOnly="0" labelOnly="1" fieldPosition="0">
        <references count="4">
          <reference field="0" count="1" selected="0">
            <x v="3"/>
          </reference>
          <reference field="1" count="1" selected="0">
            <x v="0"/>
          </reference>
          <reference field="3" count="5">
            <x v="12"/>
            <x v="13"/>
            <x v="14"/>
            <x v="15"/>
            <x v="16"/>
          </reference>
          <reference field="4" count="1" selected="0">
            <x v="2"/>
          </reference>
        </references>
      </pivotArea>
    </format>
    <format dxfId="187">
      <pivotArea dataOnly="0" labelOnly="1" fieldPosition="0">
        <references count="4">
          <reference field="0" count="1" selected="0">
            <x v="4"/>
          </reference>
          <reference field="1" count="1" selected="0">
            <x v="0"/>
          </reference>
          <reference field="3" count="4">
            <x v="17"/>
            <x v="18"/>
            <x v="19"/>
            <x v="20"/>
          </reference>
          <reference field="4" count="1" selected="0">
            <x v="2"/>
          </reference>
        </references>
      </pivotArea>
    </format>
    <format dxfId="186">
      <pivotArea dataOnly="0" labelOnly="1" fieldPosition="0">
        <references count="4">
          <reference field="0" count="1" selected="0">
            <x v="5"/>
          </reference>
          <reference field="1" count="1" selected="0">
            <x v="0"/>
          </reference>
          <reference field="3" count="4">
            <x v="21"/>
            <x v="22"/>
            <x v="23"/>
            <x v="24"/>
          </reference>
          <reference field="4" count="1" selected="0">
            <x v="2"/>
          </reference>
        </references>
      </pivotArea>
    </format>
    <format dxfId="185">
      <pivotArea dataOnly="0" labelOnly="1" fieldPosition="0">
        <references count="4">
          <reference field="0" count="1" selected="0">
            <x v="6"/>
          </reference>
          <reference field="1" count="1" selected="0">
            <x v="0"/>
          </reference>
          <reference field="3" count="5">
            <x v="25"/>
            <x v="26"/>
            <x v="27"/>
            <x v="28"/>
            <x v="29"/>
          </reference>
          <reference field="4" count="1" selected="0">
            <x v="2"/>
          </reference>
        </references>
      </pivotArea>
    </format>
    <format dxfId="184">
      <pivotArea dataOnly="0" labelOnly="1" fieldPosition="0">
        <references count="4">
          <reference field="0" count="1" selected="0">
            <x v="7"/>
          </reference>
          <reference field="1" count="1" selected="0">
            <x v="1"/>
          </reference>
          <reference field="3" count="4">
            <x v="30"/>
            <x v="31"/>
            <x v="32"/>
            <x v="33"/>
          </reference>
          <reference field="4" count="1" selected="0">
            <x v="2"/>
          </reference>
        </references>
      </pivotArea>
    </format>
    <format dxfId="183">
      <pivotArea dataOnly="0" labelOnly="1" fieldPosition="0">
        <references count="4">
          <reference field="0" count="1" selected="0">
            <x v="8"/>
          </reference>
          <reference field="1" count="1" selected="0">
            <x v="1"/>
          </reference>
          <reference field="3" count="4">
            <x v="34"/>
            <x v="35"/>
            <x v="36"/>
            <x v="37"/>
          </reference>
          <reference field="4" count="1" selected="0">
            <x v="2"/>
          </reference>
        </references>
      </pivotArea>
    </format>
    <format dxfId="182">
      <pivotArea dataOnly="0" labelOnly="1" fieldPosition="0">
        <references count="4">
          <reference field="0" count="1" selected="0">
            <x v="9"/>
          </reference>
          <reference field="1" count="1" selected="0">
            <x v="1"/>
          </reference>
          <reference field="3" count="5">
            <x v="38"/>
            <x v="39"/>
            <x v="40"/>
            <x v="41"/>
            <x v="42"/>
          </reference>
          <reference field="4" count="1" selected="0">
            <x v="2"/>
          </reference>
        </references>
      </pivotArea>
    </format>
    <format dxfId="181">
      <pivotArea dataOnly="0" labelOnly="1" fieldPosition="0">
        <references count="4">
          <reference field="0" count="1" selected="0">
            <x v="10"/>
          </reference>
          <reference field="1" count="1" selected="0">
            <x v="1"/>
          </reference>
          <reference field="3" count="4">
            <x v="43"/>
            <x v="44"/>
            <x v="45"/>
            <x v="46"/>
          </reference>
          <reference field="4" count="1" selected="0">
            <x v="2"/>
          </reference>
        </references>
      </pivotArea>
    </format>
    <format dxfId="180">
      <pivotArea dataOnly="0" labelOnly="1" fieldPosition="0">
        <references count="4">
          <reference field="0" count="1" selected="0">
            <x v="11"/>
          </reference>
          <reference field="1" count="1" selected="0">
            <x v="1"/>
          </reference>
          <reference field="3" count="2">
            <x v="47"/>
            <x v="48"/>
          </reference>
          <reference field="4" count="1" selected="0">
            <x v="2"/>
          </reference>
        </references>
      </pivotArea>
    </format>
    <format dxfId="179">
      <pivotArea dataOnly="0" labelOnly="1" fieldPosition="0">
        <references count="4">
          <reference field="0" count="1" selected="0">
            <x v="0"/>
          </reference>
          <reference field="1" count="1" selected="0">
            <x v="0"/>
          </reference>
          <reference field="3" count="4">
            <x v="0"/>
            <x v="1"/>
            <x v="2"/>
            <x v="3"/>
          </reference>
          <reference field="4" count="1" selected="0">
            <x v="3"/>
          </reference>
        </references>
      </pivotArea>
    </format>
    <format dxfId="178">
      <pivotArea dataOnly="0" labelOnly="1" fieldPosition="0">
        <references count="4">
          <reference field="0" count="1" selected="0">
            <x v="1"/>
          </reference>
          <reference field="1" count="1" selected="0">
            <x v="0"/>
          </reference>
          <reference field="3" count="5">
            <x v="4"/>
            <x v="5"/>
            <x v="6"/>
            <x v="7"/>
            <x v="49"/>
          </reference>
          <reference field="4" count="1" selected="0">
            <x v="3"/>
          </reference>
        </references>
      </pivotArea>
    </format>
    <format dxfId="177">
      <pivotArea dataOnly="0" labelOnly="1" fieldPosition="0">
        <references count="4">
          <reference field="0" count="1" selected="0">
            <x v="2"/>
          </reference>
          <reference field="1" count="1" selected="0">
            <x v="0"/>
          </reference>
          <reference field="3" count="4">
            <x v="8"/>
            <x v="9"/>
            <x v="10"/>
            <x v="11"/>
          </reference>
          <reference field="4" count="1" selected="0">
            <x v="3"/>
          </reference>
        </references>
      </pivotArea>
    </format>
    <format dxfId="176">
      <pivotArea dataOnly="0" labelOnly="1" fieldPosition="0">
        <references count="4">
          <reference field="0" count="1" selected="0">
            <x v="3"/>
          </reference>
          <reference field="1" count="1" selected="0">
            <x v="0"/>
          </reference>
          <reference field="3" count="5">
            <x v="12"/>
            <x v="13"/>
            <x v="14"/>
            <x v="15"/>
            <x v="16"/>
          </reference>
          <reference field="4" count="1" selected="0">
            <x v="3"/>
          </reference>
        </references>
      </pivotArea>
    </format>
    <format dxfId="175">
      <pivotArea dataOnly="0" labelOnly="1" fieldPosition="0">
        <references count="4">
          <reference field="0" count="1" selected="0">
            <x v="4"/>
          </reference>
          <reference field="1" count="1" selected="0">
            <x v="0"/>
          </reference>
          <reference field="3" count="4">
            <x v="17"/>
            <x v="18"/>
            <x v="19"/>
            <x v="20"/>
          </reference>
          <reference field="4" count="1" selected="0">
            <x v="3"/>
          </reference>
        </references>
      </pivotArea>
    </format>
    <format dxfId="174">
      <pivotArea dataOnly="0" labelOnly="1" fieldPosition="0">
        <references count="4">
          <reference field="0" count="1" selected="0">
            <x v="5"/>
          </reference>
          <reference field="1" count="1" selected="0">
            <x v="0"/>
          </reference>
          <reference field="3" count="4">
            <x v="21"/>
            <x v="22"/>
            <x v="23"/>
            <x v="24"/>
          </reference>
          <reference field="4" count="1" selected="0">
            <x v="3"/>
          </reference>
        </references>
      </pivotArea>
    </format>
    <format dxfId="173">
      <pivotArea dataOnly="0" labelOnly="1" fieldPosition="0">
        <references count="4">
          <reference field="0" count="1" selected="0">
            <x v="6"/>
          </reference>
          <reference field="1" count="1" selected="0">
            <x v="0"/>
          </reference>
          <reference field="3" count="5">
            <x v="25"/>
            <x v="26"/>
            <x v="27"/>
            <x v="28"/>
            <x v="29"/>
          </reference>
          <reference field="4" count="1" selected="0">
            <x v="3"/>
          </reference>
        </references>
      </pivotArea>
    </format>
    <format dxfId="172">
      <pivotArea dataOnly="0" labelOnly="1" fieldPosition="0">
        <references count="4">
          <reference field="0" count="1" selected="0">
            <x v="7"/>
          </reference>
          <reference field="1" count="1" selected="0">
            <x v="1"/>
          </reference>
          <reference field="3" count="4">
            <x v="30"/>
            <x v="31"/>
            <x v="32"/>
            <x v="33"/>
          </reference>
          <reference field="4" count="1" selected="0">
            <x v="3"/>
          </reference>
        </references>
      </pivotArea>
    </format>
    <format dxfId="171">
      <pivotArea dataOnly="0" labelOnly="1" fieldPosition="0">
        <references count="4">
          <reference field="0" count="1" selected="0">
            <x v="8"/>
          </reference>
          <reference field="1" count="1" selected="0">
            <x v="1"/>
          </reference>
          <reference field="3" count="4">
            <x v="34"/>
            <x v="35"/>
            <x v="36"/>
            <x v="37"/>
          </reference>
          <reference field="4" count="1" selected="0">
            <x v="3"/>
          </reference>
        </references>
      </pivotArea>
    </format>
    <format dxfId="170">
      <pivotArea dataOnly="0" labelOnly="1" fieldPosition="0">
        <references count="4">
          <reference field="0" count="1" selected="0">
            <x v="9"/>
          </reference>
          <reference field="1" count="1" selected="0">
            <x v="1"/>
          </reference>
          <reference field="3" count="5">
            <x v="38"/>
            <x v="39"/>
            <x v="40"/>
            <x v="41"/>
            <x v="42"/>
          </reference>
          <reference field="4" count="1" selected="0">
            <x v="3"/>
          </reference>
        </references>
      </pivotArea>
    </format>
    <format dxfId="169">
      <pivotArea dataOnly="0" labelOnly="1" fieldPosition="0">
        <references count="4">
          <reference field="0" count="1" selected="0">
            <x v="10"/>
          </reference>
          <reference field="1" count="1" selected="0">
            <x v="1"/>
          </reference>
          <reference field="3" count="4">
            <x v="43"/>
            <x v="44"/>
            <x v="45"/>
            <x v="46"/>
          </reference>
          <reference field="4" count="1" selected="0">
            <x v="3"/>
          </reference>
        </references>
      </pivotArea>
    </format>
    <format dxfId="168">
      <pivotArea dataOnly="0" labelOnly="1" fieldPosition="0">
        <references count="4">
          <reference field="0" count="1" selected="0">
            <x v="11"/>
          </reference>
          <reference field="1" count="1" selected="0">
            <x v="1"/>
          </reference>
          <reference field="3" count="2">
            <x v="47"/>
            <x v="48"/>
          </reference>
          <reference field="4" count="1" selected="0">
            <x v="3"/>
          </reference>
        </references>
      </pivotArea>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4" type="button" dataOnly="0" labelOnly="1" outline="0" axis="axisRow" fieldPosition="0"/>
    </format>
    <format dxfId="163">
      <pivotArea dataOnly="0" labelOnly="1" fieldPosition="0">
        <references count="1">
          <reference field="4" count="0"/>
        </references>
      </pivotArea>
    </format>
    <format dxfId="162">
      <pivotArea dataOnly="0" labelOnly="1" grandRow="1" outline="0" fieldPosition="0"/>
    </format>
    <format dxfId="161">
      <pivotArea dataOnly="0" labelOnly="1" fieldPosition="0">
        <references count="2">
          <reference field="1" count="0"/>
          <reference field="4" count="1" selected="0">
            <x v="1"/>
          </reference>
        </references>
      </pivotArea>
    </format>
    <format dxfId="160">
      <pivotArea dataOnly="0" labelOnly="1" fieldPosition="0">
        <references count="2">
          <reference field="1" count="0"/>
          <reference field="4" count="1" selected="0">
            <x v="0"/>
          </reference>
        </references>
      </pivotArea>
    </format>
    <format dxfId="159">
      <pivotArea dataOnly="0" labelOnly="1" fieldPosition="0">
        <references count="2">
          <reference field="1" count="0"/>
          <reference field="4" count="1" selected="0">
            <x v="2"/>
          </reference>
        </references>
      </pivotArea>
    </format>
    <format dxfId="158">
      <pivotArea dataOnly="0" labelOnly="1" fieldPosition="0">
        <references count="2">
          <reference field="1" count="0"/>
          <reference field="4" count="1" selected="0">
            <x v="3"/>
          </reference>
        </references>
      </pivotArea>
    </format>
    <format dxfId="157">
      <pivotArea dataOnly="0" labelOnly="1" fieldPosition="0">
        <references count="3">
          <reference field="0" count="7">
            <x v="0"/>
            <x v="1"/>
            <x v="2"/>
            <x v="3"/>
            <x v="4"/>
            <x v="5"/>
            <x v="6"/>
          </reference>
          <reference field="1" count="1" selected="0">
            <x v="0"/>
          </reference>
          <reference field="4" count="1" selected="0">
            <x v="1"/>
          </reference>
        </references>
      </pivotArea>
    </format>
    <format dxfId="156">
      <pivotArea dataOnly="0" labelOnly="1" fieldPosition="0">
        <references count="3">
          <reference field="0" count="5">
            <x v="7"/>
            <x v="8"/>
            <x v="9"/>
            <x v="10"/>
            <x v="11"/>
          </reference>
          <reference field="1" count="1" selected="0">
            <x v="1"/>
          </reference>
          <reference field="4" count="1" selected="0">
            <x v="1"/>
          </reference>
        </references>
      </pivotArea>
    </format>
    <format dxfId="155">
      <pivotArea dataOnly="0" labelOnly="1" fieldPosition="0">
        <references count="3">
          <reference field="0" count="7">
            <x v="0"/>
            <x v="1"/>
            <x v="2"/>
            <x v="3"/>
            <x v="4"/>
            <x v="5"/>
            <x v="6"/>
          </reference>
          <reference field="1" count="1" selected="0">
            <x v="0"/>
          </reference>
          <reference field="4" count="1" selected="0">
            <x v="0"/>
          </reference>
        </references>
      </pivotArea>
    </format>
    <format dxfId="154">
      <pivotArea dataOnly="0" labelOnly="1" fieldPosition="0">
        <references count="3">
          <reference field="0" count="5">
            <x v="7"/>
            <x v="8"/>
            <x v="9"/>
            <x v="10"/>
            <x v="11"/>
          </reference>
          <reference field="1" count="1" selected="0">
            <x v="1"/>
          </reference>
          <reference field="4" count="1" selected="0">
            <x v="0"/>
          </reference>
        </references>
      </pivotArea>
    </format>
    <format dxfId="153">
      <pivotArea dataOnly="0" labelOnly="1" fieldPosition="0">
        <references count="3">
          <reference field="0" count="7">
            <x v="0"/>
            <x v="1"/>
            <x v="2"/>
            <x v="3"/>
            <x v="4"/>
            <x v="5"/>
            <x v="6"/>
          </reference>
          <reference field="1" count="1" selected="0">
            <x v="0"/>
          </reference>
          <reference field="4" count="1" selected="0">
            <x v="2"/>
          </reference>
        </references>
      </pivotArea>
    </format>
    <format dxfId="152">
      <pivotArea dataOnly="0" labelOnly="1" fieldPosition="0">
        <references count="3">
          <reference field="0" count="5">
            <x v="7"/>
            <x v="8"/>
            <x v="9"/>
            <x v="10"/>
            <x v="11"/>
          </reference>
          <reference field="1" count="1" selected="0">
            <x v="1"/>
          </reference>
          <reference field="4" count="1" selected="0">
            <x v="2"/>
          </reference>
        </references>
      </pivotArea>
    </format>
    <format dxfId="151">
      <pivotArea dataOnly="0" labelOnly="1" fieldPosition="0">
        <references count="3">
          <reference field="0" count="7">
            <x v="0"/>
            <x v="1"/>
            <x v="2"/>
            <x v="3"/>
            <x v="4"/>
            <x v="5"/>
            <x v="6"/>
          </reference>
          <reference field="1" count="1" selected="0">
            <x v="0"/>
          </reference>
          <reference field="4" count="1" selected="0">
            <x v="3"/>
          </reference>
        </references>
      </pivotArea>
    </format>
    <format dxfId="150">
      <pivotArea dataOnly="0" labelOnly="1" fieldPosition="0">
        <references count="3">
          <reference field="0" count="5">
            <x v="7"/>
            <x v="8"/>
            <x v="9"/>
            <x v="10"/>
            <x v="11"/>
          </reference>
          <reference field="1" count="1" selected="0">
            <x v="1"/>
          </reference>
          <reference field="4" count="1" selected="0">
            <x v="3"/>
          </reference>
        </references>
      </pivotArea>
    </format>
    <format dxfId="149">
      <pivotArea dataOnly="0" labelOnly="1" fieldPosition="0">
        <references count="4">
          <reference field="0" count="1" selected="0">
            <x v="0"/>
          </reference>
          <reference field="1" count="1" selected="0">
            <x v="0"/>
          </reference>
          <reference field="3" count="4">
            <x v="0"/>
            <x v="1"/>
            <x v="2"/>
            <x v="3"/>
          </reference>
          <reference field="4" count="1" selected="0">
            <x v="1"/>
          </reference>
        </references>
      </pivotArea>
    </format>
    <format dxfId="148">
      <pivotArea dataOnly="0" labelOnly="1" fieldPosition="0">
        <references count="4">
          <reference field="0" count="1" selected="0">
            <x v="1"/>
          </reference>
          <reference field="1" count="1" selected="0">
            <x v="0"/>
          </reference>
          <reference field="3" count="5">
            <x v="4"/>
            <x v="5"/>
            <x v="6"/>
            <x v="7"/>
            <x v="49"/>
          </reference>
          <reference field="4" count="1" selected="0">
            <x v="1"/>
          </reference>
        </references>
      </pivotArea>
    </format>
    <format dxfId="147">
      <pivotArea dataOnly="0" labelOnly="1" fieldPosition="0">
        <references count="4">
          <reference field="0" count="1" selected="0">
            <x v="2"/>
          </reference>
          <reference field="1" count="1" selected="0">
            <x v="0"/>
          </reference>
          <reference field="3" count="4">
            <x v="8"/>
            <x v="9"/>
            <x v="10"/>
            <x v="11"/>
          </reference>
          <reference field="4" count="1" selected="0">
            <x v="1"/>
          </reference>
        </references>
      </pivotArea>
    </format>
    <format dxfId="146">
      <pivotArea dataOnly="0" labelOnly="1" fieldPosition="0">
        <references count="4">
          <reference field="0" count="1" selected="0">
            <x v="3"/>
          </reference>
          <reference field="1" count="1" selected="0">
            <x v="0"/>
          </reference>
          <reference field="3" count="5">
            <x v="12"/>
            <x v="13"/>
            <x v="14"/>
            <x v="15"/>
            <x v="16"/>
          </reference>
          <reference field="4" count="1" selected="0">
            <x v="1"/>
          </reference>
        </references>
      </pivotArea>
    </format>
    <format dxfId="145">
      <pivotArea dataOnly="0" labelOnly="1" fieldPosition="0">
        <references count="4">
          <reference field="0" count="1" selected="0">
            <x v="4"/>
          </reference>
          <reference field="1" count="1" selected="0">
            <x v="0"/>
          </reference>
          <reference field="3" count="4">
            <x v="17"/>
            <x v="18"/>
            <x v="19"/>
            <x v="20"/>
          </reference>
          <reference field="4" count="1" selected="0">
            <x v="1"/>
          </reference>
        </references>
      </pivotArea>
    </format>
    <format dxfId="144">
      <pivotArea dataOnly="0" labelOnly="1" fieldPosition="0">
        <references count="4">
          <reference field="0" count="1" selected="0">
            <x v="5"/>
          </reference>
          <reference field="1" count="1" selected="0">
            <x v="0"/>
          </reference>
          <reference field="3" count="4">
            <x v="21"/>
            <x v="22"/>
            <x v="23"/>
            <x v="24"/>
          </reference>
          <reference field="4" count="1" selected="0">
            <x v="1"/>
          </reference>
        </references>
      </pivotArea>
    </format>
    <format dxfId="143">
      <pivotArea dataOnly="0" labelOnly="1" fieldPosition="0">
        <references count="4">
          <reference field="0" count="1" selected="0">
            <x v="6"/>
          </reference>
          <reference field="1" count="1" selected="0">
            <x v="0"/>
          </reference>
          <reference field="3" count="5">
            <x v="25"/>
            <x v="26"/>
            <x v="27"/>
            <x v="28"/>
            <x v="29"/>
          </reference>
          <reference field="4" count="1" selected="0">
            <x v="1"/>
          </reference>
        </references>
      </pivotArea>
    </format>
    <format dxfId="142">
      <pivotArea dataOnly="0" labelOnly="1" fieldPosition="0">
        <references count="4">
          <reference field="0" count="1" selected="0">
            <x v="7"/>
          </reference>
          <reference field="1" count="1" selected="0">
            <x v="1"/>
          </reference>
          <reference field="3" count="4">
            <x v="30"/>
            <x v="31"/>
            <x v="32"/>
            <x v="33"/>
          </reference>
          <reference field="4" count="1" selected="0">
            <x v="1"/>
          </reference>
        </references>
      </pivotArea>
    </format>
    <format dxfId="141">
      <pivotArea dataOnly="0" labelOnly="1" fieldPosition="0">
        <references count="4">
          <reference field="0" count="1" selected="0">
            <x v="8"/>
          </reference>
          <reference field="1" count="1" selected="0">
            <x v="1"/>
          </reference>
          <reference field="3" count="4">
            <x v="34"/>
            <x v="35"/>
            <x v="36"/>
            <x v="37"/>
          </reference>
          <reference field="4" count="1" selected="0">
            <x v="1"/>
          </reference>
        </references>
      </pivotArea>
    </format>
    <format dxfId="140">
      <pivotArea dataOnly="0" labelOnly="1" fieldPosition="0">
        <references count="4">
          <reference field="0" count="1" selected="0">
            <x v="9"/>
          </reference>
          <reference field="1" count="1" selected="0">
            <x v="1"/>
          </reference>
          <reference field="3" count="5">
            <x v="38"/>
            <x v="39"/>
            <x v="40"/>
            <x v="41"/>
            <x v="42"/>
          </reference>
          <reference field="4" count="1" selected="0">
            <x v="1"/>
          </reference>
        </references>
      </pivotArea>
    </format>
    <format dxfId="139">
      <pivotArea dataOnly="0" labelOnly="1" fieldPosition="0">
        <references count="4">
          <reference field="0" count="1" selected="0">
            <x v="10"/>
          </reference>
          <reference field="1" count="1" selected="0">
            <x v="1"/>
          </reference>
          <reference field="3" count="4">
            <x v="43"/>
            <x v="44"/>
            <x v="45"/>
            <x v="46"/>
          </reference>
          <reference field="4" count="1" selected="0">
            <x v="1"/>
          </reference>
        </references>
      </pivotArea>
    </format>
    <format dxfId="138">
      <pivotArea dataOnly="0" labelOnly="1" fieldPosition="0">
        <references count="4">
          <reference field="0" count="1" selected="0">
            <x v="11"/>
          </reference>
          <reference field="1" count="1" selected="0">
            <x v="1"/>
          </reference>
          <reference field="3" count="2">
            <x v="47"/>
            <x v="48"/>
          </reference>
          <reference field="4" count="1" selected="0">
            <x v="1"/>
          </reference>
        </references>
      </pivotArea>
    </format>
    <format dxfId="137">
      <pivotArea dataOnly="0" labelOnly="1" fieldPosition="0">
        <references count="4">
          <reference field="0" count="1" selected="0">
            <x v="0"/>
          </reference>
          <reference field="1" count="1" selected="0">
            <x v="0"/>
          </reference>
          <reference field="3" count="4">
            <x v="0"/>
            <x v="1"/>
            <x v="2"/>
            <x v="3"/>
          </reference>
          <reference field="4" count="1" selected="0">
            <x v="0"/>
          </reference>
        </references>
      </pivotArea>
    </format>
    <format dxfId="136">
      <pivotArea dataOnly="0" labelOnly="1" fieldPosition="0">
        <references count="4">
          <reference field="0" count="1" selected="0">
            <x v="1"/>
          </reference>
          <reference field="1" count="1" selected="0">
            <x v="0"/>
          </reference>
          <reference field="3" count="4">
            <x v="4"/>
            <x v="5"/>
            <x v="6"/>
            <x v="7"/>
          </reference>
          <reference field="4" count="1" selected="0">
            <x v="0"/>
          </reference>
        </references>
      </pivotArea>
    </format>
    <format dxfId="135">
      <pivotArea dataOnly="0" labelOnly="1" fieldPosition="0">
        <references count="4">
          <reference field="0" count="1" selected="0">
            <x v="2"/>
          </reference>
          <reference field="1" count="1" selected="0">
            <x v="0"/>
          </reference>
          <reference field="3" count="4">
            <x v="8"/>
            <x v="9"/>
            <x v="10"/>
            <x v="11"/>
          </reference>
          <reference field="4" count="1" selected="0">
            <x v="0"/>
          </reference>
        </references>
      </pivotArea>
    </format>
    <format dxfId="134">
      <pivotArea dataOnly="0" labelOnly="1" fieldPosition="0">
        <references count="4">
          <reference field="0" count="1" selected="0">
            <x v="3"/>
          </reference>
          <reference field="1" count="1" selected="0">
            <x v="0"/>
          </reference>
          <reference field="3" count="5">
            <x v="12"/>
            <x v="13"/>
            <x v="14"/>
            <x v="15"/>
            <x v="16"/>
          </reference>
          <reference field="4" count="1" selected="0">
            <x v="0"/>
          </reference>
        </references>
      </pivotArea>
    </format>
    <format dxfId="133">
      <pivotArea dataOnly="0" labelOnly="1" fieldPosition="0">
        <references count="4">
          <reference field="0" count="1" selected="0">
            <x v="4"/>
          </reference>
          <reference field="1" count="1" selected="0">
            <x v="0"/>
          </reference>
          <reference field="3" count="4">
            <x v="17"/>
            <x v="18"/>
            <x v="19"/>
            <x v="20"/>
          </reference>
          <reference field="4" count="1" selected="0">
            <x v="0"/>
          </reference>
        </references>
      </pivotArea>
    </format>
    <format dxfId="132">
      <pivotArea dataOnly="0" labelOnly="1" fieldPosition="0">
        <references count="4">
          <reference field="0" count="1" selected="0">
            <x v="5"/>
          </reference>
          <reference field="1" count="1" selected="0">
            <x v="0"/>
          </reference>
          <reference field="3" count="4">
            <x v="21"/>
            <x v="22"/>
            <x v="23"/>
            <x v="24"/>
          </reference>
          <reference field="4" count="1" selected="0">
            <x v="0"/>
          </reference>
        </references>
      </pivotArea>
    </format>
    <format dxfId="131">
      <pivotArea dataOnly="0" labelOnly="1" fieldPosition="0">
        <references count="4">
          <reference field="0" count="1" selected="0">
            <x v="6"/>
          </reference>
          <reference field="1" count="1" selected="0">
            <x v="0"/>
          </reference>
          <reference field="3" count="5">
            <x v="25"/>
            <x v="26"/>
            <x v="27"/>
            <x v="28"/>
            <x v="29"/>
          </reference>
          <reference field="4" count="1" selected="0">
            <x v="0"/>
          </reference>
        </references>
      </pivotArea>
    </format>
    <format dxfId="130">
      <pivotArea dataOnly="0" labelOnly="1" fieldPosition="0">
        <references count="4">
          <reference field="0" count="1" selected="0">
            <x v="7"/>
          </reference>
          <reference field="1" count="1" selected="0">
            <x v="1"/>
          </reference>
          <reference field="3" count="4">
            <x v="30"/>
            <x v="31"/>
            <x v="32"/>
            <x v="33"/>
          </reference>
          <reference field="4" count="1" selected="0">
            <x v="0"/>
          </reference>
        </references>
      </pivotArea>
    </format>
    <format dxfId="129">
      <pivotArea dataOnly="0" labelOnly="1" fieldPosition="0">
        <references count="4">
          <reference field="0" count="1" selected="0">
            <x v="8"/>
          </reference>
          <reference field="1" count="1" selected="0">
            <x v="1"/>
          </reference>
          <reference field="3" count="4">
            <x v="34"/>
            <x v="35"/>
            <x v="36"/>
            <x v="37"/>
          </reference>
          <reference field="4" count="1" selected="0">
            <x v="0"/>
          </reference>
        </references>
      </pivotArea>
    </format>
    <format dxfId="128">
      <pivotArea dataOnly="0" labelOnly="1" fieldPosition="0">
        <references count="4">
          <reference field="0" count="1" selected="0">
            <x v="9"/>
          </reference>
          <reference field="1" count="1" selected="0">
            <x v="1"/>
          </reference>
          <reference field="3" count="5">
            <x v="38"/>
            <x v="39"/>
            <x v="40"/>
            <x v="41"/>
            <x v="42"/>
          </reference>
          <reference field="4" count="1" selected="0">
            <x v="0"/>
          </reference>
        </references>
      </pivotArea>
    </format>
    <format dxfId="127">
      <pivotArea dataOnly="0" labelOnly="1" fieldPosition="0">
        <references count="4">
          <reference field="0" count="1" selected="0">
            <x v="10"/>
          </reference>
          <reference field="1" count="1" selected="0">
            <x v="1"/>
          </reference>
          <reference field="3" count="4">
            <x v="43"/>
            <x v="44"/>
            <x v="45"/>
            <x v="46"/>
          </reference>
          <reference field="4" count="1" selected="0">
            <x v="0"/>
          </reference>
        </references>
      </pivotArea>
    </format>
    <format dxfId="126">
      <pivotArea dataOnly="0" labelOnly="1" fieldPosition="0">
        <references count="4">
          <reference field="0" count="1" selected="0">
            <x v="11"/>
          </reference>
          <reference field="1" count="1" selected="0">
            <x v="1"/>
          </reference>
          <reference field="3" count="2">
            <x v="47"/>
            <x v="48"/>
          </reference>
          <reference field="4" count="1" selected="0">
            <x v="0"/>
          </reference>
        </references>
      </pivotArea>
    </format>
    <format dxfId="125">
      <pivotArea dataOnly="0" labelOnly="1" fieldPosition="0">
        <references count="4">
          <reference field="0" count="1" selected="0">
            <x v="0"/>
          </reference>
          <reference field="1" count="1" selected="0">
            <x v="0"/>
          </reference>
          <reference field="3" count="4">
            <x v="0"/>
            <x v="1"/>
            <x v="2"/>
            <x v="3"/>
          </reference>
          <reference field="4" count="1" selected="0">
            <x v="2"/>
          </reference>
        </references>
      </pivotArea>
    </format>
    <format dxfId="124">
      <pivotArea dataOnly="0" labelOnly="1" fieldPosition="0">
        <references count="4">
          <reference field="0" count="1" selected="0">
            <x v="1"/>
          </reference>
          <reference field="1" count="1" selected="0">
            <x v="0"/>
          </reference>
          <reference field="3" count="5">
            <x v="4"/>
            <x v="5"/>
            <x v="6"/>
            <x v="7"/>
            <x v="49"/>
          </reference>
          <reference field="4" count="1" selected="0">
            <x v="2"/>
          </reference>
        </references>
      </pivotArea>
    </format>
    <format dxfId="123">
      <pivotArea dataOnly="0" labelOnly="1" fieldPosition="0">
        <references count="4">
          <reference field="0" count="1" selected="0">
            <x v="2"/>
          </reference>
          <reference field="1" count="1" selected="0">
            <x v="0"/>
          </reference>
          <reference field="3" count="4">
            <x v="8"/>
            <x v="9"/>
            <x v="10"/>
            <x v="11"/>
          </reference>
          <reference field="4" count="1" selected="0">
            <x v="2"/>
          </reference>
        </references>
      </pivotArea>
    </format>
    <format dxfId="122">
      <pivotArea dataOnly="0" labelOnly="1" fieldPosition="0">
        <references count="4">
          <reference field="0" count="1" selected="0">
            <x v="3"/>
          </reference>
          <reference field="1" count="1" selected="0">
            <x v="0"/>
          </reference>
          <reference field="3" count="5">
            <x v="12"/>
            <x v="13"/>
            <x v="14"/>
            <x v="15"/>
            <x v="16"/>
          </reference>
          <reference field="4" count="1" selected="0">
            <x v="2"/>
          </reference>
        </references>
      </pivotArea>
    </format>
    <format dxfId="121">
      <pivotArea dataOnly="0" labelOnly="1" fieldPosition="0">
        <references count="4">
          <reference field="0" count="1" selected="0">
            <x v="4"/>
          </reference>
          <reference field="1" count="1" selected="0">
            <x v="0"/>
          </reference>
          <reference field="3" count="4">
            <x v="17"/>
            <x v="18"/>
            <x v="19"/>
            <x v="20"/>
          </reference>
          <reference field="4" count="1" selected="0">
            <x v="2"/>
          </reference>
        </references>
      </pivotArea>
    </format>
    <format dxfId="120">
      <pivotArea dataOnly="0" labelOnly="1" fieldPosition="0">
        <references count="4">
          <reference field="0" count="1" selected="0">
            <x v="5"/>
          </reference>
          <reference field="1" count="1" selected="0">
            <x v="0"/>
          </reference>
          <reference field="3" count="4">
            <x v="21"/>
            <x v="22"/>
            <x v="23"/>
            <x v="24"/>
          </reference>
          <reference field="4" count="1" selected="0">
            <x v="2"/>
          </reference>
        </references>
      </pivotArea>
    </format>
    <format dxfId="119">
      <pivotArea dataOnly="0" labelOnly="1" fieldPosition="0">
        <references count="4">
          <reference field="0" count="1" selected="0">
            <x v="6"/>
          </reference>
          <reference field="1" count="1" selected="0">
            <x v="0"/>
          </reference>
          <reference field="3" count="5">
            <x v="25"/>
            <x v="26"/>
            <x v="27"/>
            <x v="28"/>
            <x v="29"/>
          </reference>
          <reference field="4" count="1" selected="0">
            <x v="2"/>
          </reference>
        </references>
      </pivotArea>
    </format>
    <format dxfId="118">
      <pivotArea dataOnly="0" labelOnly="1" fieldPosition="0">
        <references count="4">
          <reference field="0" count="1" selected="0">
            <x v="7"/>
          </reference>
          <reference field="1" count="1" selected="0">
            <x v="1"/>
          </reference>
          <reference field="3" count="4">
            <x v="30"/>
            <x v="31"/>
            <x v="32"/>
            <x v="33"/>
          </reference>
          <reference field="4" count="1" selected="0">
            <x v="2"/>
          </reference>
        </references>
      </pivotArea>
    </format>
    <format dxfId="117">
      <pivotArea dataOnly="0" labelOnly="1" fieldPosition="0">
        <references count="4">
          <reference field="0" count="1" selected="0">
            <x v="8"/>
          </reference>
          <reference field="1" count="1" selected="0">
            <x v="1"/>
          </reference>
          <reference field="3" count="4">
            <x v="34"/>
            <x v="35"/>
            <x v="36"/>
            <x v="37"/>
          </reference>
          <reference field="4" count="1" selected="0">
            <x v="2"/>
          </reference>
        </references>
      </pivotArea>
    </format>
    <format dxfId="116">
      <pivotArea dataOnly="0" labelOnly="1" fieldPosition="0">
        <references count="4">
          <reference field="0" count="1" selected="0">
            <x v="9"/>
          </reference>
          <reference field="1" count="1" selected="0">
            <x v="1"/>
          </reference>
          <reference field="3" count="5">
            <x v="38"/>
            <x v="39"/>
            <x v="40"/>
            <x v="41"/>
            <x v="42"/>
          </reference>
          <reference field="4" count="1" selected="0">
            <x v="2"/>
          </reference>
        </references>
      </pivotArea>
    </format>
    <format dxfId="115">
      <pivotArea dataOnly="0" labelOnly="1" fieldPosition="0">
        <references count="4">
          <reference field="0" count="1" selected="0">
            <x v="10"/>
          </reference>
          <reference field="1" count="1" selected="0">
            <x v="1"/>
          </reference>
          <reference field="3" count="4">
            <x v="43"/>
            <x v="44"/>
            <x v="45"/>
            <x v="46"/>
          </reference>
          <reference field="4" count="1" selected="0">
            <x v="2"/>
          </reference>
        </references>
      </pivotArea>
    </format>
    <format dxfId="114">
      <pivotArea dataOnly="0" labelOnly="1" fieldPosition="0">
        <references count="4">
          <reference field="0" count="1" selected="0">
            <x v="11"/>
          </reference>
          <reference field="1" count="1" selected="0">
            <x v="1"/>
          </reference>
          <reference field="3" count="2">
            <x v="47"/>
            <x v="48"/>
          </reference>
          <reference field="4" count="1" selected="0">
            <x v="2"/>
          </reference>
        </references>
      </pivotArea>
    </format>
    <format dxfId="113">
      <pivotArea dataOnly="0" labelOnly="1" fieldPosition="0">
        <references count="4">
          <reference field="0" count="1" selected="0">
            <x v="0"/>
          </reference>
          <reference field="1" count="1" selected="0">
            <x v="0"/>
          </reference>
          <reference field="3" count="4">
            <x v="0"/>
            <x v="1"/>
            <x v="2"/>
            <x v="3"/>
          </reference>
          <reference field="4" count="1" selected="0">
            <x v="3"/>
          </reference>
        </references>
      </pivotArea>
    </format>
    <format dxfId="112">
      <pivotArea dataOnly="0" labelOnly="1" fieldPosition="0">
        <references count="4">
          <reference field="0" count="1" selected="0">
            <x v="1"/>
          </reference>
          <reference field="1" count="1" selected="0">
            <x v="0"/>
          </reference>
          <reference field="3" count="5">
            <x v="4"/>
            <x v="5"/>
            <x v="6"/>
            <x v="7"/>
            <x v="49"/>
          </reference>
          <reference field="4" count="1" selected="0">
            <x v="3"/>
          </reference>
        </references>
      </pivotArea>
    </format>
    <format dxfId="111">
      <pivotArea dataOnly="0" labelOnly="1" fieldPosition="0">
        <references count="4">
          <reference field="0" count="1" selected="0">
            <x v="2"/>
          </reference>
          <reference field="1" count="1" selected="0">
            <x v="0"/>
          </reference>
          <reference field="3" count="4">
            <x v="8"/>
            <x v="9"/>
            <x v="10"/>
            <x v="11"/>
          </reference>
          <reference field="4" count="1" selected="0">
            <x v="3"/>
          </reference>
        </references>
      </pivotArea>
    </format>
    <format dxfId="110">
      <pivotArea dataOnly="0" labelOnly="1" fieldPosition="0">
        <references count="4">
          <reference field="0" count="1" selected="0">
            <x v="3"/>
          </reference>
          <reference field="1" count="1" selected="0">
            <x v="0"/>
          </reference>
          <reference field="3" count="5">
            <x v="12"/>
            <x v="13"/>
            <x v="14"/>
            <x v="15"/>
            <x v="16"/>
          </reference>
          <reference field="4" count="1" selected="0">
            <x v="3"/>
          </reference>
        </references>
      </pivotArea>
    </format>
    <format dxfId="109">
      <pivotArea dataOnly="0" labelOnly="1" fieldPosition="0">
        <references count="4">
          <reference field="0" count="1" selected="0">
            <x v="4"/>
          </reference>
          <reference field="1" count="1" selected="0">
            <x v="0"/>
          </reference>
          <reference field="3" count="4">
            <x v="17"/>
            <x v="18"/>
            <x v="19"/>
            <x v="20"/>
          </reference>
          <reference field="4" count="1" selected="0">
            <x v="3"/>
          </reference>
        </references>
      </pivotArea>
    </format>
    <format dxfId="108">
      <pivotArea dataOnly="0" labelOnly="1" fieldPosition="0">
        <references count="4">
          <reference field="0" count="1" selected="0">
            <x v="5"/>
          </reference>
          <reference field="1" count="1" selected="0">
            <x v="0"/>
          </reference>
          <reference field="3" count="4">
            <x v="21"/>
            <x v="22"/>
            <x v="23"/>
            <x v="24"/>
          </reference>
          <reference field="4" count="1" selected="0">
            <x v="3"/>
          </reference>
        </references>
      </pivotArea>
    </format>
    <format dxfId="107">
      <pivotArea dataOnly="0" labelOnly="1" fieldPosition="0">
        <references count="4">
          <reference field="0" count="1" selected="0">
            <x v="6"/>
          </reference>
          <reference field="1" count="1" selected="0">
            <x v="0"/>
          </reference>
          <reference field="3" count="5">
            <x v="25"/>
            <x v="26"/>
            <x v="27"/>
            <x v="28"/>
            <x v="29"/>
          </reference>
          <reference field="4" count="1" selected="0">
            <x v="3"/>
          </reference>
        </references>
      </pivotArea>
    </format>
    <format dxfId="106">
      <pivotArea dataOnly="0" labelOnly="1" fieldPosition="0">
        <references count="4">
          <reference field="0" count="1" selected="0">
            <x v="7"/>
          </reference>
          <reference field="1" count="1" selected="0">
            <x v="1"/>
          </reference>
          <reference field="3" count="4">
            <x v="30"/>
            <x v="31"/>
            <x v="32"/>
            <x v="33"/>
          </reference>
          <reference field="4" count="1" selected="0">
            <x v="3"/>
          </reference>
        </references>
      </pivotArea>
    </format>
    <format dxfId="105">
      <pivotArea dataOnly="0" labelOnly="1" fieldPosition="0">
        <references count="4">
          <reference field="0" count="1" selected="0">
            <x v="8"/>
          </reference>
          <reference field="1" count="1" selected="0">
            <x v="1"/>
          </reference>
          <reference field="3" count="4">
            <x v="34"/>
            <x v="35"/>
            <x v="36"/>
            <x v="37"/>
          </reference>
          <reference field="4" count="1" selected="0">
            <x v="3"/>
          </reference>
        </references>
      </pivotArea>
    </format>
    <format dxfId="104">
      <pivotArea dataOnly="0" labelOnly="1" fieldPosition="0">
        <references count="4">
          <reference field="0" count="1" selected="0">
            <x v="9"/>
          </reference>
          <reference field="1" count="1" selected="0">
            <x v="1"/>
          </reference>
          <reference field="3" count="5">
            <x v="38"/>
            <x v="39"/>
            <x v="40"/>
            <x v="41"/>
            <x v="42"/>
          </reference>
          <reference field="4" count="1" selected="0">
            <x v="3"/>
          </reference>
        </references>
      </pivotArea>
    </format>
    <format dxfId="103">
      <pivotArea dataOnly="0" labelOnly="1" fieldPosition="0">
        <references count="4">
          <reference field="0" count="1" selected="0">
            <x v="10"/>
          </reference>
          <reference field="1" count="1" selected="0">
            <x v="1"/>
          </reference>
          <reference field="3" count="4">
            <x v="43"/>
            <x v="44"/>
            <x v="45"/>
            <x v="46"/>
          </reference>
          <reference field="4" count="1" selected="0">
            <x v="3"/>
          </reference>
        </references>
      </pivotArea>
    </format>
    <format dxfId="102">
      <pivotArea dataOnly="0" labelOnly="1" fieldPosition="0">
        <references count="4">
          <reference field="0" count="1" selected="0">
            <x v="11"/>
          </reference>
          <reference field="1" count="1" selected="0">
            <x v="1"/>
          </reference>
          <reference field="3" count="2">
            <x v="47"/>
            <x v="48"/>
          </reference>
          <reference field="4" count="1" selected="0">
            <x v="3"/>
          </reference>
        </references>
      </pivotArea>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4" type="button" dataOnly="0" labelOnly="1" outline="0" axis="axisRow" fieldPosition="0"/>
    </format>
    <format dxfId="97">
      <pivotArea dataOnly="0" labelOnly="1" fieldPosition="0">
        <references count="1">
          <reference field="4" count="0"/>
        </references>
      </pivotArea>
    </format>
    <format dxfId="96">
      <pivotArea dataOnly="0" labelOnly="1" grandRow="1" outline="0" fieldPosition="0"/>
    </format>
    <format dxfId="95">
      <pivotArea dataOnly="0" labelOnly="1" fieldPosition="0">
        <references count="2">
          <reference field="1" count="0"/>
          <reference field="4" count="1" selected="0">
            <x v="1"/>
          </reference>
        </references>
      </pivotArea>
    </format>
    <format dxfId="94">
      <pivotArea dataOnly="0" labelOnly="1" fieldPosition="0">
        <references count="2">
          <reference field="1" count="0"/>
          <reference field="4" count="1" selected="0">
            <x v="0"/>
          </reference>
        </references>
      </pivotArea>
    </format>
    <format dxfId="93">
      <pivotArea dataOnly="0" labelOnly="1" fieldPosition="0">
        <references count="2">
          <reference field="1" count="0"/>
          <reference field="4" count="1" selected="0">
            <x v="2"/>
          </reference>
        </references>
      </pivotArea>
    </format>
    <format dxfId="92">
      <pivotArea dataOnly="0" labelOnly="1" fieldPosition="0">
        <references count="2">
          <reference field="1" count="0"/>
          <reference field="4" count="1" selected="0">
            <x v="3"/>
          </reference>
        </references>
      </pivotArea>
    </format>
    <format dxfId="91">
      <pivotArea dataOnly="0" labelOnly="1" fieldPosition="0">
        <references count="3">
          <reference field="0" count="7">
            <x v="0"/>
            <x v="1"/>
            <x v="2"/>
            <x v="3"/>
            <x v="4"/>
            <x v="5"/>
            <x v="6"/>
          </reference>
          <reference field="1" count="1" selected="0">
            <x v="0"/>
          </reference>
          <reference field="4" count="1" selected="0">
            <x v="1"/>
          </reference>
        </references>
      </pivotArea>
    </format>
    <format dxfId="90">
      <pivotArea dataOnly="0" labelOnly="1" fieldPosition="0">
        <references count="3">
          <reference field="0" count="5">
            <x v="7"/>
            <x v="8"/>
            <x v="9"/>
            <x v="10"/>
            <x v="11"/>
          </reference>
          <reference field="1" count="1" selected="0">
            <x v="1"/>
          </reference>
          <reference field="4" count="1" selected="0">
            <x v="1"/>
          </reference>
        </references>
      </pivotArea>
    </format>
    <format dxfId="89">
      <pivotArea dataOnly="0" labelOnly="1" fieldPosition="0">
        <references count="3">
          <reference field="0" count="7">
            <x v="0"/>
            <x v="1"/>
            <x v="2"/>
            <x v="3"/>
            <x v="4"/>
            <x v="5"/>
            <x v="6"/>
          </reference>
          <reference field="1" count="1" selected="0">
            <x v="0"/>
          </reference>
          <reference field="4" count="1" selected="0">
            <x v="0"/>
          </reference>
        </references>
      </pivotArea>
    </format>
    <format dxfId="88">
      <pivotArea dataOnly="0" labelOnly="1" fieldPosition="0">
        <references count="3">
          <reference field="0" count="5">
            <x v="7"/>
            <x v="8"/>
            <x v="9"/>
            <x v="10"/>
            <x v="11"/>
          </reference>
          <reference field="1" count="1" selected="0">
            <x v="1"/>
          </reference>
          <reference field="4" count="1" selected="0">
            <x v="0"/>
          </reference>
        </references>
      </pivotArea>
    </format>
    <format dxfId="87">
      <pivotArea dataOnly="0" labelOnly="1" fieldPosition="0">
        <references count="3">
          <reference field="0" count="7">
            <x v="0"/>
            <x v="1"/>
            <x v="2"/>
            <x v="3"/>
            <x v="4"/>
            <x v="5"/>
            <x v="6"/>
          </reference>
          <reference field="1" count="1" selected="0">
            <x v="0"/>
          </reference>
          <reference field="4" count="1" selected="0">
            <x v="2"/>
          </reference>
        </references>
      </pivotArea>
    </format>
    <format dxfId="86">
      <pivotArea dataOnly="0" labelOnly="1" fieldPosition="0">
        <references count="3">
          <reference field="0" count="5">
            <x v="7"/>
            <x v="8"/>
            <x v="9"/>
            <x v="10"/>
            <x v="11"/>
          </reference>
          <reference field="1" count="1" selected="0">
            <x v="1"/>
          </reference>
          <reference field="4" count="1" selected="0">
            <x v="2"/>
          </reference>
        </references>
      </pivotArea>
    </format>
    <format dxfId="85">
      <pivotArea dataOnly="0" labelOnly="1" fieldPosition="0">
        <references count="3">
          <reference field="0" count="7">
            <x v="0"/>
            <x v="1"/>
            <x v="2"/>
            <x v="3"/>
            <x v="4"/>
            <x v="5"/>
            <x v="6"/>
          </reference>
          <reference field="1" count="1" selected="0">
            <x v="0"/>
          </reference>
          <reference field="4" count="1" selected="0">
            <x v="3"/>
          </reference>
        </references>
      </pivotArea>
    </format>
    <format dxfId="84">
      <pivotArea dataOnly="0" labelOnly="1" fieldPosition="0">
        <references count="3">
          <reference field="0" count="5">
            <x v="7"/>
            <x v="8"/>
            <x v="9"/>
            <x v="10"/>
            <x v="11"/>
          </reference>
          <reference field="1" count="1" selected="0">
            <x v="1"/>
          </reference>
          <reference field="4" count="1" selected="0">
            <x v="3"/>
          </reference>
        </references>
      </pivotArea>
    </format>
    <format dxfId="83">
      <pivotArea dataOnly="0" labelOnly="1" fieldPosition="0">
        <references count="4">
          <reference field="0" count="1" selected="0">
            <x v="0"/>
          </reference>
          <reference field="1" count="1" selected="0">
            <x v="0"/>
          </reference>
          <reference field="3" count="4">
            <x v="0"/>
            <x v="1"/>
            <x v="2"/>
            <x v="3"/>
          </reference>
          <reference field="4" count="1" selected="0">
            <x v="1"/>
          </reference>
        </references>
      </pivotArea>
    </format>
    <format dxfId="82">
      <pivotArea dataOnly="0" labelOnly="1" fieldPosition="0">
        <references count="4">
          <reference field="0" count="1" selected="0">
            <x v="1"/>
          </reference>
          <reference field="1" count="1" selected="0">
            <x v="0"/>
          </reference>
          <reference field="3" count="5">
            <x v="4"/>
            <x v="5"/>
            <x v="6"/>
            <x v="7"/>
            <x v="49"/>
          </reference>
          <reference field="4" count="1" selected="0">
            <x v="1"/>
          </reference>
        </references>
      </pivotArea>
    </format>
    <format dxfId="81">
      <pivotArea dataOnly="0" labelOnly="1" fieldPosition="0">
        <references count="4">
          <reference field="0" count="1" selected="0">
            <x v="2"/>
          </reference>
          <reference field="1" count="1" selected="0">
            <x v="0"/>
          </reference>
          <reference field="3" count="4">
            <x v="8"/>
            <x v="9"/>
            <x v="10"/>
            <x v="11"/>
          </reference>
          <reference field="4" count="1" selected="0">
            <x v="1"/>
          </reference>
        </references>
      </pivotArea>
    </format>
    <format dxfId="80">
      <pivotArea dataOnly="0" labelOnly="1" fieldPosition="0">
        <references count="4">
          <reference field="0" count="1" selected="0">
            <x v="3"/>
          </reference>
          <reference field="1" count="1" selected="0">
            <x v="0"/>
          </reference>
          <reference field="3" count="5">
            <x v="12"/>
            <x v="13"/>
            <x v="14"/>
            <x v="15"/>
            <x v="16"/>
          </reference>
          <reference field="4" count="1" selected="0">
            <x v="1"/>
          </reference>
        </references>
      </pivotArea>
    </format>
    <format dxfId="79">
      <pivotArea dataOnly="0" labelOnly="1" fieldPosition="0">
        <references count="4">
          <reference field="0" count="1" selected="0">
            <x v="4"/>
          </reference>
          <reference field="1" count="1" selected="0">
            <x v="0"/>
          </reference>
          <reference field="3" count="4">
            <x v="17"/>
            <x v="18"/>
            <x v="19"/>
            <x v="20"/>
          </reference>
          <reference field="4" count="1" selected="0">
            <x v="1"/>
          </reference>
        </references>
      </pivotArea>
    </format>
    <format dxfId="78">
      <pivotArea dataOnly="0" labelOnly="1" fieldPosition="0">
        <references count="4">
          <reference field="0" count="1" selected="0">
            <x v="5"/>
          </reference>
          <reference field="1" count="1" selected="0">
            <x v="0"/>
          </reference>
          <reference field="3" count="4">
            <x v="21"/>
            <x v="22"/>
            <x v="23"/>
            <x v="24"/>
          </reference>
          <reference field="4" count="1" selected="0">
            <x v="1"/>
          </reference>
        </references>
      </pivotArea>
    </format>
    <format dxfId="77">
      <pivotArea dataOnly="0" labelOnly="1" fieldPosition="0">
        <references count="4">
          <reference field="0" count="1" selected="0">
            <x v="6"/>
          </reference>
          <reference field="1" count="1" selected="0">
            <x v="0"/>
          </reference>
          <reference field="3" count="5">
            <x v="25"/>
            <x v="26"/>
            <x v="27"/>
            <x v="28"/>
            <x v="29"/>
          </reference>
          <reference field="4" count="1" selected="0">
            <x v="1"/>
          </reference>
        </references>
      </pivotArea>
    </format>
    <format dxfId="76">
      <pivotArea dataOnly="0" labelOnly="1" fieldPosition="0">
        <references count="4">
          <reference field="0" count="1" selected="0">
            <x v="7"/>
          </reference>
          <reference field="1" count="1" selected="0">
            <x v="1"/>
          </reference>
          <reference field="3" count="4">
            <x v="30"/>
            <x v="31"/>
            <x v="32"/>
            <x v="33"/>
          </reference>
          <reference field="4" count="1" selected="0">
            <x v="1"/>
          </reference>
        </references>
      </pivotArea>
    </format>
    <format dxfId="75">
      <pivotArea dataOnly="0" labelOnly="1" fieldPosition="0">
        <references count="4">
          <reference field="0" count="1" selected="0">
            <x v="8"/>
          </reference>
          <reference field="1" count="1" selected="0">
            <x v="1"/>
          </reference>
          <reference field="3" count="4">
            <x v="34"/>
            <x v="35"/>
            <x v="36"/>
            <x v="37"/>
          </reference>
          <reference field="4" count="1" selected="0">
            <x v="1"/>
          </reference>
        </references>
      </pivotArea>
    </format>
    <format dxfId="74">
      <pivotArea dataOnly="0" labelOnly="1" fieldPosition="0">
        <references count="4">
          <reference field="0" count="1" selected="0">
            <x v="9"/>
          </reference>
          <reference field="1" count="1" selected="0">
            <x v="1"/>
          </reference>
          <reference field="3" count="5">
            <x v="38"/>
            <x v="39"/>
            <x v="40"/>
            <x v="41"/>
            <x v="42"/>
          </reference>
          <reference field="4" count="1" selected="0">
            <x v="1"/>
          </reference>
        </references>
      </pivotArea>
    </format>
    <format dxfId="73">
      <pivotArea dataOnly="0" labelOnly="1" fieldPosition="0">
        <references count="4">
          <reference field="0" count="1" selected="0">
            <x v="10"/>
          </reference>
          <reference field="1" count="1" selected="0">
            <x v="1"/>
          </reference>
          <reference field="3" count="4">
            <x v="43"/>
            <x v="44"/>
            <x v="45"/>
            <x v="46"/>
          </reference>
          <reference field="4" count="1" selected="0">
            <x v="1"/>
          </reference>
        </references>
      </pivotArea>
    </format>
    <format dxfId="72">
      <pivotArea dataOnly="0" labelOnly="1" fieldPosition="0">
        <references count="4">
          <reference field="0" count="1" selected="0">
            <x v="11"/>
          </reference>
          <reference field="1" count="1" selected="0">
            <x v="1"/>
          </reference>
          <reference field="3" count="2">
            <x v="47"/>
            <x v="48"/>
          </reference>
          <reference field="4" count="1" selected="0">
            <x v="1"/>
          </reference>
        </references>
      </pivotArea>
    </format>
    <format dxfId="71">
      <pivotArea dataOnly="0" labelOnly="1" fieldPosition="0">
        <references count="4">
          <reference field="0" count="1" selected="0">
            <x v="0"/>
          </reference>
          <reference field="1" count="1" selected="0">
            <x v="0"/>
          </reference>
          <reference field="3" count="4">
            <x v="0"/>
            <x v="1"/>
            <x v="2"/>
            <x v="3"/>
          </reference>
          <reference field="4" count="1" selected="0">
            <x v="0"/>
          </reference>
        </references>
      </pivotArea>
    </format>
    <format dxfId="70">
      <pivotArea dataOnly="0" labelOnly="1" fieldPosition="0">
        <references count="4">
          <reference field="0" count="1" selected="0">
            <x v="1"/>
          </reference>
          <reference field="1" count="1" selected="0">
            <x v="0"/>
          </reference>
          <reference field="3" count="4">
            <x v="4"/>
            <x v="5"/>
            <x v="6"/>
            <x v="7"/>
          </reference>
          <reference field="4" count="1" selected="0">
            <x v="0"/>
          </reference>
        </references>
      </pivotArea>
    </format>
    <format dxfId="69">
      <pivotArea dataOnly="0" labelOnly="1" fieldPosition="0">
        <references count="4">
          <reference field="0" count="1" selected="0">
            <x v="2"/>
          </reference>
          <reference field="1" count="1" selected="0">
            <x v="0"/>
          </reference>
          <reference field="3" count="4">
            <x v="8"/>
            <x v="9"/>
            <x v="10"/>
            <x v="11"/>
          </reference>
          <reference field="4" count="1" selected="0">
            <x v="0"/>
          </reference>
        </references>
      </pivotArea>
    </format>
    <format dxfId="68">
      <pivotArea dataOnly="0" labelOnly="1" fieldPosition="0">
        <references count="4">
          <reference field="0" count="1" selected="0">
            <x v="3"/>
          </reference>
          <reference field="1" count="1" selected="0">
            <x v="0"/>
          </reference>
          <reference field="3" count="5">
            <x v="12"/>
            <x v="13"/>
            <x v="14"/>
            <x v="15"/>
            <x v="16"/>
          </reference>
          <reference field="4" count="1" selected="0">
            <x v="0"/>
          </reference>
        </references>
      </pivotArea>
    </format>
    <format dxfId="67">
      <pivotArea dataOnly="0" labelOnly="1" fieldPosition="0">
        <references count="4">
          <reference field="0" count="1" selected="0">
            <x v="4"/>
          </reference>
          <reference field="1" count="1" selected="0">
            <x v="0"/>
          </reference>
          <reference field="3" count="4">
            <x v="17"/>
            <x v="18"/>
            <x v="19"/>
            <x v="20"/>
          </reference>
          <reference field="4" count="1" selected="0">
            <x v="0"/>
          </reference>
        </references>
      </pivotArea>
    </format>
    <format dxfId="66">
      <pivotArea dataOnly="0" labelOnly="1" fieldPosition="0">
        <references count="4">
          <reference field="0" count="1" selected="0">
            <x v="5"/>
          </reference>
          <reference field="1" count="1" selected="0">
            <x v="0"/>
          </reference>
          <reference field="3" count="4">
            <x v="21"/>
            <x v="22"/>
            <x v="23"/>
            <x v="24"/>
          </reference>
          <reference field="4" count="1" selected="0">
            <x v="0"/>
          </reference>
        </references>
      </pivotArea>
    </format>
    <format dxfId="65">
      <pivotArea dataOnly="0" labelOnly="1" fieldPosition="0">
        <references count="4">
          <reference field="0" count="1" selected="0">
            <x v="6"/>
          </reference>
          <reference field="1" count="1" selected="0">
            <x v="0"/>
          </reference>
          <reference field="3" count="5">
            <x v="25"/>
            <x v="26"/>
            <x v="27"/>
            <x v="28"/>
            <x v="29"/>
          </reference>
          <reference field="4" count="1" selected="0">
            <x v="0"/>
          </reference>
        </references>
      </pivotArea>
    </format>
    <format dxfId="64">
      <pivotArea dataOnly="0" labelOnly="1" fieldPosition="0">
        <references count="4">
          <reference field="0" count="1" selected="0">
            <x v="7"/>
          </reference>
          <reference field="1" count="1" selected="0">
            <x v="1"/>
          </reference>
          <reference field="3" count="4">
            <x v="30"/>
            <x v="31"/>
            <x v="32"/>
            <x v="33"/>
          </reference>
          <reference field="4" count="1" selected="0">
            <x v="0"/>
          </reference>
        </references>
      </pivotArea>
    </format>
    <format dxfId="63">
      <pivotArea dataOnly="0" labelOnly="1" fieldPosition="0">
        <references count="4">
          <reference field="0" count="1" selected="0">
            <x v="8"/>
          </reference>
          <reference field="1" count="1" selected="0">
            <x v="1"/>
          </reference>
          <reference field="3" count="4">
            <x v="34"/>
            <x v="35"/>
            <x v="36"/>
            <x v="37"/>
          </reference>
          <reference field="4" count="1" selected="0">
            <x v="0"/>
          </reference>
        </references>
      </pivotArea>
    </format>
    <format dxfId="62">
      <pivotArea dataOnly="0" labelOnly="1" fieldPosition="0">
        <references count="4">
          <reference field="0" count="1" selected="0">
            <x v="9"/>
          </reference>
          <reference field="1" count="1" selected="0">
            <x v="1"/>
          </reference>
          <reference field="3" count="5">
            <x v="38"/>
            <x v="39"/>
            <x v="40"/>
            <x v="41"/>
            <x v="42"/>
          </reference>
          <reference field="4" count="1" selected="0">
            <x v="0"/>
          </reference>
        </references>
      </pivotArea>
    </format>
    <format dxfId="61">
      <pivotArea dataOnly="0" labelOnly="1" fieldPosition="0">
        <references count="4">
          <reference field="0" count="1" selected="0">
            <x v="10"/>
          </reference>
          <reference field="1" count="1" selected="0">
            <x v="1"/>
          </reference>
          <reference field="3" count="4">
            <x v="43"/>
            <x v="44"/>
            <x v="45"/>
            <x v="46"/>
          </reference>
          <reference field="4" count="1" selected="0">
            <x v="0"/>
          </reference>
        </references>
      </pivotArea>
    </format>
    <format dxfId="60">
      <pivotArea dataOnly="0" labelOnly="1" fieldPosition="0">
        <references count="4">
          <reference field="0" count="1" selected="0">
            <x v="11"/>
          </reference>
          <reference field="1" count="1" selected="0">
            <x v="1"/>
          </reference>
          <reference field="3" count="2">
            <x v="47"/>
            <x v="48"/>
          </reference>
          <reference field="4" count="1" selected="0">
            <x v="0"/>
          </reference>
        </references>
      </pivotArea>
    </format>
    <format dxfId="59">
      <pivotArea dataOnly="0" labelOnly="1" fieldPosition="0">
        <references count="4">
          <reference field="0" count="1" selected="0">
            <x v="0"/>
          </reference>
          <reference field="1" count="1" selected="0">
            <x v="0"/>
          </reference>
          <reference field="3" count="4">
            <x v="0"/>
            <x v="1"/>
            <x v="2"/>
            <x v="3"/>
          </reference>
          <reference field="4" count="1" selected="0">
            <x v="2"/>
          </reference>
        </references>
      </pivotArea>
    </format>
    <format dxfId="58">
      <pivotArea dataOnly="0" labelOnly="1" fieldPosition="0">
        <references count="4">
          <reference field="0" count="1" selected="0">
            <x v="1"/>
          </reference>
          <reference field="1" count="1" selected="0">
            <x v="0"/>
          </reference>
          <reference field="3" count="5">
            <x v="4"/>
            <x v="5"/>
            <x v="6"/>
            <x v="7"/>
            <x v="49"/>
          </reference>
          <reference field="4" count="1" selected="0">
            <x v="2"/>
          </reference>
        </references>
      </pivotArea>
    </format>
    <format dxfId="57">
      <pivotArea dataOnly="0" labelOnly="1" fieldPosition="0">
        <references count="4">
          <reference field="0" count="1" selected="0">
            <x v="2"/>
          </reference>
          <reference field="1" count="1" selected="0">
            <x v="0"/>
          </reference>
          <reference field="3" count="4">
            <x v="8"/>
            <x v="9"/>
            <x v="10"/>
            <x v="11"/>
          </reference>
          <reference field="4" count="1" selected="0">
            <x v="2"/>
          </reference>
        </references>
      </pivotArea>
    </format>
    <format dxfId="56">
      <pivotArea dataOnly="0" labelOnly="1" fieldPosition="0">
        <references count="4">
          <reference field="0" count="1" selected="0">
            <x v="3"/>
          </reference>
          <reference field="1" count="1" selected="0">
            <x v="0"/>
          </reference>
          <reference field="3" count="5">
            <x v="12"/>
            <x v="13"/>
            <x v="14"/>
            <x v="15"/>
            <x v="16"/>
          </reference>
          <reference field="4" count="1" selected="0">
            <x v="2"/>
          </reference>
        </references>
      </pivotArea>
    </format>
    <format dxfId="55">
      <pivotArea dataOnly="0" labelOnly="1" fieldPosition="0">
        <references count="4">
          <reference field="0" count="1" selected="0">
            <x v="4"/>
          </reference>
          <reference field="1" count="1" selected="0">
            <x v="0"/>
          </reference>
          <reference field="3" count="4">
            <x v="17"/>
            <x v="18"/>
            <x v="19"/>
            <x v="20"/>
          </reference>
          <reference field="4" count="1" selected="0">
            <x v="2"/>
          </reference>
        </references>
      </pivotArea>
    </format>
    <format dxfId="54">
      <pivotArea dataOnly="0" labelOnly="1" fieldPosition="0">
        <references count="4">
          <reference field="0" count="1" selected="0">
            <x v="5"/>
          </reference>
          <reference field="1" count="1" selected="0">
            <x v="0"/>
          </reference>
          <reference field="3" count="4">
            <x v="21"/>
            <x v="22"/>
            <x v="23"/>
            <x v="24"/>
          </reference>
          <reference field="4" count="1" selected="0">
            <x v="2"/>
          </reference>
        </references>
      </pivotArea>
    </format>
    <format dxfId="53">
      <pivotArea dataOnly="0" labelOnly="1" fieldPosition="0">
        <references count="4">
          <reference field="0" count="1" selected="0">
            <x v="6"/>
          </reference>
          <reference field="1" count="1" selected="0">
            <x v="0"/>
          </reference>
          <reference field="3" count="5">
            <x v="25"/>
            <x v="26"/>
            <x v="27"/>
            <x v="28"/>
            <x v="29"/>
          </reference>
          <reference field="4" count="1" selected="0">
            <x v="2"/>
          </reference>
        </references>
      </pivotArea>
    </format>
    <format dxfId="52">
      <pivotArea dataOnly="0" labelOnly="1" fieldPosition="0">
        <references count="4">
          <reference field="0" count="1" selected="0">
            <x v="7"/>
          </reference>
          <reference field="1" count="1" selected="0">
            <x v="1"/>
          </reference>
          <reference field="3" count="4">
            <x v="30"/>
            <x v="31"/>
            <x v="32"/>
            <x v="33"/>
          </reference>
          <reference field="4" count="1" selected="0">
            <x v="2"/>
          </reference>
        </references>
      </pivotArea>
    </format>
    <format dxfId="51">
      <pivotArea dataOnly="0" labelOnly="1" fieldPosition="0">
        <references count="4">
          <reference field="0" count="1" selected="0">
            <x v="8"/>
          </reference>
          <reference field="1" count="1" selected="0">
            <x v="1"/>
          </reference>
          <reference field="3" count="4">
            <x v="34"/>
            <x v="35"/>
            <x v="36"/>
            <x v="37"/>
          </reference>
          <reference field="4" count="1" selected="0">
            <x v="2"/>
          </reference>
        </references>
      </pivotArea>
    </format>
    <format dxfId="50">
      <pivotArea dataOnly="0" labelOnly="1" fieldPosition="0">
        <references count="4">
          <reference field="0" count="1" selected="0">
            <x v="9"/>
          </reference>
          <reference field="1" count="1" selected="0">
            <x v="1"/>
          </reference>
          <reference field="3" count="5">
            <x v="38"/>
            <x v="39"/>
            <x v="40"/>
            <x v="41"/>
            <x v="42"/>
          </reference>
          <reference field="4" count="1" selected="0">
            <x v="2"/>
          </reference>
        </references>
      </pivotArea>
    </format>
    <format dxfId="49">
      <pivotArea dataOnly="0" labelOnly="1" fieldPosition="0">
        <references count="4">
          <reference field="0" count="1" selected="0">
            <x v="10"/>
          </reference>
          <reference field="1" count="1" selected="0">
            <x v="1"/>
          </reference>
          <reference field="3" count="4">
            <x v="43"/>
            <x v="44"/>
            <x v="45"/>
            <x v="46"/>
          </reference>
          <reference field="4" count="1" selected="0">
            <x v="2"/>
          </reference>
        </references>
      </pivotArea>
    </format>
    <format dxfId="48">
      <pivotArea dataOnly="0" labelOnly="1" fieldPosition="0">
        <references count="4">
          <reference field="0" count="1" selected="0">
            <x v="11"/>
          </reference>
          <reference field="1" count="1" selected="0">
            <x v="1"/>
          </reference>
          <reference field="3" count="2">
            <x v="47"/>
            <x v="48"/>
          </reference>
          <reference field="4" count="1" selected="0">
            <x v="2"/>
          </reference>
        </references>
      </pivotArea>
    </format>
    <format dxfId="47">
      <pivotArea dataOnly="0" labelOnly="1" fieldPosition="0">
        <references count="4">
          <reference field="0" count="1" selected="0">
            <x v="0"/>
          </reference>
          <reference field="1" count="1" selected="0">
            <x v="0"/>
          </reference>
          <reference field="3" count="4">
            <x v="0"/>
            <x v="1"/>
            <x v="2"/>
            <x v="3"/>
          </reference>
          <reference field="4" count="1" selected="0">
            <x v="3"/>
          </reference>
        </references>
      </pivotArea>
    </format>
    <format dxfId="46">
      <pivotArea dataOnly="0" labelOnly="1" fieldPosition="0">
        <references count="4">
          <reference field="0" count="1" selected="0">
            <x v="1"/>
          </reference>
          <reference field="1" count="1" selected="0">
            <x v="0"/>
          </reference>
          <reference field="3" count="5">
            <x v="4"/>
            <x v="5"/>
            <x v="6"/>
            <x v="7"/>
            <x v="49"/>
          </reference>
          <reference field="4" count="1" selected="0">
            <x v="3"/>
          </reference>
        </references>
      </pivotArea>
    </format>
    <format dxfId="45">
      <pivotArea dataOnly="0" labelOnly="1" fieldPosition="0">
        <references count="4">
          <reference field="0" count="1" selected="0">
            <x v="2"/>
          </reference>
          <reference field="1" count="1" selected="0">
            <x v="0"/>
          </reference>
          <reference field="3" count="4">
            <x v="8"/>
            <x v="9"/>
            <x v="10"/>
            <x v="11"/>
          </reference>
          <reference field="4" count="1" selected="0">
            <x v="3"/>
          </reference>
        </references>
      </pivotArea>
    </format>
    <format dxfId="44">
      <pivotArea dataOnly="0" labelOnly="1" fieldPosition="0">
        <references count="4">
          <reference field="0" count="1" selected="0">
            <x v="3"/>
          </reference>
          <reference field="1" count="1" selected="0">
            <x v="0"/>
          </reference>
          <reference field="3" count="5">
            <x v="12"/>
            <x v="13"/>
            <x v="14"/>
            <x v="15"/>
            <x v="16"/>
          </reference>
          <reference field="4" count="1" selected="0">
            <x v="3"/>
          </reference>
        </references>
      </pivotArea>
    </format>
    <format dxfId="43">
      <pivotArea dataOnly="0" labelOnly="1" fieldPosition="0">
        <references count="4">
          <reference field="0" count="1" selected="0">
            <x v="4"/>
          </reference>
          <reference field="1" count="1" selected="0">
            <x v="0"/>
          </reference>
          <reference field="3" count="4">
            <x v="17"/>
            <x v="18"/>
            <x v="19"/>
            <x v="20"/>
          </reference>
          <reference field="4" count="1" selected="0">
            <x v="3"/>
          </reference>
        </references>
      </pivotArea>
    </format>
    <format dxfId="42">
      <pivotArea dataOnly="0" labelOnly="1" fieldPosition="0">
        <references count="4">
          <reference field="0" count="1" selected="0">
            <x v="5"/>
          </reference>
          <reference field="1" count="1" selected="0">
            <x v="0"/>
          </reference>
          <reference field="3" count="4">
            <x v="21"/>
            <x v="22"/>
            <x v="23"/>
            <x v="24"/>
          </reference>
          <reference field="4" count="1" selected="0">
            <x v="3"/>
          </reference>
        </references>
      </pivotArea>
    </format>
    <format dxfId="41">
      <pivotArea dataOnly="0" labelOnly="1" fieldPosition="0">
        <references count="4">
          <reference field="0" count="1" selected="0">
            <x v="6"/>
          </reference>
          <reference field="1" count="1" selected="0">
            <x v="0"/>
          </reference>
          <reference field="3" count="5">
            <x v="25"/>
            <x v="26"/>
            <x v="27"/>
            <x v="28"/>
            <x v="29"/>
          </reference>
          <reference field="4" count="1" selected="0">
            <x v="3"/>
          </reference>
        </references>
      </pivotArea>
    </format>
    <format dxfId="40">
      <pivotArea dataOnly="0" labelOnly="1" fieldPosition="0">
        <references count="4">
          <reference field="0" count="1" selected="0">
            <x v="7"/>
          </reference>
          <reference field="1" count="1" selected="0">
            <x v="1"/>
          </reference>
          <reference field="3" count="4">
            <x v="30"/>
            <x v="31"/>
            <x v="32"/>
            <x v="33"/>
          </reference>
          <reference field="4" count="1" selected="0">
            <x v="3"/>
          </reference>
        </references>
      </pivotArea>
    </format>
    <format dxfId="39">
      <pivotArea dataOnly="0" labelOnly="1" fieldPosition="0">
        <references count="4">
          <reference field="0" count="1" selected="0">
            <x v="8"/>
          </reference>
          <reference field="1" count="1" selected="0">
            <x v="1"/>
          </reference>
          <reference field="3" count="4">
            <x v="34"/>
            <x v="35"/>
            <x v="36"/>
            <x v="37"/>
          </reference>
          <reference field="4" count="1" selected="0">
            <x v="3"/>
          </reference>
        </references>
      </pivotArea>
    </format>
    <format dxfId="38">
      <pivotArea dataOnly="0" labelOnly="1" fieldPosition="0">
        <references count="4">
          <reference field="0" count="1" selected="0">
            <x v="9"/>
          </reference>
          <reference field="1" count="1" selected="0">
            <x v="1"/>
          </reference>
          <reference field="3" count="5">
            <x v="38"/>
            <x v="39"/>
            <x v="40"/>
            <x v="41"/>
            <x v="42"/>
          </reference>
          <reference field="4" count="1" selected="0">
            <x v="3"/>
          </reference>
        </references>
      </pivotArea>
    </format>
    <format dxfId="37">
      <pivotArea dataOnly="0" labelOnly="1" fieldPosition="0">
        <references count="4">
          <reference field="0" count="1" selected="0">
            <x v="10"/>
          </reference>
          <reference field="1" count="1" selected="0">
            <x v="1"/>
          </reference>
          <reference field="3" count="4">
            <x v="43"/>
            <x v="44"/>
            <x v="45"/>
            <x v="46"/>
          </reference>
          <reference field="4" count="1" selected="0">
            <x v="3"/>
          </reference>
        </references>
      </pivotArea>
    </format>
    <format dxfId="36">
      <pivotArea dataOnly="0" labelOnly="1" fieldPosition="0">
        <references count="4">
          <reference field="0" count="1" selected="0">
            <x v="11"/>
          </reference>
          <reference field="1" count="1" selected="0">
            <x v="1"/>
          </reference>
          <reference field="3" count="2">
            <x v="47"/>
            <x v="48"/>
          </reference>
          <reference field="4" count="1" selected="0">
            <x v="3"/>
          </reference>
        </references>
      </pivotArea>
    </format>
    <format dxfId="35">
      <pivotArea dataOnly="0" labelOnly="1" outline="0" axis="axisValues" fieldPosition="0"/>
    </format>
  </formats>
  <chartFormats count="3">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4">
    <rowHierarchyUsage hierarchyUsage="9"/>
    <rowHierarchyUsage hierarchyUsage="16"/>
    <rowHierarchyUsage hierarchyUsage="18"/>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gagement Summary (2)!$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85F5DF-B4BA-4DE1-A77E-8FC7303B1185}" name="PivotTable4"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C54" firstHeaderRow="0" firstDataRow="1" firstDataCol="1"/>
  <pivotFields count="3">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1">
    <i>
      <x v="30"/>
    </i>
    <i>
      <x v="36"/>
    </i>
    <i>
      <x v="28"/>
    </i>
    <i>
      <x v="38"/>
    </i>
    <i>
      <x v="26"/>
    </i>
    <i>
      <x v="27"/>
    </i>
    <i>
      <x v="48"/>
    </i>
    <i>
      <x v="22"/>
    </i>
    <i>
      <x v="14"/>
    </i>
    <i>
      <x v="43"/>
    </i>
    <i>
      <x v="41"/>
    </i>
    <i>
      <x v="46"/>
    </i>
    <i>
      <x v="25"/>
    </i>
    <i>
      <x v="29"/>
    </i>
    <i>
      <x v="2"/>
    </i>
    <i>
      <x v="18"/>
    </i>
    <i>
      <x v="10"/>
    </i>
    <i>
      <x v="40"/>
    </i>
    <i>
      <x v="37"/>
    </i>
    <i>
      <x v="33"/>
    </i>
    <i>
      <x v="47"/>
    </i>
    <i>
      <x v="31"/>
    </i>
    <i>
      <x/>
    </i>
    <i>
      <x v="34"/>
    </i>
    <i>
      <x v="16"/>
    </i>
    <i>
      <x v="17"/>
    </i>
    <i>
      <x v="5"/>
    </i>
    <i>
      <x v="3"/>
    </i>
    <i>
      <x v="11"/>
    </i>
    <i>
      <x v="1"/>
    </i>
    <i>
      <x v="12"/>
    </i>
    <i>
      <x v="13"/>
    </i>
    <i>
      <x v="20"/>
    </i>
    <i>
      <x v="32"/>
    </i>
    <i>
      <x v="7"/>
    </i>
    <i>
      <x v="21"/>
    </i>
    <i>
      <x v="44"/>
    </i>
    <i>
      <x v="39"/>
    </i>
    <i>
      <x v="23"/>
    </i>
    <i>
      <x v="6"/>
    </i>
    <i>
      <x v="35"/>
    </i>
    <i>
      <x v="8"/>
    </i>
    <i>
      <x v="49"/>
    </i>
    <i>
      <x v="19"/>
    </i>
    <i>
      <x v="42"/>
    </i>
    <i>
      <x v="15"/>
    </i>
    <i>
      <x v="4"/>
    </i>
    <i>
      <x v="9"/>
    </i>
    <i>
      <x v="24"/>
    </i>
    <i>
      <x v="45"/>
    </i>
    <i t="grand">
      <x/>
    </i>
  </rowItems>
  <colFields count="1">
    <field x="-2"/>
  </colFields>
  <colItems count="2">
    <i>
      <x/>
    </i>
    <i i="1">
      <x v="1"/>
    </i>
  </colItems>
  <dataFields count="2">
    <dataField name="Sum of Net_Followers" fld="1" baseField="0" baseItem="0"/>
    <dataField name="Rank" fld="2" baseField="0" baseItem="0">
      <extLst>
        <ext xmlns:x14="http://schemas.microsoft.com/office/spreadsheetml/2009/9/main" uri="{E15A36E0-9728-4e99-A89B-3F7291B0FE68}">
          <x14:dataField pivotShowAs="rankDescending" sourceField="1" uniqueName="[__Xl2].[Measures].[Sum of Net_Followers]"/>
        </ext>
      </extLst>
    </dataField>
  </dataFields>
  <formats count="8">
    <format dxfId="34">
      <pivotArea collapsedLevelsAreSubtotals="1" fieldPosition="0">
        <references count="1">
          <reference field="0" count="10">
            <x v="14"/>
            <x v="22"/>
            <x v="26"/>
            <x v="27"/>
            <x v="28"/>
            <x v="30"/>
            <x v="36"/>
            <x v="38"/>
            <x v="43"/>
            <x v="48"/>
          </reference>
        </references>
      </pivotArea>
    </format>
    <format dxfId="33">
      <pivotArea dataOnly="0" labelOnly="1" fieldPosition="0">
        <references count="1">
          <reference field="0" count="10">
            <x v="14"/>
            <x v="22"/>
            <x v="26"/>
            <x v="27"/>
            <x v="28"/>
            <x v="30"/>
            <x v="36"/>
            <x v="38"/>
            <x v="43"/>
            <x v="48"/>
          </reference>
        </references>
      </pivotArea>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gagement Summary (2)!$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6ABFFF-0C0E-454E-8341-65BE1CB7F2AC}" name="PivotTable"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A3:B68" firstHeaderRow="1" firstDataRow="1" firstDataCol="1"/>
  <pivotFields count="4">
    <pivotField axis="axisRow" allDrilled="1" subtotalTop="0" showAll="0" dataSourceSort="1"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3">
    <field x="2"/>
    <field x="1"/>
    <field x="0"/>
  </rowFields>
  <rowItems count="65">
    <i>
      <x/>
    </i>
    <i r="1">
      <x/>
    </i>
    <i r="2">
      <x/>
    </i>
    <i r="2">
      <x v="1"/>
    </i>
    <i r="2">
      <x v="2"/>
    </i>
    <i r="2">
      <x v="3"/>
    </i>
    <i r="1">
      <x v="1"/>
    </i>
    <i r="2">
      <x v="4"/>
    </i>
    <i r="2">
      <x v="5"/>
    </i>
    <i r="2">
      <x v="6"/>
    </i>
    <i r="2">
      <x v="7"/>
    </i>
    <i r="2">
      <x v="8"/>
    </i>
    <i r="1">
      <x v="2"/>
    </i>
    <i r="2">
      <x v="9"/>
    </i>
    <i r="2">
      <x v="10"/>
    </i>
    <i r="2">
      <x v="11"/>
    </i>
    <i r="2">
      <x v="12"/>
    </i>
    <i r="1">
      <x v="3"/>
    </i>
    <i r="2">
      <x v="13"/>
    </i>
    <i r="2">
      <x v="14"/>
    </i>
    <i r="2">
      <x v="15"/>
    </i>
    <i r="2">
      <x v="16"/>
    </i>
    <i r="2">
      <x v="17"/>
    </i>
    <i r="1">
      <x v="4"/>
    </i>
    <i r="2">
      <x v="18"/>
    </i>
    <i r="2">
      <x v="19"/>
    </i>
    <i r="2">
      <x v="20"/>
    </i>
    <i r="2">
      <x v="21"/>
    </i>
    <i r="1">
      <x v="5"/>
    </i>
    <i r="2">
      <x v="22"/>
    </i>
    <i r="2">
      <x v="23"/>
    </i>
    <i r="2">
      <x v="24"/>
    </i>
    <i r="2">
      <x v="25"/>
    </i>
    <i r="1">
      <x v="6"/>
    </i>
    <i r="2">
      <x v="26"/>
    </i>
    <i r="2">
      <x v="27"/>
    </i>
    <i r="2">
      <x v="28"/>
    </i>
    <i r="2">
      <x v="29"/>
    </i>
    <i r="2">
      <x v="30"/>
    </i>
    <i>
      <x v="1"/>
    </i>
    <i r="1">
      <x v="7"/>
    </i>
    <i r="2">
      <x v="31"/>
    </i>
    <i r="2">
      <x v="32"/>
    </i>
    <i r="2">
      <x v="33"/>
    </i>
    <i r="2">
      <x v="34"/>
    </i>
    <i r="1">
      <x v="8"/>
    </i>
    <i r="2">
      <x v="35"/>
    </i>
    <i r="2">
      <x v="36"/>
    </i>
    <i r="2">
      <x v="37"/>
    </i>
    <i r="2">
      <x v="38"/>
    </i>
    <i r="1">
      <x v="9"/>
    </i>
    <i r="2">
      <x v="39"/>
    </i>
    <i r="2">
      <x v="40"/>
    </i>
    <i r="2">
      <x v="41"/>
    </i>
    <i r="2">
      <x v="42"/>
    </i>
    <i r="2">
      <x v="43"/>
    </i>
    <i r="1">
      <x v="10"/>
    </i>
    <i r="2">
      <x v="44"/>
    </i>
    <i r="2">
      <x v="45"/>
    </i>
    <i r="2">
      <x v="46"/>
    </i>
    <i r="2">
      <x v="47"/>
    </i>
    <i r="1">
      <x v="11"/>
    </i>
    <i r="2">
      <x v="48"/>
    </i>
    <i r="2">
      <x v="49"/>
    </i>
    <i t="grand">
      <x/>
    </i>
  </rowItems>
  <colItems count="1">
    <i/>
  </colItems>
  <dataFields count="1">
    <dataField name="Sum of Net_Followers" fld="3" baseField="0" baseItem="0"/>
  </dataFields>
  <formats count="20">
    <format dxfId="26">
      <pivotArea type="all" dataOnly="0" outline="0" fieldPosition="0"/>
    </format>
    <format dxfId="25">
      <pivotArea outline="0" collapsedLevelsAreSubtotals="1"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fieldPosition="0">
        <references count="2">
          <reference field="1" count="7">
            <x v="0"/>
            <x v="1"/>
            <x v="2"/>
            <x v="3"/>
            <x v="4"/>
            <x v="5"/>
            <x v="6"/>
          </reference>
          <reference field="2" count="1" selected="0">
            <x v="0"/>
          </reference>
        </references>
      </pivotArea>
    </format>
    <format dxfId="20">
      <pivotArea dataOnly="0" labelOnly="1" fieldPosition="0">
        <references count="2">
          <reference field="1" count="5">
            <x v="7"/>
            <x v="8"/>
            <x v="9"/>
            <x v="10"/>
            <x v="11"/>
          </reference>
          <reference field="2" count="1" selected="0">
            <x v="1"/>
          </reference>
        </references>
      </pivotArea>
    </format>
    <format dxfId="19">
      <pivotArea dataOnly="0" labelOnly="1" fieldPosition="0">
        <references count="3">
          <reference field="0" count="4">
            <x v="0"/>
            <x v="1"/>
            <x v="2"/>
            <x v="3"/>
          </reference>
          <reference field="1" count="1" selected="0">
            <x v="0"/>
          </reference>
          <reference field="2" count="1" selected="0">
            <x v="0"/>
          </reference>
        </references>
      </pivotArea>
    </format>
    <format dxfId="18">
      <pivotArea dataOnly="0" labelOnly="1" fieldPosition="0">
        <references count="3">
          <reference field="0" count="5">
            <x v="4"/>
            <x v="5"/>
            <x v="6"/>
            <x v="7"/>
            <x v="8"/>
          </reference>
          <reference field="1" count="1" selected="0">
            <x v="1"/>
          </reference>
          <reference field="2" count="1" selected="0">
            <x v="0"/>
          </reference>
        </references>
      </pivotArea>
    </format>
    <format dxfId="17">
      <pivotArea dataOnly="0" labelOnly="1" fieldPosition="0">
        <references count="3">
          <reference field="0" count="4">
            <x v="9"/>
            <x v="10"/>
            <x v="11"/>
            <x v="12"/>
          </reference>
          <reference field="1" count="1" selected="0">
            <x v="2"/>
          </reference>
          <reference field="2" count="1" selected="0">
            <x v="0"/>
          </reference>
        </references>
      </pivotArea>
    </format>
    <format dxfId="16">
      <pivotArea dataOnly="0" labelOnly="1" fieldPosition="0">
        <references count="3">
          <reference field="0" count="5">
            <x v="13"/>
            <x v="14"/>
            <x v="15"/>
            <x v="16"/>
            <x v="17"/>
          </reference>
          <reference field="1" count="1" selected="0">
            <x v="3"/>
          </reference>
          <reference field="2" count="1" selected="0">
            <x v="0"/>
          </reference>
        </references>
      </pivotArea>
    </format>
    <format dxfId="15">
      <pivotArea dataOnly="0" labelOnly="1" fieldPosition="0">
        <references count="3">
          <reference field="0" count="4">
            <x v="18"/>
            <x v="19"/>
            <x v="20"/>
            <x v="21"/>
          </reference>
          <reference field="1" count="1" selected="0">
            <x v="4"/>
          </reference>
          <reference field="2" count="1" selected="0">
            <x v="0"/>
          </reference>
        </references>
      </pivotArea>
    </format>
    <format dxfId="14">
      <pivotArea dataOnly="0" labelOnly="1" fieldPosition="0">
        <references count="3">
          <reference field="0" count="4">
            <x v="22"/>
            <x v="23"/>
            <x v="24"/>
            <x v="25"/>
          </reference>
          <reference field="1" count="1" selected="0">
            <x v="5"/>
          </reference>
          <reference field="2" count="1" selected="0">
            <x v="0"/>
          </reference>
        </references>
      </pivotArea>
    </format>
    <format dxfId="13">
      <pivotArea dataOnly="0" labelOnly="1" fieldPosition="0">
        <references count="3">
          <reference field="0" count="5">
            <x v="26"/>
            <x v="27"/>
            <x v="28"/>
            <x v="29"/>
            <x v="30"/>
          </reference>
          <reference field="1" count="1" selected="0">
            <x v="6"/>
          </reference>
          <reference field="2" count="1" selected="0">
            <x v="0"/>
          </reference>
        </references>
      </pivotArea>
    </format>
    <format dxfId="12">
      <pivotArea dataOnly="0" labelOnly="1" fieldPosition="0">
        <references count="3">
          <reference field="0" count="4">
            <x v="31"/>
            <x v="32"/>
            <x v="33"/>
            <x v="34"/>
          </reference>
          <reference field="1" count="1" selected="0">
            <x v="7"/>
          </reference>
          <reference field="2" count="1" selected="0">
            <x v="1"/>
          </reference>
        </references>
      </pivotArea>
    </format>
    <format dxfId="11">
      <pivotArea dataOnly="0" labelOnly="1" fieldPosition="0">
        <references count="3">
          <reference field="0" count="4">
            <x v="35"/>
            <x v="36"/>
            <x v="37"/>
            <x v="38"/>
          </reference>
          <reference field="1" count="1" selected="0">
            <x v="8"/>
          </reference>
          <reference field="2" count="1" selected="0">
            <x v="1"/>
          </reference>
        </references>
      </pivotArea>
    </format>
    <format dxfId="10">
      <pivotArea dataOnly="0" labelOnly="1" fieldPosition="0">
        <references count="3">
          <reference field="0" count="5">
            <x v="39"/>
            <x v="40"/>
            <x v="41"/>
            <x v="42"/>
            <x v="43"/>
          </reference>
          <reference field="1" count="1" selected="0">
            <x v="9"/>
          </reference>
          <reference field="2" count="1" selected="0">
            <x v="1"/>
          </reference>
        </references>
      </pivotArea>
    </format>
    <format dxfId="9">
      <pivotArea dataOnly="0" labelOnly="1" fieldPosition="0">
        <references count="3">
          <reference field="0" count="4">
            <x v="44"/>
            <x v="45"/>
            <x v="46"/>
            <x v="47"/>
          </reference>
          <reference field="1" count="1" selected="0">
            <x v="10"/>
          </reference>
          <reference field="2" count="1" selected="0">
            <x v="1"/>
          </reference>
        </references>
      </pivotArea>
    </format>
    <format dxfId="8">
      <pivotArea dataOnly="0" labelOnly="1" fieldPosition="0">
        <references count="3">
          <reference field="0" count="2">
            <x v="48"/>
            <x v="49"/>
          </reference>
          <reference field="1" count="1" selected="0">
            <x v="11"/>
          </reference>
          <reference field="2" count="1" selected="0">
            <x v="1"/>
          </reference>
        </references>
      </pivotArea>
    </format>
    <format dxfId="7">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16"/>
    <rowHierarchyUsage hierarchyUsage="18"/>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gagement Summary (2)!$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68FEF1-572B-4F41-9AE3-25D58FDD4617}" name="PivotTable14"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4:B204" firstHeaderRow="1" firstDataRow="1" firstDataCol="1"/>
  <pivotFields count="2">
    <pivotField axis="axisRow" allDrilled="1" subtotalTop="0" showAll="0" dataSourceSort="1" defaultSubtotal="0" defaultAttributeDrillState="1">
      <items count="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s>
    </pivotField>
    <pivotField dataField="1" subtotalTop="0" showAll="0" defaultSubtotal="0"/>
  </pivotFields>
  <rowFields count="1">
    <field x="0"/>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t="grand">
      <x/>
    </i>
  </rowItems>
  <colItems count="1">
    <i/>
  </colItems>
  <dataFields count="1">
    <dataField name="Sum of Net_Followers" fld="1" baseField="0" baseItem="0"/>
  </dataFields>
  <formats count="7">
    <format dxfId="6">
      <pivotArea collapsedLevelsAreSubtotals="1" fieldPosition="0">
        <references count="1">
          <reference field="0" count="0"/>
        </references>
      </pivotArea>
    </format>
    <format dxfId="5">
      <pivotArea field="0" type="button" dataOnly="0" labelOnly="1" outline="0" axis="axisRow" fieldPosition="0"/>
    </format>
    <format dxfId="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
      <pivotArea dataOnly="0" labelOnly="1" fieldPosition="0">
        <references count="1">
          <reference field="0" count="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reference>
        </references>
      </pivotArea>
    </format>
    <format dxfId="0">
      <pivotArea dataOnly="0" labelOnly="1" outline="0" axis="axisValues"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_Summ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C65E12-DE23-4597-8484-1D39770BA3AB}" autoFormatId="16" applyNumberFormats="0" applyBorderFormats="0" applyFontFormats="0" applyPatternFormats="0" applyAlignmentFormats="0" applyWidthHeightFormats="0">
  <queryTableRefresh nextId="9">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name="Net_Follower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D5E5030-9D7F-4B19-A5EB-E2A3BD94602B}" sourceName="[Range].[Platform]">
  <pivotTables>
    <pivotTable tabId="6" name="PivotTable2"/>
  </pivotTables>
  <data>
    <olap pivotCacheId="221674733">
      <levels count="2">
        <level uniqueName="[Range].[Platform].[(All)]" sourceCaption="(All)" count="0"/>
        <level uniqueName="[Range].[Platform].[Platform]" sourceCaption="Platform" count="5">
          <ranges>
            <range startItem="0">
              <i n="[Range].[Platform].&amp;[Facebook]" c="Facebook"/>
              <i n="[Range].[Platform].&amp;[Instagram]" c="Instagram"/>
              <i n="[Range].[Platform].&amp;[Twitter]" c="Twitter"/>
              <i n="[Range].[Platform].&amp;[YouTube]" c="YouTube"/>
              <i n="[Range].[Platform].&amp;" c="(blank)" nd="1"/>
            </range>
          </ranges>
        </level>
      </levels>
      <selections count="1">
        <selection n="[Range].[Platform].&amp;[Instagram]"/>
      </selections>
    </olap>
  </data>
  <extLst>
    <x:ext xmlns:x15="http://schemas.microsoft.com/office/spreadsheetml/2010/11/main" uri="{470722E0-AACD-4C17-9CDC-17EF765DBC7E}">
      <x15:slicerCacheHideItemsWithNoData count="1">
        <x15:slicerCacheOlapLevelName uniqueName="[Range].[Platform].[Platform]"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5B636C9-C383-48F3-B4C0-E15CB929453F}" cache="Slicer_Platform" caption="Platform"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AD3EA-A3AA-4FA8-B0D2-F1F62F1D27DC}" name="Engagement_Summary" displayName="Engagement_Summary" ref="A1:H201" tableType="queryTable" totalsRowShown="0">
  <autoFilter ref="A1:H201" xr:uid="{B2CAD3EA-A3AA-4FA8-B0D2-F1F62F1D27DC}"/>
  <tableColumns count="8">
    <tableColumn id="1" xr3:uid="{8AAEA68E-4C06-435E-B136-B81F9F02E5F5}" uniqueName="1" name="Week_Start_Date" queryTableFieldId="1" dataDxfId="236"/>
    <tableColumn id="2" xr3:uid="{B71D05E5-1C3C-4A85-B0C1-54629D2703E6}" uniqueName="2" name="Platform" queryTableFieldId="2" dataDxfId="235"/>
    <tableColumn id="3" xr3:uid="{E5A18C94-42F3-4267-83EB-D4F5A7F8ECFD}" uniqueName="3" name="New_Followers" queryTableFieldId="3"/>
    <tableColumn id="4" xr3:uid="{51F32AB7-5105-4AE0-AF7D-73C6F57D7D95}" uniqueName="4" name="Unfollows" queryTableFieldId="4"/>
    <tableColumn id="5" xr3:uid="{F0627C6F-2FED-4393-9824-704C3858840A}" uniqueName="5" name="Total_Followers" queryTableFieldId="5"/>
    <tableColumn id="6" xr3:uid="{9CFC87FE-DD3F-441E-B4ED-D5B4A98A323A}" uniqueName="6" name="Engagement_Rate" queryTableFieldId="6"/>
    <tableColumn id="7" xr3:uid="{F7175FF8-1F8C-495E-975C-C91939CA18A3}" uniqueName="7" name="Ad_Spend" queryTableFieldId="7"/>
    <tableColumn id="8" xr3:uid="{263500FD-9191-47ED-9E1E-79386E6949F2}" uniqueName="8" name="Net_Followers" queryTableFieldId="8"/>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heetViews>
  <sheetFormatPr defaultColWidth="14.453125" defaultRowHeight="15" customHeight="1" x14ac:dyDescent="0.35"/>
  <cols>
    <col min="1" max="1" width="8.7265625" customWidth="1"/>
    <col min="2" max="2" width="22.7265625" customWidth="1"/>
    <col min="3" max="3" width="24.7265625" customWidth="1"/>
    <col min="4" max="10" width="8.7265625" customWidth="1"/>
    <col min="11" max="11" width="15.7265625" customWidth="1"/>
    <col min="12" max="12" width="29.453125" customWidth="1"/>
    <col min="13" max="13" width="31.7265625" customWidth="1"/>
    <col min="14" max="26" width="8.7265625" customWidth="1"/>
  </cols>
  <sheetData>
    <row r="1" spans="1:13" ht="14.25" customHeight="1" x14ac:dyDescent="0.35">
      <c r="A1" s="1" t="s">
        <v>0</v>
      </c>
      <c r="B1" s="2" t="s">
        <v>1</v>
      </c>
      <c r="C1" s="1" t="s">
        <v>2</v>
      </c>
      <c r="D1" s="2" t="s">
        <v>3</v>
      </c>
      <c r="E1" s="2" t="s">
        <v>4</v>
      </c>
      <c r="F1" s="1" t="s">
        <v>5</v>
      </c>
      <c r="G1" s="1" t="s">
        <v>6</v>
      </c>
      <c r="H1" s="2" t="s">
        <v>7</v>
      </c>
      <c r="I1" s="2" t="s">
        <v>8</v>
      </c>
      <c r="J1" s="1" t="s">
        <v>9</v>
      </c>
      <c r="K1" s="1" t="s">
        <v>10</v>
      </c>
      <c r="L1" s="1" t="s">
        <v>11</v>
      </c>
      <c r="M1" s="2" t="s">
        <v>12</v>
      </c>
    </row>
    <row r="2" spans="1:13" ht="14.25" customHeight="1" x14ac:dyDescent="0.35">
      <c r="A2" s="3" t="s">
        <v>13</v>
      </c>
      <c r="B2" s="3" t="s">
        <v>14</v>
      </c>
      <c r="C2" s="3" t="s">
        <v>15</v>
      </c>
      <c r="D2" s="3" t="s">
        <v>16</v>
      </c>
      <c r="E2" s="3" t="s">
        <v>17</v>
      </c>
      <c r="F2" s="3">
        <v>1461</v>
      </c>
      <c r="G2" s="3">
        <v>184</v>
      </c>
      <c r="H2" s="3">
        <v>344</v>
      </c>
      <c r="I2" s="3">
        <v>21915</v>
      </c>
      <c r="J2" s="3">
        <v>21675</v>
      </c>
      <c r="K2" s="3">
        <v>15</v>
      </c>
      <c r="L2" s="4" t="s">
        <v>18</v>
      </c>
      <c r="M2" s="5" t="s">
        <v>19</v>
      </c>
    </row>
    <row r="3" spans="1:13" ht="14.25" customHeight="1" x14ac:dyDescent="0.35">
      <c r="A3" s="3" t="s">
        <v>20</v>
      </c>
      <c r="B3" s="3" t="s">
        <v>14</v>
      </c>
      <c r="C3" s="3" t="s">
        <v>21</v>
      </c>
      <c r="D3" s="3" t="s">
        <v>22</v>
      </c>
      <c r="E3" s="3" t="s">
        <v>23</v>
      </c>
      <c r="F3" s="3">
        <v>4054</v>
      </c>
      <c r="G3" s="3">
        <v>389</v>
      </c>
      <c r="H3" s="3">
        <v>493</v>
      </c>
      <c r="I3" s="3">
        <v>64864</v>
      </c>
      <c r="J3" s="3">
        <v>64383</v>
      </c>
      <c r="K3" s="3">
        <v>117</v>
      </c>
      <c r="L3" s="4" t="s">
        <v>24</v>
      </c>
      <c r="M3" s="6" t="s">
        <v>25</v>
      </c>
    </row>
    <row r="4" spans="1:13" ht="14.25" customHeight="1" x14ac:dyDescent="0.35">
      <c r="A4" s="3" t="s">
        <v>26</v>
      </c>
      <c r="B4" s="3" t="s">
        <v>27</v>
      </c>
      <c r="C4" s="3" t="s">
        <v>28</v>
      </c>
      <c r="D4" s="3" t="s">
        <v>16</v>
      </c>
      <c r="E4" s="3" t="s">
        <v>29</v>
      </c>
      <c r="F4" s="3">
        <v>2795</v>
      </c>
      <c r="G4" s="3">
        <v>105</v>
      </c>
      <c r="H4" s="3">
        <v>49</v>
      </c>
      <c r="I4" s="3">
        <v>53105</v>
      </c>
      <c r="J4" s="3">
        <v>52307</v>
      </c>
      <c r="K4" s="3">
        <v>204</v>
      </c>
      <c r="L4" s="7" t="s">
        <v>30</v>
      </c>
      <c r="M4" s="6" t="s">
        <v>31</v>
      </c>
    </row>
    <row r="5" spans="1:13" ht="14.25" customHeight="1" x14ac:dyDescent="0.35">
      <c r="A5" s="3" t="s">
        <v>32</v>
      </c>
      <c r="B5" s="3" t="s">
        <v>33</v>
      </c>
      <c r="C5" s="3" t="s">
        <v>34</v>
      </c>
      <c r="D5" s="3" t="s">
        <v>35</v>
      </c>
      <c r="E5" s="3" t="s">
        <v>36</v>
      </c>
      <c r="F5" s="3">
        <v>2404</v>
      </c>
      <c r="G5" s="3">
        <v>363</v>
      </c>
      <c r="H5" s="3">
        <v>138</v>
      </c>
      <c r="I5" s="3">
        <v>19232</v>
      </c>
      <c r="J5" s="3">
        <v>18636</v>
      </c>
      <c r="K5" s="3">
        <v>128</v>
      </c>
      <c r="L5" s="7" t="s">
        <v>37</v>
      </c>
      <c r="M5" s="6" t="s">
        <v>38</v>
      </c>
    </row>
    <row r="6" spans="1:13" ht="14.25" customHeight="1" x14ac:dyDescent="0.35">
      <c r="A6" s="3" t="s">
        <v>39</v>
      </c>
      <c r="B6" s="3" t="s">
        <v>27</v>
      </c>
      <c r="C6" s="3" t="s">
        <v>40</v>
      </c>
      <c r="D6" s="3" t="s">
        <v>16</v>
      </c>
      <c r="E6" s="3" t="s">
        <v>29</v>
      </c>
      <c r="F6" s="3">
        <v>3557</v>
      </c>
      <c r="G6" s="3">
        <v>687</v>
      </c>
      <c r="H6" s="3">
        <v>424</v>
      </c>
      <c r="I6" s="3">
        <v>71140</v>
      </c>
      <c r="J6" s="3">
        <v>70701</v>
      </c>
      <c r="K6" s="3">
        <v>224</v>
      </c>
      <c r="L6" s="4" t="s">
        <v>41</v>
      </c>
      <c r="M6" s="5" t="s">
        <v>19</v>
      </c>
    </row>
    <row r="7" spans="1:13" ht="14.25" customHeight="1" x14ac:dyDescent="0.35">
      <c r="A7" s="3" t="s">
        <v>42</v>
      </c>
      <c r="B7" s="3" t="s">
        <v>43</v>
      </c>
      <c r="C7" s="3" t="s">
        <v>44</v>
      </c>
      <c r="D7" s="3" t="s">
        <v>45</v>
      </c>
      <c r="E7" s="3" t="s">
        <v>46</v>
      </c>
      <c r="F7" s="3">
        <v>2945</v>
      </c>
      <c r="G7" s="3">
        <v>930</v>
      </c>
      <c r="H7" s="3">
        <v>355</v>
      </c>
      <c r="I7" s="3">
        <v>23560</v>
      </c>
      <c r="J7" s="3">
        <v>23275</v>
      </c>
      <c r="K7" s="3">
        <v>256</v>
      </c>
      <c r="L7" s="7" t="s">
        <v>30</v>
      </c>
      <c r="M7" s="6" t="s">
        <v>25</v>
      </c>
    </row>
    <row r="8" spans="1:13" ht="14.25" customHeight="1" x14ac:dyDescent="0.35">
      <c r="A8" s="3" t="s">
        <v>47</v>
      </c>
      <c r="B8" s="3" t="s">
        <v>14</v>
      </c>
      <c r="C8" s="3" t="s">
        <v>48</v>
      </c>
      <c r="D8" s="3" t="s">
        <v>45</v>
      </c>
      <c r="E8" s="3" t="s">
        <v>49</v>
      </c>
      <c r="F8" s="3">
        <v>3860</v>
      </c>
      <c r="G8" s="3">
        <v>201</v>
      </c>
      <c r="H8" s="3">
        <v>279</v>
      </c>
      <c r="I8" s="3">
        <v>61760</v>
      </c>
      <c r="J8" s="3">
        <v>61660</v>
      </c>
      <c r="K8" s="3">
        <v>235</v>
      </c>
      <c r="L8" s="7" t="s">
        <v>30</v>
      </c>
      <c r="M8" s="6" t="s">
        <v>25</v>
      </c>
    </row>
    <row r="9" spans="1:13" ht="14.25" customHeight="1" x14ac:dyDescent="0.35">
      <c r="A9" s="3" t="s">
        <v>50</v>
      </c>
      <c r="B9" s="3" t="s">
        <v>27</v>
      </c>
      <c r="C9" s="3" t="s">
        <v>51</v>
      </c>
      <c r="D9" s="3" t="s">
        <v>52</v>
      </c>
      <c r="E9" s="3" t="s">
        <v>53</v>
      </c>
      <c r="F9" s="3">
        <v>3929</v>
      </c>
      <c r="G9" s="3">
        <v>262</v>
      </c>
      <c r="H9" s="3">
        <v>278</v>
      </c>
      <c r="I9" s="3">
        <v>43219</v>
      </c>
      <c r="J9" s="3">
        <v>42841</v>
      </c>
      <c r="K9" s="3">
        <v>39</v>
      </c>
      <c r="L9" s="7" t="s">
        <v>37</v>
      </c>
      <c r="M9" s="6" t="s">
        <v>38</v>
      </c>
    </row>
    <row r="10" spans="1:13" ht="14.25" customHeight="1" x14ac:dyDescent="0.35">
      <c r="A10" s="3" t="s">
        <v>54</v>
      </c>
      <c r="B10" s="3" t="s">
        <v>43</v>
      </c>
      <c r="C10" s="3" t="s">
        <v>55</v>
      </c>
      <c r="D10" s="3" t="s">
        <v>22</v>
      </c>
      <c r="E10" s="3" t="s">
        <v>56</v>
      </c>
      <c r="F10" s="3">
        <v>3784</v>
      </c>
      <c r="G10" s="3">
        <v>808</v>
      </c>
      <c r="H10" s="3">
        <v>404</v>
      </c>
      <c r="I10" s="3">
        <v>56760</v>
      </c>
      <c r="J10" s="3">
        <v>56343</v>
      </c>
      <c r="K10" s="3">
        <v>131</v>
      </c>
      <c r="L10" s="7" t="s">
        <v>30</v>
      </c>
      <c r="M10" s="6" t="s">
        <v>25</v>
      </c>
    </row>
    <row r="11" spans="1:13" ht="14.25" customHeight="1" x14ac:dyDescent="0.35">
      <c r="A11" s="3" t="s">
        <v>57</v>
      </c>
      <c r="B11" s="3" t="s">
        <v>43</v>
      </c>
      <c r="C11" s="3" t="s">
        <v>58</v>
      </c>
      <c r="D11" s="3" t="s">
        <v>52</v>
      </c>
      <c r="E11" s="3" t="s">
        <v>59</v>
      </c>
      <c r="F11" s="3">
        <v>4241</v>
      </c>
      <c r="G11" s="3">
        <v>902</v>
      </c>
      <c r="H11" s="3">
        <v>47</v>
      </c>
      <c r="I11" s="3">
        <v>72097</v>
      </c>
      <c r="J11" s="3">
        <v>71598</v>
      </c>
      <c r="K11" s="3">
        <v>167</v>
      </c>
      <c r="L11" s="7" t="s">
        <v>30</v>
      </c>
      <c r="M11" s="6" t="s">
        <v>25</v>
      </c>
    </row>
    <row r="12" spans="1:13" ht="14.25" customHeight="1" x14ac:dyDescent="0.35">
      <c r="A12" s="3" t="s">
        <v>60</v>
      </c>
      <c r="B12" s="3" t="s">
        <v>33</v>
      </c>
      <c r="C12" s="3" t="s">
        <v>61</v>
      </c>
      <c r="D12" s="3" t="s">
        <v>35</v>
      </c>
      <c r="E12" s="3" t="s">
        <v>36</v>
      </c>
      <c r="F12" s="3">
        <v>1792</v>
      </c>
      <c r="G12" s="3">
        <v>614</v>
      </c>
      <c r="H12" s="3">
        <v>497</v>
      </c>
      <c r="I12" s="3">
        <v>25088</v>
      </c>
      <c r="J12" s="3">
        <v>24675</v>
      </c>
      <c r="K12" s="3">
        <v>65</v>
      </c>
      <c r="L12" s="7" t="s">
        <v>62</v>
      </c>
      <c r="M12" s="6" t="s">
        <v>38</v>
      </c>
    </row>
    <row r="13" spans="1:13" ht="14.25" customHeight="1" x14ac:dyDescent="0.35">
      <c r="A13" s="3" t="s">
        <v>63</v>
      </c>
      <c r="B13" s="3" t="s">
        <v>43</v>
      </c>
      <c r="C13" s="3" t="s">
        <v>64</v>
      </c>
      <c r="D13" s="3" t="s">
        <v>16</v>
      </c>
      <c r="E13" s="3" t="s">
        <v>65</v>
      </c>
      <c r="F13" s="3">
        <v>1946</v>
      </c>
      <c r="G13" s="3">
        <v>686</v>
      </c>
      <c r="H13" s="3">
        <v>377</v>
      </c>
      <c r="I13" s="3">
        <v>23352</v>
      </c>
      <c r="J13" s="3">
        <v>22982</v>
      </c>
      <c r="K13" s="3">
        <v>213</v>
      </c>
      <c r="L13" s="7" t="s">
        <v>62</v>
      </c>
      <c r="M13" s="6" t="s">
        <v>31</v>
      </c>
    </row>
    <row r="14" spans="1:13" ht="14.25" customHeight="1" x14ac:dyDescent="0.35">
      <c r="A14" s="3" t="s">
        <v>66</v>
      </c>
      <c r="B14" s="3" t="s">
        <v>27</v>
      </c>
      <c r="C14" s="3" t="s">
        <v>67</v>
      </c>
      <c r="D14" s="3" t="s">
        <v>45</v>
      </c>
      <c r="E14" s="3" t="s">
        <v>68</v>
      </c>
      <c r="F14" s="3">
        <v>1171</v>
      </c>
      <c r="G14" s="3">
        <v>286</v>
      </c>
      <c r="H14" s="3">
        <v>231</v>
      </c>
      <c r="I14" s="3">
        <v>22249</v>
      </c>
      <c r="J14" s="3">
        <v>21282</v>
      </c>
      <c r="K14" s="3">
        <v>114</v>
      </c>
      <c r="L14" s="7" t="s">
        <v>37</v>
      </c>
      <c r="M14" s="5" t="s">
        <v>19</v>
      </c>
    </row>
    <row r="15" spans="1:13" ht="14.25" customHeight="1" x14ac:dyDescent="0.35">
      <c r="A15" s="3" t="s">
        <v>69</v>
      </c>
      <c r="B15" s="3" t="s">
        <v>43</v>
      </c>
      <c r="C15" s="3" t="s">
        <v>70</v>
      </c>
      <c r="D15" s="3" t="s">
        <v>35</v>
      </c>
      <c r="E15" s="3" t="s">
        <v>71</v>
      </c>
      <c r="F15" s="3">
        <v>4242</v>
      </c>
      <c r="G15" s="3">
        <v>555</v>
      </c>
      <c r="H15" s="3">
        <v>131</v>
      </c>
      <c r="I15" s="3">
        <v>33936</v>
      </c>
      <c r="J15" s="3">
        <v>33802</v>
      </c>
      <c r="K15" s="3">
        <v>265</v>
      </c>
      <c r="L15" s="7" t="s">
        <v>62</v>
      </c>
      <c r="M15" s="6"/>
    </row>
    <row r="16" spans="1:13" ht="14.25" customHeight="1" x14ac:dyDescent="0.35">
      <c r="A16" s="3" t="s">
        <v>72</v>
      </c>
      <c r="B16" s="3" t="s">
        <v>43</v>
      </c>
      <c r="C16" s="3" t="s">
        <v>73</v>
      </c>
      <c r="D16" s="3" t="s">
        <v>74</v>
      </c>
      <c r="E16" s="3" t="s">
        <v>75</v>
      </c>
      <c r="F16" s="3">
        <v>3888</v>
      </c>
      <c r="G16" s="3">
        <v>604</v>
      </c>
      <c r="H16" s="3">
        <v>128</v>
      </c>
      <c r="I16" s="3">
        <v>77760</v>
      </c>
      <c r="J16" s="3">
        <v>77167</v>
      </c>
      <c r="K16" s="3">
        <v>20</v>
      </c>
      <c r="L16" s="7" t="s">
        <v>62</v>
      </c>
      <c r="M16" s="5" t="s">
        <v>19</v>
      </c>
    </row>
    <row r="17" spans="1:13" ht="14.25" customHeight="1" x14ac:dyDescent="0.35">
      <c r="A17" s="3" t="s">
        <v>76</v>
      </c>
      <c r="B17" s="3" t="s">
        <v>43</v>
      </c>
      <c r="C17" s="3" t="s">
        <v>77</v>
      </c>
      <c r="D17" s="3" t="s">
        <v>22</v>
      </c>
      <c r="E17" s="3" t="s">
        <v>56</v>
      </c>
      <c r="F17" s="3">
        <v>3452</v>
      </c>
      <c r="G17" s="3">
        <v>377</v>
      </c>
      <c r="H17" s="3">
        <v>360</v>
      </c>
      <c r="I17" s="3">
        <v>55232</v>
      </c>
      <c r="J17" s="3">
        <v>55075</v>
      </c>
      <c r="K17" s="3">
        <v>87</v>
      </c>
      <c r="L17" s="7" t="s">
        <v>62</v>
      </c>
      <c r="M17" s="6" t="s">
        <v>31</v>
      </c>
    </row>
    <row r="18" spans="1:13" ht="14.25" customHeight="1" x14ac:dyDescent="0.35">
      <c r="A18" s="3" t="s">
        <v>78</v>
      </c>
      <c r="B18" s="3" t="s">
        <v>43</v>
      </c>
      <c r="C18" s="3" t="s">
        <v>79</v>
      </c>
      <c r="D18" s="3" t="s">
        <v>22</v>
      </c>
      <c r="E18" s="3" t="s">
        <v>56</v>
      </c>
      <c r="F18" s="3">
        <v>4441</v>
      </c>
      <c r="G18" s="3">
        <v>511</v>
      </c>
      <c r="H18" s="3">
        <v>70</v>
      </c>
      <c r="I18" s="3">
        <v>53292</v>
      </c>
      <c r="J18" s="3">
        <v>53082</v>
      </c>
      <c r="K18" s="3">
        <v>159</v>
      </c>
      <c r="L18" s="7" t="s">
        <v>37</v>
      </c>
      <c r="M18" s="6" t="s">
        <v>38</v>
      </c>
    </row>
    <row r="19" spans="1:13" ht="14.25" customHeight="1" x14ac:dyDescent="0.35">
      <c r="A19" s="3" t="s">
        <v>80</v>
      </c>
      <c r="B19" s="3" t="s">
        <v>33</v>
      </c>
      <c r="C19" s="3" t="s">
        <v>81</v>
      </c>
      <c r="D19" s="3" t="s">
        <v>16</v>
      </c>
      <c r="E19" s="3" t="s">
        <v>82</v>
      </c>
      <c r="F19" s="3">
        <v>3000</v>
      </c>
      <c r="G19" s="3">
        <v>382</v>
      </c>
      <c r="H19" s="3">
        <v>325</v>
      </c>
      <c r="I19" s="3">
        <v>36000</v>
      </c>
      <c r="J19" s="3">
        <v>35819</v>
      </c>
      <c r="K19" s="3">
        <v>19</v>
      </c>
      <c r="L19" s="7" t="s">
        <v>62</v>
      </c>
      <c r="M19" s="5" t="s">
        <v>19</v>
      </c>
    </row>
    <row r="20" spans="1:13" ht="14.25" customHeight="1" x14ac:dyDescent="0.35">
      <c r="A20" s="3" t="s">
        <v>83</v>
      </c>
      <c r="B20" s="3" t="s">
        <v>33</v>
      </c>
      <c r="C20" s="3" t="s">
        <v>84</v>
      </c>
      <c r="D20" s="3" t="s">
        <v>74</v>
      </c>
      <c r="E20" s="3" t="s">
        <v>85</v>
      </c>
      <c r="F20" s="3">
        <v>1071</v>
      </c>
      <c r="G20" s="3">
        <v>519</v>
      </c>
      <c r="H20" s="3">
        <v>22</v>
      </c>
      <c r="I20" s="3">
        <v>16065</v>
      </c>
      <c r="J20" s="3">
        <v>15865</v>
      </c>
      <c r="K20" s="3">
        <v>103</v>
      </c>
      <c r="L20" s="7" t="s">
        <v>30</v>
      </c>
      <c r="M20" s="6" t="s">
        <v>38</v>
      </c>
    </row>
    <row r="21" spans="1:13" ht="14.25" customHeight="1" x14ac:dyDescent="0.35">
      <c r="A21" s="3" t="s">
        <v>86</v>
      </c>
      <c r="B21" s="3" t="s">
        <v>33</v>
      </c>
      <c r="C21" s="3" t="s">
        <v>87</v>
      </c>
      <c r="D21" s="3" t="s">
        <v>45</v>
      </c>
      <c r="E21" s="3" t="s">
        <v>88</v>
      </c>
      <c r="F21" s="3">
        <v>4054</v>
      </c>
      <c r="G21" s="3">
        <v>488</v>
      </c>
      <c r="H21" s="3">
        <v>373</v>
      </c>
      <c r="I21" s="3">
        <v>77026</v>
      </c>
      <c r="J21" s="3">
        <v>76881</v>
      </c>
      <c r="K21" s="3">
        <v>25</v>
      </c>
      <c r="L21" s="7" t="s">
        <v>30</v>
      </c>
      <c r="M21" s="5" t="s">
        <v>19</v>
      </c>
    </row>
    <row r="22" spans="1:13" ht="14.25" customHeight="1" x14ac:dyDescent="0.35">
      <c r="A22" s="3" t="s">
        <v>89</v>
      </c>
      <c r="B22" s="3" t="s">
        <v>33</v>
      </c>
      <c r="C22" s="3" t="s">
        <v>90</v>
      </c>
      <c r="D22" s="3" t="s">
        <v>16</v>
      </c>
      <c r="E22" s="3" t="s">
        <v>82</v>
      </c>
      <c r="F22" s="3">
        <v>4838</v>
      </c>
      <c r="G22" s="3">
        <v>640</v>
      </c>
      <c r="H22" s="3">
        <v>128</v>
      </c>
      <c r="I22" s="3">
        <v>72570</v>
      </c>
      <c r="J22" s="3">
        <v>72396</v>
      </c>
      <c r="K22" s="3">
        <v>83</v>
      </c>
      <c r="L22" s="7" t="s">
        <v>62</v>
      </c>
      <c r="M22" s="6" t="s">
        <v>38</v>
      </c>
    </row>
    <row r="23" spans="1:13" ht="14.25" customHeight="1" x14ac:dyDescent="0.35">
      <c r="A23" s="3" t="s">
        <v>91</v>
      </c>
      <c r="B23" s="3" t="s">
        <v>43</v>
      </c>
      <c r="C23" s="3" t="s">
        <v>92</v>
      </c>
      <c r="D23" s="3" t="s">
        <v>22</v>
      </c>
      <c r="E23" s="3" t="s">
        <v>56</v>
      </c>
      <c r="F23" s="3">
        <v>1570</v>
      </c>
      <c r="G23" s="3">
        <v>187</v>
      </c>
      <c r="H23" s="3">
        <v>260</v>
      </c>
      <c r="I23" s="3">
        <v>25120</v>
      </c>
      <c r="J23" s="3">
        <v>24613</v>
      </c>
      <c r="K23" s="3">
        <v>133</v>
      </c>
      <c r="L23" s="7" t="s">
        <v>30</v>
      </c>
      <c r="M23" s="6" t="s">
        <v>38</v>
      </c>
    </row>
    <row r="24" spans="1:13" ht="14.25" customHeight="1" x14ac:dyDescent="0.35">
      <c r="A24" s="3" t="s">
        <v>93</v>
      </c>
      <c r="B24" s="3" t="s">
        <v>43</v>
      </c>
      <c r="C24" s="3" t="s">
        <v>94</v>
      </c>
      <c r="D24" s="3" t="s">
        <v>74</v>
      </c>
      <c r="E24" s="3" t="s">
        <v>75</v>
      </c>
      <c r="F24" s="3">
        <v>1606</v>
      </c>
      <c r="G24" s="3">
        <v>547</v>
      </c>
      <c r="H24" s="3">
        <v>316</v>
      </c>
      <c r="I24" s="3">
        <v>32120</v>
      </c>
      <c r="J24" s="3">
        <v>31736</v>
      </c>
      <c r="K24" s="3">
        <v>225</v>
      </c>
      <c r="L24" s="4" t="s">
        <v>95</v>
      </c>
      <c r="M24" s="6" t="s">
        <v>25</v>
      </c>
    </row>
    <row r="25" spans="1:13" ht="14.25" customHeight="1" x14ac:dyDescent="0.35">
      <c r="A25" s="3" t="s">
        <v>96</v>
      </c>
      <c r="B25" s="3" t="s">
        <v>43</v>
      </c>
      <c r="C25" s="3" t="s">
        <v>97</v>
      </c>
      <c r="D25" s="3" t="s">
        <v>74</v>
      </c>
      <c r="E25" s="3" t="s">
        <v>75</v>
      </c>
      <c r="F25" s="3">
        <v>3961</v>
      </c>
      <c r="G25" s="3">
        <v>761</v>
      </c>
      <c r="H25" s="3">
        <v>131</v>
      </c>
      <c r="I25" s="3">
        <v>67337</v>
      </c>
      <c r="J25" s="3">
        <v>66615</v>
      </c>
      <c r="K25" s="3">
        <v>161</v>
      </c>
      <c r="L25" s="7" t="s">
        <v>62</v>
      </c>
      <c r="M25" s="6" t="s">
        <v>31</v>
      </c>
    </row>
    <row r="26" spans="1:13" ht="14.25" customHeight="1" x14ac:dyDescent="0.35">
      <c r="A26" s="3" t="s">
        <v>98</v>
      </c>
      <c r="B26" s="3" t="s">
        <v>14</v>
      </c>
      <c r="C26" s="3" t="s">
        <v>99</v>
      </c>
      <c r="D26" s="3" t="s">
        <v>45</v>
      </c>
      <c r="E26" s="3" t="s">
        <v>49</v>
      </c>
      <c r="F26" s="3">
        <v>3128</v>
      </c>
      <c r="G26" s="3">
        <v>211</v>
      </c>
      <c r="H26" s="3">
        <v>197</v>
      </c>
      <c r="I26" s="3">
        <v>59432</v>
      </c>
      <c r="J26" s="3">
        <v>59182</v>
      </c>
      <c r="K26" s="3">
        <v>238</v>
      </c>
      <c r="L26" s="7" t="s">
        <v>37</v>
      </c>
      <c r="M26" s="6"/>
    </row>
    <row r="27" spans="1:13" ht="14.25" customHeight="1" x14ac:dyDescent="0.35">
      <c r="A27" s="3" t="s">
        <v>100</v>
      </c>
      <c r="B27" s="3" t="s">
        <v>27</v>
      </c>
      <c r="C27" s="3" t="s">
        <v>101</v>
      </c>
      <c r="D27" s="3" t="s">
        <v>16</v>
      </c>
      <c r="E27" s="3" t="s">
        <v>29</v>
      </c>
      <c r="F27" s="3">
        <v>3009</v>
      </c>
      <c r="G27" s="3">
        <v>413</v>
      </c>
      <c r="H27" s="3">
        <v>358</v>
      </c>
      <c r="I27" s="3">
        <v>42126</v>
      </c>
      <c r="J27" s="3">
        <v>41309</v>
      </c>
      <c r="K27" s="3">
        <v>211</v>
      </c>
      <c r="L27" s="7" t="s">
        <v>62</v>
      </c>
      <c r="M27" s="6" t="s">
        <v>25</v>
      </c>
    </row>
    <row r="28" spans="1:13" ht="14.25" customHeight="1" x14ac:dyDescent="0.35">
      <c r="A28" s="3" t="s">
        <v>102</v>
      </c>
      <c r="B28" s="3" t="s">
        <v>27</v>
      </c>
      <c r="C28" s="3" t="s">
        <v>103</v>
      </c>
      <c r="D28" s="3" t="s">
        <v>22</v>
      </c>
      <c r="E28" s="3" t="s">
        <v>104</v>
      </c>
      <c r="F28" s="3">
        <v>2076</v>
      </c>
      <c r="G28" s="3">
        <v>195</v>
      </c>
      <c r="H28" s="3">
        <v>104</v>
      </c>
      <c r="I28" s="3">
        <v>33216</v>
      </c>
      <c r="J28" s="3">
        <v>32244</v>
      </c>
      <c r="K28" s="3">
        <v>51</v>
      </c>
      <c r="L28" s="7" t="s">
        <v>62</v>
      </c>
      <c r="M28" s="6" t="s">
        <v>38</v>
      </c>
    </row>
    <row r="29" spans="1:13" ht="14.25" customHeight="1" x14ac:dyDescent="0.35">
      <c r="A29" s="3" t="s">
        <v>105</v>
      </c>
      <c r="B29" s="3" t="s">
        <v>33</v>
      </c>
      <c r="C29" s="3" t="s">
        <v>106</v>
      </c>
      <c r="D29" s="3" t="s">
        <v>74</v>
      </c>
      <c r="E29" s="3" t="s">
        <v>85</v>
      </c>
      <c r="F29" s="3">
        <v>432</v>
      </c>
      <c r="G29" s="3">
        <v>624</v>
      </c>
      <c r="H29" s="3">
        <v>123</v>
      </c>
      <c r="I29" s="3">
        <v>6912</v>
      </c>
      <c r="J29" s="3">
        <v>6259</v>
      </c>
      <c r="K29" s="3">
        <v>79</v>
      </c>
      <c r="L29" s="7" t="s">
        <v>62</v>
      </c>
      <c r="M29" s="6" t="s">
        <v>38</v>
      </c>
    </row>
    <row r="30" spans="1:13" ht="14.25" customHeight="1" x14ac:dyDescent="0.35">
      <c r="A30" s="3" t="s">
        <v>107</v>
      </c>
      <c r="B30" s="3" t="s">
        <v>33</v>
      </c>
      <c r="C30" s="3" t="s">
        <v>108</v>
      </c>
      <c r="D30" s="3" t="s">
        <v>45</v>
      </c>
      <c r="E30" s="3" t="s">
        <v>88</v>
      </c>
      <c r="F30" s="3">
        <v>2566</v>
      </c>
      <c r="G30" s="3">
        <v>118</v>
      </c>
      <c r="H30" s="3">
        <v>37</v>
      </c>
      <c r="I30" s="3">
        <v>12830</v>
      </c>
      <c r="J30" s="3">
        <v>12264</v>
      </c>
      <c r="K30" s="3">
        <v>221</v>
      </c>
      <c r="L30" s="7" t="s">
        <v>62</v>
      </c>
      <c r="M30" s="6" t="s">
        <v>31</v>
      </c>
    </row>
    <row r="31" spans="1:13" ht="14.25" customHeight="1" x14ac:dyDescent="0.35">
      <c r="A31" s="3" t="s">
        <v>109</v>
      </c>
      <c r="B31" s="3" t="s">
        <v>33</v>
      </c>
      <c r="C31" s="3" t="s">
        <v>110</v>
      </c>
      <c r="D31" s="3" t="s">
        <v>74</v>
      </c>
      <c r="E31" s="3" t="s">
        <v>85</v>
      </c>
      <c r="F31" s="3">
        <v>3095</v>
      </c>
      <c r="G31" s="3">
        <v>39</v>
      </c>
      <c r="H31" s="3">
        <v>78</v>
      </c>
      <c r="I31" s="3">
        <v>55710</v>
      </c>
      <c r="J31" s="3">
        <v>54808</v>
      </c>
      <c r="K31" s="3">
        <v>93</v>
      </c>
      <c r="L31" s="7" t="s">
        <v>37</v>
      </c>
      <c r="M31" s="6"/>
    </row>
    <row r="32" spans="1:13" ht="14.25" customHeight="1" x14ac:dyDescent="0.35">
      <c r="A32" s="3" t="s">
        <v>111</v>
      </c>
      <c r="B32" s="3" t="s">
        <v>33</v>
      </c>
      <c r="C32" s="3" t="s">
        <v>112</v>
      </c>
      <c r="D32" s="3" t="s">
        <v>22</v>
      </c>
      <c r="E32" s="3" t="s">
        <v>113</v>
      </c>
      <c r="F32" s="3">
        <v>438</v>
      </c>
      <c r="G32" s="3">
        <v>153</v>
      </c>
      <c r="H32" s="3">
        <v>275</v>
      </c>
      <c r="I32" s="3">
        <v>3066</v>
      </c>
      <c r="J32" s="3">
        <v>2701</v>
      </c>
      <c r="K32" s="3">
        <v>282</v>
      </c>
      <c r="L32" s="7" t="s">
        <v>30</v>
      </c>
      <c r="M32" s="6" t="s">
        <v>25</v>
      </c>
    </row>
    <row r="33" spans="1:13" ht="14.25" customHeight="1" x14ac:dyDescent="0.35">
      <c r="A33" s="3" t="s">
        <v>114</v>
      </c>
      <c r="B33" s="3" t="s">
        <v>14</v>
      </c>
      <c r="C33" s="3" t="s">
        <v>115</v>
      </c>
      <c r="D33" s="3" t="s">
        <v>45</v>
      </c>
      <c r="E33" s="3" t="s">
        <v>49</v>
      </c>
      <c r="F33" s="3">
        <v>2278</v>
      </c>
      <c r="G33" s="3">
        <v>10</v>
      </c>
      <c r="H33" s="3">
        <v>321</v>
      </c>
      <c r="I33" s="3">
        <v>13668</v>
      </c>
      <c r="J33" s="3">
        <v>12676</v>
      </c>
      <c r="K33" s="3">
        <v>275</v>
      </c>
      <c r="L33" s="7" t="s">
        <v>37</v>
      </c>
      <c r="M33" s="5" t="s">
        <v>19</v>
      </c>
    </row>
    <row r="34" spans="1:13" ht="14.25" customHeight="1" x14ac:dyDescent="0.35">
      <c r="A34" s="3" t="s">
        <v>116</v>
      </c>
      <c r="B34" s="3" t="s">
        <v>43</v>
      </c>
      <c r="C34" s="3" t="s">
        <v>117</v>
      </c>
      <c r="D34" s="3" t="s">
        <v>52</v>
      </c>
      <c r="E34" s="3" t="s">
        <v>59</v>
      </c>
      <c r="F34" s="3">
        <v>1407</v>
      </c>
      <c r="G34" s="3">
        <v>400</v>
      </c>
      <c r="H34" s="3">
        <v>351</v>
      </c>
      <c r="I34" s="3">
        <v>16884</v>
      </c>
      <c r="J34" s="3">
        <v>15954</v>
      </c>
      <c r="K34" s="3">
        <v>113</v>
      </c>
      <c r="L34" s="7" t="s">
        <v>30</v>
      </c>
      <c r="M34" s="5" t="s">
        <v>19</v>
      </c>
    </row>
    <row r="35" spans="1:13" ht="14.25" customHeight="1" x14ac:dyDescent="0.35">
      <c r="A35" s="3" t="s">
        <v>118</v>
      </c>
      <c r="B35" s="3" t="s">
        <v>43</v>
      </c>
      <c r="C35" s="3" t="s">
        <v>119</v>
      </c>
      <c r="D35" s="3" t="s">
        <v>22</v>
      </c>
      <c r="E35" s="3" t="s">
        <v>56</v>
      </c>
      <c r="F35" s="3">
        <v>1652</v>
      </c>
      <c r="G35" s="3">
        <v>89</v>
      </c>
      <c r="H35" s="3">
        <v>357</v>
      </c>
      <c r="I35" s="3">
        <v>29736</v>
      </c>
      <c r="J35" s="3">
        <v>28771</v>
      </c>
      <c r="K35" s="3">
        <v>215</v>
      </c>
      <c r="L35" s="7" t="s">
        <v>30</v>
      </c>
      <c r="M35" s="6" t="s">
        <v>31</v>
      </c>
    </row>
    <row r="36" spans="1:13" ht="14.25" customHeight="1" x14ac:dyDescent="0.35">
      <c r="A36" s="3" t="s">
        <v>120</v>
      </c>
      <c r="B36" s="3" t="s">
        <v>33</v>
      </c>
      <c r="C36" s="3" t="s">
        <v>121</v>
      </c>
      <c r="D36" s="3" t="s">
        <v>74</v>
      </c>
      <c r="E36" s="3" t="s">
        <v>85</v>
      </c>
      <c r="F36" s="3">
        <v>3775</v>
      </c>
      <c r="G36" s="3">
        <v>16</v>
      </c>
      <c r="H36" s="3">
        <v>239</v>
      </c>
      <c r="I36" s="3">
        <v>33975</v>
      </c>
      <c r="J36" s="3">
        <v>33310</v>
      </c>
      <c r="K36" s="3">
        <v>271</v>
      </c>
      <c r="L36" s="7" t="s">
        <v>62</v>
      </c>
      <c r="M36" s="6" t="s">
        <v>25</v>
      </c>
    </row>
    <row r="37" spans="1:13" ht="14.25" customHeight="1" x14ac:dyDescent="0.35">
      <c r="A37" s="3" t="s">
        <v>122</v>
      </c>
      <c r="B37" s="3" t="s">
        <v>33</v>
      </c>
      <c r="C37" s="3" t="s">
        <v>123</v>
      </c>
      <c r="D37" s="3" t="s">
        <v>35</v>
      </c>
      <c r="E37" s="3" t="s">
        <v>36</v>
      </c>
      <c r="F37" s="3">
        <v>4518</v>
      </c>
      <c r="G37" s="3">
        <v>285</v>
      </c>
      <c r="H37" s="3">
        <v>383</v>
      </c>
      <c r="I37" s="3">
        <v>67770</v>
      </c>
      <c r="J37" s="3">
        <v>67621</v>
      </c>
      <c r="K37" s="3">
        <v>31</v>
      </c>
      <c r="L37" s="7" t="s">
        <v>37</v>
      </c>
      <c r="M37" s="6" t="s">
        <v>25</v>
      </c>
    </row>
    <row r="38" spans="1:13" ht="14.25" customHeight="1" x14ac:dyDescent="0.35">
      <c r="A38" s="3" t="s">
        <v>124</v>
      </c>
      <c r="B38" s="3" t="s">
        <v>43</v>
      </c>
      <c r="C38" s="3" t="s">
        <v>125</v>
      </c>
      <c r="D38" s="3" t="s">
        <v>45</v>
      </c>
      <c r="E38" s="3" t="s">
        <v>46</v>
      </c>
      <c r="F38" s="3">
        <v>3024</v>
      </c>
      <c r="G38" s="3">
        <v>925</v>
      </c>
      <c r="H38" s="3">
        <v>350</v>
      </c>
      <c r="I38" s="3">
        <v>24192</v>
      </c>
      <c r="J38" s="3">
        <v>23518</v>
      </c>
      <c r="K38" s="3">
        <v>36</v>
      </c>
      <c r="L38" s="7" t="s">
        <v>37</v>
      </c>
      <c r="M38" s="6" t="s">
        <v>25</v>
      </c>
    </row>
    <row r="39" spans="1:13" ht="14.25" customHeight="1" x14ac:dyDescent="0.35">
      <c r="A39" s="3" t="s">
        <v>126</v>
      </c>
      <c r="B39" s="3" t="s">
        <v>27</v>
      </c>
      <c r="C39" s="3" t="s">
        <v>127</v>
      </c>
      <c r="D39" s="3" t="s">
        <v>16</v>
      </c>
      <c r="E39" s="3" t="s">
        <v>29</v>
      </c>
      <c r="F39" s="3">
        <v>3138</v>
      </c>
      <c r="G39" s="3">
        <v>123</v>
      </c>
      <c r="H39" s="3">
        <v>291</v>
      </c>
      <c r="I39" s="3">
        <v>28242</v>
      </c>
      <c r="J39" s="3">
        <v>27550</v>
      </c>
      <c r="K39" s="3">
        <v>87</v>
      </c>
      <c r="L39" s="7" t="s">
        <v>30</v>
      </c>
      <c r="M39" s="6" t="s">
        <v>38</v>
      </c>
    </row>
    <row r="40" spans="1:13" ht="14.25" customHeight="1" x14ac:dyDescent="0.35">
      <c r="A40" s="3" t="s">
        <v>128</v>
      </c>
      <c r="B40" s="3" t="s">
        <v>43</v>
      </c>
      <c r="C40" s="3" t="s">
        <v>129</v>
      </c>
      <c r="D40" s="3" t="s">
        <v>52</v>
      </c>
      <c r="E40" s="3" t="s">
        <v>59</v>
      </c>
      <c r="F40" s="3">
        <v>3564</v>
      </c>
      <c r="G40" s="3">
        <v>629</v>
      </c>
      <c r="H40" s="3">
        <v>177</v>
      </c>
      <c r="I40" s="3">
        <v>60588</v>
      </c>
      <c r="J40" s="3">
        <v>59627</v>
      </c>
      <c r="K40" s="3">
        <v>92</v>
      </c>
      <c r="L40" s="7" t="s">
        <v>30</v>
      </c>
      <c r="M40" s="6"/>
    </row>
    <row r="41" spans="1:13" ht="14.25" customHeight="1" x14ac:dyDescent="0.35">
      <c r="A41" s="3" t="s">
        <v>130</v>
      </c>
      <c r="B41" s="3" t="s">
        <v>14</v>
      </c>
      <c r="C41" s="3" t="s">
        <v>131</v>
      </c>
      <c r="D41" s="3" t="s">
        <v>52</v>
      </c>
      <c r="E41" s="3" t="s">
        <v>132</v>
      </c>
      <c r="F41" s="3">
        <v>4750</v>
      </c>
      <c r="G41" s="3">
        <v>151</v>
      </c>
      <c r="H41" s="3">
        <v>415</v>
      </c>
      <c r="I41" s="3">
        <v>38000</v>
      </c>
      <c r="J41" s="3">
        <v>37792</v>
      </c>
      <c r="K41" s="3">
        <v>299</v>
      </c>
      <c r="L41" s="7" t="s">
        <v>37</v>
      </c>
      <c r="M41" s="6" t="s">
        <v>38</v>
      </c>
    </row>
    <row r="42" spans="1:13" ht="14.25" customHeight="1" x14ac:dyDescent="0.35">
      <c r="A42" s="3" t="s">
        <v>133</v>
      </c>
      <c r="B42" s="3" t="s">
        <v>33</v>
      </c>
      <c r="C42" s="3" t="s">
        <v>134</v>
      </c>
      <c r="D42" s="3" t="s">
        <v>16</v>
      </c>
      <c r="E42" s="3" t="s">
        <v>82</v>
      </c>
      <c r="F42" s="3">
        <v>456</v>
      </c>
      <c r="G42" s="3">
        <v>629</v>
      </c>
      <c r="H42" s="3">
        <v>428</v>
      </c>
      <c r="I42" s="3">
        <v>8208</v>
      </c>
      <c r="J42" s="3">
        <v>7377</v>
      </c>
      <c r="K42" s="3">
        <v>205</v>
      </c>
      <c r="L42" s="7" t="s">
        <v>62</v>
      </c>
      <c r="M42" s="6" t="s">
        <v>38</v>
      </c>
    </row>
    <row r="43" spans="1:13" ht="14.25" customHeight="1" x14ac:dyDescent="0.35">
      <c r="A43" s="3" t="s">
        <v>135</v>
      </c>
      <c r="B43" s="3" t="s">
        <v>27</v>
      </c>
      <c r="C43" s="3" t="s">
        <v>136</v>
      </c>
      <c r="D43" s="3" t="s">
        <v>16</v>
      </c>
      <c r="E43" s="3" t="s">
        <v>29</v>
      </c>
      <c r="F43" s="3">
        <v>1543</v>
      </c>
      <c r="G43" s="3">
        <v>820</v>
      </c>
      <c r="H43" s="3">
        <v>333</v>
      </c>
      <c r="I43" s="3">
        <v>12344</v>
      </c>
      <c r="J43" s="3">
        <v>11496</v>
      </c>
      <c r="K43" s="3">
        <v>241</v>
      </c>
      <c r="L43" s="7" t="s">
        <v>37</v>
      </c>
      <c r="M43" s="6"/>
    </row>
    <row r="44" spans="1:13" ht="14.25" customHeight="1" x14ac:dyDescent="0.35">
      <c r="A44" s="3" t="s">
        <v>137</v>
      </c>
      <c r="B44" s="3" t="s">
        <v>33</v>
      </c>
      <c r="C44" s="3" t="s">
        <v>138</v>
      </c>
      <c r="D44" s="3" t="s">
        <v>45</v>
      </c>
      <c r="E44" s="3" t="s">
        <v>88</v>
      </c>
      <c r="F44" s="3">
        <v>2174</v>
      </c>
      <c r="G44" s="3">
        <v>658</v>
      </c>
      <c r="H44" s="3">
        <v>15</v>
      </c>
      <c r="I44" s="3">
        <v>13044</v>
      </c>
      <c r="J44" s="3">
        <v>12206</v>
      </c>
      <c r="K44" s="3">
        <v>137</v>
      </c>
      <c r="L44" s="7" t="s">
        <v>30</v>
      </c>
      <c r="M44" s="6" t="s">
        <v>31</v>
      </c>
    </row>
    <row r="45" spans="1:13" ht="14.25" customHeight="1" x14ac:dyDescent="0.35">
      <c r="A45" s="3" t="s">
        <v>139</v>
      </c>
      <c r="B45" s="3" t="s">
        <v>14</v>
      </c>
      <c r="C45" s="3" t="s">
        <v>140</v>
      </c>
      <c r="D45" s="3" t="s">
        <v>52</v>
      </c>
      <c r="E45" s="3" t="s">
        <v>132</v>
      </c>
      <c r="F45" s="3">
        <v>2358</v>
      </c>
      <c r="G45" s="3">
        <v>784</v>
      </c>
      <c r="H45" s="3">
        <v>344</v>
      </c>
      <c r="I45" s="3">
        <v>35370</v>
      </c>
      <c r="J45" s="3">
        <v>34475</v>
      </c>
      <c r="K45" s="3">
        <v>216</v>
      </c>
      <c r="L45" s="7" t="s">
        <v>30</v>
      </c>
      <c r="M45" s="6"/>
    </row>
    <row r="46" spans="1:13" ht="14.25" customHeight="1" x14ac:dyDescent="0.35">
      <c r="A46" s="3" t="s">
        <v>141</v>
      </c>
      <c r="B46" s="3" t="s">
        <v>43</v>
      </c>
      <c r="C46" s="3" t="s">
        <v>142</v>
      </c>
      <c r="D46" s="3" t="s">
        <v>74</v>
      </c>
      <c r="E46" s="3" t="s">
        <v>75</v>
      </c>
      <c r="F46" s="3">
        <v>3371</v>
      </c>
      <c r="G46" s="3">
        <v>106</v>
      </c>
      <c r="H46" s="3">
        <v>327</v>
      </c>
      <c r="I46" s="3">
        <v>50565</v>
      </c>
      <c r="J46" s="3">
        <v>49816</v>
      </c>
      <c r="K46" s="3">
        <v>176</v>
      </c>
      <c r="L46" s="7" t="s">
        <v>62</v>
      </c>
      <c r="M46" s="5" t="s">
        <v>19</v>
      </c>
    </row>
    <row r="47" spans="1:13" ht="14.25" customHeight="1" x14ac:dyDescent="0.35">
      <c r="A47" s="3" t="s">
        <v>143</v>
      </c>
      <c r="B47" s="3" t="s">
        <v>14</v>
      </c>
      <c r="C47" s="3" t="s">
        <v>144</v>
      </c>
      <c r="D47" s="3" t="s">
        <v>74</v>
      </c>
      <c r="E47" s="3" t="s">
        <v>145</v>
      </c>
      <c r="F47" s="3">
        <v>1108</v>
      </c>
      <c r="G47" s="3">
        <v>177</v>
      </c>
      <c r="H47" s="3">
        <v>212</v>
      </c>
      <c r="I47" s="3">
        <v>8864</v>
      </c>
      <c r="J47" s="3">
        <v>8710</v>
      </c>
      <c r="K47" s="3">
        <v>97</v>
      </c>
      <c r="L47" s="7" t="s">
        <v>30</v>
      </c>
      <c r="M47" s="6" t="s">
        <v>38</v>
      </c>
    </row>
    <row r="48" spans="1:13" ht="14.25" customHeight="1" x14ac:dyDescent="0.35">
      <c r="A48" s="3" t="s">
        <v>146</v>
      </c>
      <c r="B48" s="3" t="s">
        <v>14</v>
      </c>
      <c r="C48" s="3" t="s">
        <v>147</v>
      </c>
      <c r="D48" s="3" t="s">
        <v>45</v>
      </c>
      <c r="E48" s="3" t="s">
        <v>49</v>
      </c>
      <c r="F48" s="3">
        <v>2704</v>
      </c>
      <c r="G48" s="3">
        <v>752</v>
      </c>
      <c r="H48" s="3">
        <v>153</v>
      </c>
      <c r="I48" s="3">
        <v>21632</v>
      </c>
      <c r="J48" s="3">
        <v>20792</v>
      </c>
      <c r="K48" s="3">
        <v>127</v>
      </c>
      <c r="L48" s="7" t="s">
        <v>62</v>
      </c>
      <c r="M48" s="6"/>
    </row>
    <row r="49" spans="1:13" ht="14.25" customHeight="1" x14ac:dyDescent="0.35">
      <c r="A49" s="3" t="s">
        <v>148</v>
      </c>
      <c r="B49" s="3" t="s">
        <v>14</v>
      </c>
      <c r="C49" s="3" t="s">
        <v>58</v>
      </c>
      <c r="D49" s="3" t="s">
        <v>35</v>
      </c>
      <c r="E49" s="3" t="s">
        <v>149</v>
      </c>
      <c r="F49" s="3">
        <v>1950</v>
      </c>
      <c r="G49" s="3">
        <v>295</v>
      </c>
      <c r="H49" s="3">
        <v>478</v>
      </c>
      <c r="I49" s="3">
        <v>37050</v>
      </c>
      <c r="J49" s="3">
        <v>36272</v>
      </c>
      <c r="K49" s="3">
        <v>119</v>
      </c>
      <c r="L49" s="7" t="s">
        <v>30</v>
      </c>
      <c r="M49" s="6"/>
    </row>
    <row r="50" spans="1:13" ht="14.25" customHeight="1" x14ac:dyDescent="0.35">
      <c r="A50" s="3" t="s">
        <v>150</v>
      </c>
      <c r="B50" s="3" t="s">
        <v>14</v>
      </c>
      <c r="C50" s="3" t="s">
        <v>151</v>
      </c>
      <c r="D50" s="3" t="s">
        <v>35</v>
      </c>
      <c r="E50" s="3" t="s">
        <v>149</v>
      </c>
      <c r="F50" s="3">
        <v>2164</v>
      </c>
      <c r="G50" s="3">
        <v>549</v>
      </c>
      <c r="H50" s="3">
        <v>274</v>
      </c>
      <c r="I50" s="3">
        <v>28132</v>
      </c>
      <c r="J50" s="3">
        <v>27361</v>
      </c>
      <c r="K50" s="3">
        <v>177</v>
      </c>
      <c r="L50" s="7" t="s">
        <v>30</v>
      </c>
      <c r="M50" s="6" t="s">
        <v>38</v>
      </c>
    </row>
    <row r="51" spans="1:13" ht="14.25" customHeight="1" x14ac:dyDescent="0.35">
      <c r="A51" s="3" t="s">
        <v>152</v>
      </c>
      <c r="B51" s="3" t="s">
        <v>27</v>
      </c>
      <c r="C51" s="3" t="s">
        <v>153</v>
      </c>
      <c r="D51" s="3" t="s">
        <v>35</v>
      </c>
      <c r="E51" s="3" t="s">
        <v>154</v>
      </c>
      <c r="F51" s="3">
        <v>2754</v>
      </c>
      <c r="G51" s="3">
        <v>130</v>
      </c>
      <c r="H51" s="3">
        <v>90</v>
      </c>
      <c r="I51" s="3">
        <v>22032</v>
      </c>
      <c r="J51" s="3">
        <v>21288</v>
      </c>
      <c r="K51" s="3">
        <v>112</v>
      </c>
      <c r="L51" s="7" t="s">
        <v>30</v>
      </c>
      <c r="M51" s="6" t="s">
        <v>31</v>
      </c>
    </row>
    <row r="52" spans="1:13" ht="14.25" customHeight="1" x14ac:dyDescent="0.35">
      <c r="A52" s="3" t="s">
        <v>155</v>
      </c>
      <c r="B52" s="3" t="s">
        <v>43</v>
      </c>
      <c r="C52" s="3" t="s">
        <v>156</v>
      </c>
      <c r="D52" s="3" t="s">
        <v>45</v>
      </c>
      <c r="E52" s="3" t="s">
        <v>46</v>
      </c>
      <c r="F52" s="3">
        <v>2200</v>
      </c>
      <c r="G52" s="3">
        <v>504</v>
      </c>
      <c r="H52" s="3">
        <v>239</v>
      </c>
      <c r="I52" s="3">
        <v>37400</v>
      </c>
      <c r="J52" s="3">
        <v>36938</v>
      </c>
      <c r="K52" s="3">
        <v>225</v>
      </c>
      <c r="L52" s="7" t="s">
        <v>62</v>
      </c>
      <c r="M52" s="6" t="s">
        <v>25</v>
      </c>
    </row>
    <row r="53" spans="1:13" ht="14.25" customHeight="1" x14ac:dyDescent="0.35">
      <c r="A53" s="3" t="s">
        <v>157</v>
      </c>
      <c r="B53" s="3" t="s">
        <v>43</v>
      </c>
      <c r="C53" s="3" t="s">
        <v>158</v>
      </c>
      <c r="D53" s="3" t="s">
        <v>52</v>
      </c>
      <c r="E53" s="3" t="s">
        <v>59</v>
      </c>
      <c r="F53" s="3">
        <v>947</v>
      </c>
      <c r="G53" s="3">
        <v>338</v>
      </c>
      <c r="H53" s="3">
        <v>350</v>
      </c>
      <c r="I53" s="3">
        <v>10417</v>
      </c>
      <c r="J53" s="3">
        <v>9730</v>
      </c>
      <c r="K53" s="3">
        <v>34</v>
      </c>
      <c r="L53" s="7" t="s">
        <v>30</v>
      </c>
      <c r="M53" s="6" t="s">
        <v>38</v>
      </c>
    </row>
    <row r="54" spans="1:13" ht="14.25" customHeight="1" x14ac:dyDescent="0.35">
      <c r="A54" s="3" t="s">
        <v>159</v>
      </c>
      <c r="B54" s="3" t="s">
        <v>27</v>
      </c>
      <c r="C54" s="3" t="s">
        <v>147</v>
      </c>
      <c r="D54" s="3" t="s">
        <v>45</v>
      </c>
      <c r="E54" s="3" t="s">
        <v>68</v>
      </c>
      <c r="F54" s="3">
        <v>804</v>
      </c>
      <c r="G54" s="3">
        <v>639</v>
      </c>
      <c r="H54" s="3">
        <v>43</v>
      </c>
      <c r="I54" s="3">
        <v>4020</v>
      </c>
      <c r="J54" s="3">
        <v>3144</v>
      </c>
      <c r="K54" s="3">
        <v>11</v>
      </c>
      <c r="L54" s="4" t="s">
        <v>160</v>
      </c>
      <c r="M54" s="6"/>
    </row>
    <row r="55" spans="1:13" ht="14.25" customHeight="1" x14ac:dyDescent="0.35">
      <c r="A55" s="3" t="s">
        <v>161</v>
      </c>
      <c r="B55" s="3" t="s">
        <v>27</v>
      </c>
      <c r="C55" s="3" t="s">
        <v>162</v>
      </c>
      <c r="D55" s="3" t="s">
        <v>45</v>
      </c>
      <c r="E55" s="3" t="s">
        <v>68</v>
      </c>
      <c r="F55" s="3">
        <v>1686</v>
      </c>
      <c r="G55" s="3">
        <v>904</v>
      </c>
      <c r="H55" s="3">
        <v>472</v>
      </c>
      <c r="I55" s="3">
        <v>18546</v>
      </c>
      <c r="J55" s="3">
        <v>18171</v>
      </c>
      <c r="K55" s="3">
        <v>52</v>
      </c>
      <c r="L55" s="7" t="s">
        <v>62</v>
      </c>
      <c r="M55" s="6" t="s">
        <v>25</v>
      </c>
    </row>
    <row r="56" spans="1:13" ht="14.25" customHeight="1" x14ac:dyDescent="0.35">
      <c r="A56" s="3" t="s">
        <v>163</v>
      </c>
      <c r="B56" s="3" t="s">
        <v>43</v>
      </c>
      <c r="C56" s="3" t="s">
        <v>164</v>
      </c>
      <c r="D56" s="3" t="s">
        <v>52</v>
      </c>
      <c r="E56" s="3" t="s">
        <v>59</v>
      </c>
      <c r="F56" s="3">
        <v>1226</v>
      </c>
      <c r="G56" s="3">
        <v>119</v>
      </c>
      <c r="H56" s="3">
        <v>7</v>
      </c>
      <c r="I56" s="3">
        <v>14712</v>
      </c>
      <c r="J56" s="3">
        <v>14049</v>
      </c>
      <c r="K56" s="3">
        <v>123</v>
      </c>
      <c r="L56" s="7" t="s">
        <v>37</v>
      </c>
      <c r="M56" s="6" t="s">
        <v>38</v>
      </c>
    </row>
    <row r="57" spans="1:13" ht="14.25" customHeight="1" x14ac:dyDescent="0.35">
      <c r="A57" s="3" t="s">
        <v>165</v>
      </c>
      <c r="B57" s="3" t="s">
        <v>43</v>
      </c>
      <c r="C57" s="3" t="s">
        <v>166</v>
      </c>
      <c r="D57" s="3" t="s">
        <v>45</v>
      </c>
      <c r="E57" s="3" t="s">
        <v>46</v>
      </c>
      <c r="F57" s="3">
        <v>2946</v>
      </c>
      <c r="G57" s="3">
        <v>498</v>
      </c>
      <c r="H57" s="3">
        <v>367</v>
      </c>
      <c r="I57" s="3">
        <v>29460</v>
      </c>
      <c r="J57" s="3">
        <v>28527</v>
      </c>
      <c r="K57" s="3">
        <v>60</v>
      </c>
      <c r="L57" s="7" t="s">
        <v>62</v>
      </c>
      <c r="M57" s="6" t="s">
        <v>31</v>
      </c>
    </row>
    <row r="58" spans="1:13" ht="14.25" customHeight="1" x14ac:dyDescent="0.35">
      <c r="A58" s="3" t="s">
        <v>167</v>
      </c>
      <c r="B58" s="3" t="s">
        <v>14</v>
      </c>
      <c r="C58" s="3" t="s">
        <v>168</v>
      </c>
      <c r="D58" s="3" t="s">
        <v>74</v>
      </c>
      <c r="E58" s="3" t="s">
        <v>145</v>
      </c>
      <c r="F58" s="3">
        <v>2825</v>
      </c>
      <c r="G58" s="3">
        <v>535</v>
      </c>
      <c r="H58" s="3">
        <v>295</v>
      </c>
      <c r="I58" s="3">
        <v>45200</v>
      </c>
      <c r="J58" s="3">
        <v>44739</v>
      </c>
      <c r="K58" s="3">
        <v>169</v>
      </c>
      <c r="L58" s="7" t="s">
        <v>30</v>
      </c>
      <c r="M58" s="5" t="s">
        <v>19</v>
      </c>
    </row>
    <row r="59" spans="1:13" ht="14.25" customHeight="1" x14ac:dyDescent="0.35">
      <c r="A59" s="3" t="s">
        <v>169</v>
      </c>
      <c r="B59" s="3" t="s">
        <v>33</v>
      </c>
      <c r="C59" s="3" t="s">
        <v>170</v>
      </c>
      <c r="D59" s="3" t="s">
        <v>16</v>
      </c>
      <c r="E59" s="3" t="s">
        <v>82</v>
      </c>
      <c r="F59" s="3">
        <v>103</v>
      </c>
      <c r="G59" s="3">
        <v>770</v>
      </c>
      <c r="H59" s="3">
        <v>19</v>
      </c>
      <c r="I59" s="3">
        <v>1030</v>
      </c>
      <c r="J59" s="3">
        <v>410</v>
      </c>
      <c r="K59" s="3">
        <v>262</v>
      </c>
      <c r="L59" s="7" t="s">
        <v>30</v>
      </c>
      <c r="M59" s="6" t="s">
        <v>38</v>
      </c>
    </row>
    <row r="60" spans="1:13" ht="14.25" customHeight="1" x14ac:dyDescent="0.35">
      <c r="A60" s="3" t="s">
        <v>171</v>
      </c>
      <c r="B60" s="3" t="s">
        <v>33</v>
      </c>
      <c r="C60" s="3" t="s">
        <v>172</v>
      </c>
      <c r="D60" s="3" t="s">
        <v>22</v>
      </c>
      <c r="E60" s="3" t="s">
        <v>113</v>
      </c>
      <c r="F60" s="3">
        <v>2180</v>
      </c>
      <c r="G60" s="3">
        <v>263</v>
      </c>
      <c r="H60" s="3">
        <v>387</v>
      </c>
      <c r="I60" s="3">
        <v>30520</v>
      </c>
      <c r="J60" s="3">
        <v>30059</v>
      </c>
      <c r="K60" s="3">
        <v>174</v>
      </c>
      <c r="L60" s="7" t="s">
        <v>37</v>
      </c>
      <c r="M60" s="6"/>
    </row>
    <row r="61" spans="1:13" ht="14.25" customHeight="1" x14ac:dyDescent="0.35">
      <c r="A61" s="3" t="s">
        <v>173</v>
      </c>
      <c r="B61" s="3" t="s">
        <v>33</v>
      </c>
      <c r="C61" s="3" t="s">
        <v>174</v>
      </c>
      <c r="D61" s="3" t="s">
        <v>74</v>
      </c>
      <c r="E61" s="3" t="s">
        <v>85</v>
      </c>
      <c r="F61" s="3">
        <v>904</v>
      </c>
      <c r="G61" s="3">
        <v>973</v>
      </c>
      <c r="H61" s="3">
        <v>63</v>
      </c>
      <c r="I61" s="3">
        <v>11752</v>
      </c>
      <c r="J61" s="3">
        <v>11580</v>
      </c>
      <c r="K61" s="3">
        <v>84</v>
      </c>
      <c r="L61" s="4" t="s">
        <v>175</v>
      </c>
      <c r="M61" s="6" t="s">
        <v>31</v>
      </c>
    </row>
    <row r="62" spans="1:13" ht="14.25" customHeight="1" x14ac:dyDescent="0.35">
      <c r="A62" s="3" t="s">
        <v>176</v>
      </c>
      <c r="B62" s="3" t="s">
        <v>14</v>
      </c>
      <c r="C62" s="3" t="s">
        <v>177</v>
      </c>
      <c r="D62" s="3" t="s">
        <v>74</v>
      </c>
      <c r="E62" s="3" t="s">
        <v>145</v>
      </c>
      <c r="F62" s="3">
        <v>4886</v>
      </c>
      <c r="G62" s="3">
        <v>983</v>
      </c>
      <c r="H62" s="3">
        <v>409</v>
      </c>
      <c r="I62" s="3">
        <v>43974</v>
      </c>
      <c r="J62" s="3">
        <v>43239</v>
      </c>
      <c r="K62" s="3">
        <v>65</v>
      </c>
      <c r="L62" s="7" t="s">
        <v>30</v>
      </c>
      <c r="M62" s="5" t="s">
        <v>19</v>
      </c>
    </row>
    <row r="63" spans="1:13" ht="14.25" customHeight="1" x14ac:dyDescent="0.35">
      <c r="A63" s="3" t="s">
        <v>178</v>
      </c>
      <c r="B63" s="3" t="s">
        <v>14</v>
      </c>
      <c r="C63" s="3" t="s">
        <v>179</v>
      </c>
      <c r="D63" s="3" t="s">
        <v>45</v>
      </c>
      <c r="E63" s="3" t="s">
        <v>49</v>
      </c>
      <c r="F63" s="3">
        <v>53</v>
      </c>
      <c r="G63" s="3">
        <v>81</v>
      </c>
      <c r="H63" s="3">
        <v>379</v>
      </c>
      <c r="I63" s="3">
        <v>954</v>
      </c>
      <c r="J63" s="3">
        <v>7</v>
      </c>
      <c r="K63" s="3">
        <v>148</v>
      </c>
      <c r="L63" s="7" t="s">
        <v>30</v>
      </c>
      <c r="M63" s="6" t="s">
        <v>31</v>
      </c>
    </row>
    <row r="64" spans="1:13" ht="14.25" customHeight="1" x14ac:dyDescent="0.35">
      <c r="A64" s="3" t="s">
        <v>180</v>
      </c>
      <c r="B64" s="3" t="s">
        <v>14</v>
      </c>
      <c r="C64" s="3" t="s">
        <v>115</v>
      </c>
      <c r="D64" s="3" t="s">
        <v>45</v>
      </c>
      <c r="E64" s="3" t="s">
        <v>49</v>
      </c>
      <c r="F64" s="3">
        <v>4507</v>
      </c>
      <c r="G64" s="3">
        <v>217</v>
      </c>
      <c r="H64" s="3">
        <v>13</v>
      </c>
      <c r="I64" s="3">
        <v>90140</v>
      </c>
      <c r="J64" s="3">
        <v>89591</v>
      </c>
      <c r="K64" s="3">
        <v>125</v>
      </c>
      <c r="L64" s="7" t="s">
        <v>62</v>
      </c>
      <c r="M64" s="6" t="s">
        <v>31</v>
      </c>
    </row>
    <row r="65" spans="1:13" ht="14.25" customHeight="1" x14ac:dyDescent="0.35">
      <c r="A65" s="3" t="s">
        <v>181</v>
      </c>
      <c r="B65" s="3" t="s">
        <v>43</v>
      </c>
      <c r="C65" s="3" t="s">
        <v>182</v>
      </c>
      <c r="D65" s="3" t="s">
        <v>52</v>
      </c>
      <c r="E65" s="3" t="s">
        <v>59</v>
      </c>
      <c r="F65" s="3">
        <v>2878</v>
      </c>
      <c r="G65" s="3">
        <v>248</v>
      </c>
      <c r="H65" s="3">
        <v>416</v>
      </c>
      <c r="I65" s="3">
        <v>43170</v>
      </c>
      <c r="J65" s="3">
        <v>42667</v>
      </c>
      <c r="K65" s="3">
        <v>75</v>
      </c>
      <c r="L65" s="7" t="s">
        <v>62</v>
      </c>
      <c r="M65" s="6" t="s">
        <v>31</v>
      </c>
    </row>
    <row r="66" spans="1:13" ht="14.25" customHeight="1" x14ac:dyDescent="0.35">
      <c r="A66" s="3" t="s">
        <v>183</v>
      </c>
      <c r="B66" s="3" t="s">
        <v>33</v>
      </c>
      <c r="C66" s="3" t="s">
        <v>184</v>
      </c>
      <c r="D66" s="3" t="s">
        <v>35</v>
      </c>
      <c r="E66" s="3" t="s">
        <v>36</v>
      </c>
      <c r="F66" s="3">
        <v>1881</v>
      </c>
      <c r="G66" s="3">
        <v>501</v>
      </c>
      <c r="H66" s="3">
        <v>99</v>
      </c>
      <c r="I66" s="3">
        <v>20691</v>
      </c>
      <c r="J66" s="3">
        <v>19987</v>
      </c>
      <c r="K66" s="3">
        <v>289</v>
      </c>
      <c r="L66" s="7" t="s">
        <v>37</v>
      </c>
      <c r="M66" s="6"/>
    </row>
    <row r="67" spans="1:13" ht="14.25" customHeight="1" x14ac:dyDescent="0.35">
      <c r="A67" s="3" t="s">
        <v>185</v>
      </c>
      <c r="B67" s="3" t="s">
        <v>14</v>
      </c>
      <c r="C67" s="3" t="s">
        <v>186</v>
      </c>
      <c r="D67" s="3" t="s">
        <v>45</v>
      </c>
      <c r="E67" s="3" t="s">
        <v>49</v>
      </c>
      <c r="F67" s="3">
        <v>432</v>
      </c>
      <c r="G67" s="3">
        <v>171</v>
      </c>
      <c r="H67" s="3">
        <v>280</v>
      </c>
      <c r="I67" s="3">
        <v>3024</v>
      </c>
      <c r="J67" s="3">
        <v>2285</v>
      </c>
      <c r="K67" s="3">
        <v>184</v>
      </c>
      <c r="L67" s="7" t="s">
        <v>37</v>
      </c>
      <c r="M67" s="5" t="s">
        <v>19</v>
      </c>
    </row>
    <row r="68" spans="1:13" ht="14.25" customHeight="1" x14ac:dyDescent="0.35">
      <c r="A68" s="3" t="s">
        <v>187</v>
      </c>
      <c r="B68" s="3" t="s">
        <v>43</v>
      </c>
      <c r="C68" s="3" t="s">
        <v>188</v>
      </c>
      <c r="D68" s="3" t="s">
        <v>45</v>
      </c>
      <c r="E68" s="3" t="s">
        <v>46</v>
      </c>
      <c r="F68" s="3">
        <v>4712</v>
      </c>
      <c r="G68" s="3">
        <v>568</v>
      </c>
      <c r="H68" s="3">
        <v>127</v>
      </c>
      <c r="I68" s="3">
        <v>84816</v>
      </c>
      <c r="J68" s="3">
        <v>84691</v>
      </c>
      <c r="K68" s="3">
        <v>100</v>
      </c>
      <c r="L68" s="7" t="s">
        <v>37</v>
      </c>
      <c r="M68" s="6" t="s">
        <v>31</v>
      </c>
    </row>
    <row r="69" spans="1:13" ht="14.25" customHeight="1" x14ac:dyDescent="0.35">
      <c r="A69" s="3" t="s">
        <v>189</v>
      </c>
      <c r="B69" s="3" t="s">
        <v>33</v>
      </c>
      <c r="C69" s="3" t="s">
        <v>190</v>
      </c>
      <c r="D69" s="3" t="s">
        <v>35</v>
      </c>
      <c r="E69" s="3" t="s">
        <v>36</v>
      </c>
      <c r="F69" s="3">
        <v>2610</v>
      </c>
      <c r="G69" s="3">
        <v>126</v>
      </c>
      <c r="H69" s="3">
        <v>288</v>
      </c>
      <c r="I69" s="3">
        <v>15660</v>
      </c>
      <c r="J69" s="3">
        <v>15145</v>
      </c>
      <c r="K69" s="3">
        <v>73</v>
      </c>
      <c r="L69" s="7" t="s">
        <v>37</v>
      </c>
      <c r="M69" s="6"/>
    </row>
    <row r="70" spans="1:13" ht="14.25" customHeight="1" x14ac:dyDescent="0.35">
      <c r="A70" s="3" t="s">
        <v>191</v>
      </c>
      <c r="B70" s="3" t="s">
        <v>14</v>
      </c>
      <c r="C70" s="3" t="s">
        <v>134</v>
      </c>
      <c r="D70" s="3" t="s">
        <v>22</v>
      </c>
      <c r="E70" s="3" t="s">
        <v>23</v>
      </c>
      <c r="F70" s="3">
        <v>1292</v>
      </c>
      <c r="G70" s="3">
        <v>626</v>
      </c>
      <c r="H70" s="3">
        <v>496</v>
      </c>
      <c r="I70" s="3">
        <v>25840</v>
      </c>
      <c r="J70" s="3">
        <v>24916</v>
      </c>
      <c r="K70" s="3">
        <v>149</v>
      </c>
      <c r="L70" s="7" t="s">
        <v>62</v>
      </c>
      <c r="M70" s="6" t="s">
        <v>31</v>
      </c>
    </row>
    <row r="71" spans="1:13" ht="14.25" customHeight="1" x14ac:dyDescent="0.35">
      <c r="A71" s="3" t="s">
        <v>192</v>
      </c>
      <c r="B71" s="3" t="s">
        <v>43</v>
      </c>
      <c r="C71" s="3" t="s">
        <v>193</v>
      </c>
      <c r="D71" s="3" t="s">
        <v>74</v>
      </c>
      <c r="E71" s="3" t="s">
        <v>75</v>
      </c>
      <c r="F71" s="3">
        <v>199</v>
      </c>
      <c r="G71" s="3">
        <v>772</v>
      </c>
      <c r="H71" s="3">
        <v>400</v>
      </c>
      <c r="I71" s="3">
        <v>3582</v>
      </c>
      <c r="J71" s="3">
        <v>2988</v>
      </c>
      <c r="K71" s="3">
        <v>43</v>
      </c>
      <c r="L71" s="7" t="s">
        <v>30</v>
      </c>
      <c r="M71" s="6"/>
    </row>
    <row r="72" spans="1:13" ht="14.25" customHeight="1" x14ac:dyDescent="0.35">
      <c r="A72" s="3" t="s">
        <v>194</v>
      </c>
      <c r="B72" s="3" t="s">
        <v>27</v>
      </c>
      <c r="C72" s="3" t="s">
        <v>195</v>
      </c>
      <c r="D72" s="3" t="s">
        <v>45</v>
      </c>
      <c r="E72" s="3" t="s">
        <v>68</v>
      </c>
      <c r="F72" s="3">
        <v>2551</v>
      </c>
      <c r="G72" s="3">
        <v>915</v>
      </c>
      <c r="H72" s="3">
        <v>205</v>
      </c>
      <c r="I72" s="3">
        <v>30612</v>
      </c>
      <c r="J72" s="3">
        <v>30360</v>
      </c>
      <c r="K72" s="3">
        <v>227</v>
      </c>
      <c r="L72" s="7" t="s">
        <v>30</v>
      </c>
      <c r="M72" s="6" t="s">
        <v>25</v>
      </c>
    </row>
    <row r="73" spans="1:13" ht="14.25" customHeight="1" x14ac:dyDescent="0.35">
      <c r="A73" s="3" t="s">
        <v>196</v>
      </c>
      <c r="B73" s="3" t="s">
        <v>27</v>
      </c>
      <c r="C73" s="3" t="s">
        <v>197</v>
      </c>
      <c r="D73" s="3" t="s">
        <v>16</v>
      </c>
      <c r="E73" s="3" t="s">
        <v>29</v>
      </c>
      <c r="F73" s="3">
        <v>296</v>
      </c>
      <c r="G73" s="3">
        <v>60</v>
      </c>
      <c r="H73" s="3">
        <v>141</v>
      </c>
      <c r="I73" s="3">
        <v>5624</v>
      </c>
      <c r="J73" s="3">
        <v>5239</v>
      </c>
      <c r="K73" s="3">
        <v>88</v>
      </c>
      <c r="L73" s="7" t="s">
        <v>37</v>
      </c>
      <c r="M73" s="6" t="s">
        <v>25</v>
      </c>
    </row>
    <row r="74" spans="1:13" ht="14.25" customHeight="1" x14ac:dyDescent="0.35">
      <c r="A74" s="3" t="s">
        <v>198</v>
      </c>
      <c r="B74" s="3" t="s">
        <v>43</v>
      </c>
      <c r="C74" s="3" t="s">
        <v>199</v>
      </c>
      <c r="D74" s="3" t="s">
        <v>35</v>
      </c>
      <c r="E74" s="3" t="s">
        <v>71</v>
      </c>
      <c r="F74" s="3">
        <v>4126</v>
      </c>
      <c r="G74" s="3">
        <v>426</v>
      </c>
      <c r="H74" s="3">
        <v>486</v>
      </c>
      <c r="I74" s="3">
        <v>78394</v>
      </c>
      <c r="J74" s="3">
        <v>77798</v>
      </c>
      <c r="K74" s="3">
        <v>88</v>
      </c>
      <c r="L74" s="7" t="s">
        <v>62</v>
      </c>
      <c r="M74" s="6" t="s">
        <v>38</v>
      </c>
    </row>
    <row r="75" spans="1:13" ht="14.25" customHeight="1" x14ac:dyDescent="0.35">
      <c r="A75" s="3" t="s">
        <v>200</v>
      </c>
      <c r="B75" s="3" t="s">
        <v>27</v>
      </c>
      <c r="C75" s="3" t="s">
        <v>201</v>
      </c>
      <c r="D75" s="3" t="s">
        <v>16</v>
      </c>
      <c r="E75" s="3" t="s">
        <v>29</v>
      </c>
      <c r="F75" s="3">
        <v>1855</v>
      </c>
      <c r="G75" s="3">
        <v>200</v>
      </c>
      <c r="H75" s="3">
        <v>174</v>
      </c>
      <c r="I75" s="3">
        <v>16695</v>
      </c>
      <c r="J75" s="3">
        <v>16330</v>
      </c>
      <c r="K75" s="3">
        <v>123</v>
      </c>
      <c r="L75" s="7" t="s">
        <v>30</v>
      </c>
      <c r="M75" s="6" t="s">
        <v>31</v>
      </c>
    </row>
    <row r="76" spans="1:13" ht="14.25" customHeight="1" x14ac:dyDescent="0.35">
      <c r="A76" s="3" t="s">
        <v>202</v>
      </c>
      <c r="B76" s="3" t="s">
        <v>33</v>
      </c>
      <c r="C76" s="3" t="s">
        <v>203</v>
      </c>
      <c r="D76" s="3" t="s">
        <v>16</v>
      </c>
      <c r="E76" s="3" t="s">
        <v>82</v>
      </c>
      <c r="F76" s="3">
        <v>1674</v>
      </c>
      <c r="G76" s="3">
        <v>929</v>
      </c>
      <c r="H76" s="3">
        <v>37</v>
      </c>
      <c r="I76" s="3">
        <v>21762</v>
      </c>
      <c r="J76" s="3">
        <v>20998</v>
      </c>
      <c r="K76" s="3">
        <v>255</v>
      </c>
      <c r="L76" s="7" t="s">
        <v>30</v>
      </c>
      <c r="M76" s="6" t="s">
        <v>38</v>
      </c>
    </row>
    <row r="77" spans="1:13" ht="14.25" customHeight="1" x14ac:dyDescent="0.35">
      <c r="A77" s="3" t="s">
        <v>204</v>
      </c>
      <c r="B77" s="3" t="s">
        <v>14</v>
      </c>
      <c r="C77" s="3" t="s">
        <v>205</v>
      </c>
      <c r="D77" s="3" t="s">
        <v>35</v>
      </c>
      <c r="E77" s="3" t="s">
        <v>149</v>
      </c>
      <c r="F77" s="3">
        <v>1121</v>
      </c>
      <c r="G77" s="3">
        <v>135</v>
      </c>
      <c r="H77" s="3">
        <v>18</v>
      </c>
      <c r="I77" s="3">
        <v>15694</v>
      </c>
      <c r="J77" s="3">
        <v>14957</v>
      </c>
      <c r="K77" s="3">
        <v>99</v>
      </c>
      <c r="L77" s="7" t="s">
        <v>30</v>
      </c>
      <c r="M77" s="6" t="s">
        <v>38</v>
      </c>
    </row>
    <row r="78" spans="1:13" ht="14.25" customHeight="1" x14ac:dyDescent="0.35">
      <c r="A78" s="3" t="s">
        <v>206</v>
      </c>
      <c r="B78" s="3" t="s">
        <v>43</v>
      </c>
      <c r="C78" s="3" t="s">
        <v>106</v>
      </c>
      <c r="D78" s="3" t="s">
        <v>35</v>
      </c>
      <c r="E78" s="3" t="s">
        <v>71</v>
      </c>
      <c r="F78" s="3">
        <v>1249</v>
      </c>
      <c r="G78" s="3">
        <v>116</v>
      </c>
      <c r="H78" s="3">
        <v>420</v>
      </c>
      <c r="I78" s="3">
        <v>8743</v>
      </c>
      <c r="J78" s="3">
        <v>8538</v>
      </c>
      <c r="K78" s="3">
        <v>63</v>
      </c>
      <c r="L78" s="7" t="s">
        <v>30</v>
      </c>
      <c r="M78" s="6"/>
    </row>
    <row r="79" spans="1:13" ht="14.25" customHeight="1" x14ac:dyDescent="0.35">
      <c r="A79" s="3" t="s">
        <v>207</v>
      </c>
      <c r="B79" s="3" t="s">
        <v>14</v>
      </c>
      <c r="C79" s="3" t="s">
        <v>164</v>
      </c>
      <c r="D79" s="3" t="s">
        <v>52</v>
      </c>
      <c r="E79" s="3" t="s">
        <v>132</v>
      </c>
      <c r="F79" s="3">
        <v>954</v>
      </c>
      <c r="G79" s="3">
        <v>324</v>
      </c>
      <c r="H79" s="3">
        <v>288</v>
      </c>
      <c r="I79" s="3">
        <v>19080</v>
      </c>
      <c r="J79" s="3">
        <v>18859</v>
      </c>
      <c r="K79" s="3">
        <v>21</v>
      </c>
      <c r="L79" s="7" t="s">
        <v>62</v>
      </c>
      <c r="M79" s="6" t="s">
        <v>38</v>
      </c>
    </row>
    <row r="80" spans="1:13" ht="14.25" customHeight="1" x14ac:dyDescent="0.35">
      <c r="A80" s="3" t="s">
        <v>208</v>
      </c>
      <c r="B80" s="3" t="s">
        <v>33</v>
      </c>
      <c r="C80" s="3" t="s">
        <v>209</v>
      </c>
      <c r="D80" s="3" t="s">
        <v>45</v>
      </c>
      <c r="E80" s="3" t="s">
        <v>88</v>
      </c>
      <c r="F80" s="3">
        <v>3068</v>
      </c>
      <c r="G80" s="3">
        <v>137</v>
      </c>
      <c r="H80" s="3">
        <v>329</v>
      </c>
      <c r="I80" s="3">
        <v>39884</v>
      </c>
      <c r="J80" s="3">
        <v>39404</v>
      </c>
      <c r="K80" s="3">
        <v>266</v>
      </c>
      <c r="L80" s="7" t="s">
        <v>37</v>
      </c>
      <c r="M80" s="6" t="s">
        <v>25</v>
      </c>
    </row>
    <row r="81" spans="1:13" ht="14.25" customHeight="1" x14ac:dyDescent="0.35">
      <c r="A81" s="3" t="s">
        <v>210</v>
      </c>
      <c r="B81" s="3" t="s">
        <v>33</v>
      </c>
      <c r="C81" s="3" t="s">
        <v>156</v>
      </c>
      <c r="D81" s="3" t="s">
        <v>35</v>
      </c>
      <c r="E81" s="3" t="s">
        <v>36</v>
      </c>
      <c r="F81" s="3">
        <v>2103</v>
      </c>
      <c r="G81" s="3">
        <v>892</v>
      </c>
      <c r="H81" s="3">
        <v>103</v>
      </c>
      <c r="I81" s="3">
        <v>39957</v>
      </c>
      <c r="J81" s="3">
        <v>39466</v>
      </c>
      <c r="K81" s="3">
        <v>28</v>
      </c>
      <c r="L81" s="7" t="s">
        <v>62</v>
      </c>
      <c r="M81" s="6"/>
    </row>
    <row r="82" spans="1:13" ht="14.25" customHeight="1" x14ac:dyDescent="0.35">
      <c r="A82" s="3" t="s">
        <v>211</v>
      </c>
      <c r="B82" s="3" t="s">
        <v>33</v>
      </c>
      <c r="C82" s="3" t="s">
        <v>212</v>
      </c>
      <c r="D82" s="3" t="s">
        <v>35</v>
      </c>
      <c r="E82" s="3" t="s">
        <v>36</v>
      </c>
      <c r="F82" s="3">
        <v>1816</v>
      </c>
      <c r="G82" s="3">
        <v>29</v>
      </c>
      <c r="H82" s="3">
        <v>41</v>
      </c>
      <c r="I82" s="3">
        <v>19976</v>
      </c>
      <c r="J82" s="3">
        <v>19262</v>
      </c>
      <c r="K82" s="3">
        <v>283</v>
      </c>
      <c r="L82" s="7" t="s">
        <v>30</v>
      </c>
      <c r="M82" s="6" t="s">
        <v>31</v>
      </c>
    </row>
    <row r="83" spans="1:13" ht="14.25" customHeight="1" x14ac:dyDescent="0.35">
      <c r="A83" s="3" t="s">
        <v>213</v>
      </c>
      <c r="B83" s="3" t="s">
        <v>33</v>
      </c>
      <c r="C83" s="3" t="s">
        <v>214</v>
      </c>
      <c r="D83" s="3" t="s">
        <v>52</v>
      </c>
      <c r="E83" s="3" t="s">
        <v>215</v>
      </c>
      <c r="F83" s="3">
        <v>725</v>
      </c>
      <c r="G83" s="3">
        <v>88</v>
      </c>
      <c r="H83" s="3">
        <v>428</v>
      </c>
      <c r="I83" s="3">
        <v>14500</v>
      </c>
      <c r="J83" s="3">
        <v>13637</v>
      </c>
      <c r="K83" s="3">
        <v>200</v>
      </c>
      <c r="L83" s="4" t="s">
        <v>216</v>
      </c>
      <c r="M83" s="6" t="s">
        <v>31</v>
      </c>
    </row>
    <row r="84" spans="1:13" ht="14.25" customHeight="1" x14ac:dyDescent="0.35">
      <c r="A84" s="3" t="s">
        <v>217</v>
      </c>
      <c r="B84" s="3" t="s">
        <v>27</v>
      </c>
      <c r="C84" s="3" t="s">
        <v>218</v>
      </c>
      <c r="D84" s="3" t="s">
        <v>74</v>
      </c>
      <c r="E84" s="3" t="s">
        <v>219</v>
      </c>
      <c r="F84" s="3">
        <v>1094</v>
      </c>
      <c r="G84" s="3">
        <v>472</v>
      </c>
      <c r="H84" s="3">
        <v>21</v>
      </c>
      <c r="I84" s="3">
        <v>9846</v>
      </c>
      <c r="J84" s="3">
        <v>9609</v>
      </c>
      <c r="K84" s="3">
        <v>112</v>
      </c>
      <c r="L84" s="7" t="s">
        <v>37</v>
      </c>
      <c r="M84" s="6"/>
    </row>
    <row r="85" spans="1:13" ht="14.25" customHeight="1" x14ac:dyDescent="0.35">
      <c r="A85" s="3" t="s">
        <v>220</v>
      </c>
      <c r="B85" s="3" t="s">
        <v>43</v>
      </c>
      <c r="C85" s="3" t="s">
        <v>221</v>
      </c>
      <c r="D85" s="3" t="s">
        <v>52</v>
      </c>
      <c r="E85" s="3" t="s">
        <v>59</v>
      </c>
      <c r="F85" s="3">
        <v>1841</v>
      </c>
      <c r="G85" s="3">
        <v>851</v>
      </c>
      <c r="H85" s="3">
        <v>342</v>
      </c>
      <c r="I85" s="3">
        <v>34979</v>
      </c>
      <c r="J85" s="3">
        <v>34154</v>
      </c>
      <c r="K85" s="3">
        <v>255</v>
      </c>
      <c r="L85" s="7" t="s">
        <v>62</v>
      </c>
      <c r="M85" s="6" t="s">
        <v>38</v>
      </c>
    </row>
    <row r="86" spans="1:13" ht="14.25" customHeight="1" x14ac:dyDescent="0.35">
      <c r="A86" s="3" t="s">
        <v>222</v>
      </c>
      <c r="B86" s="3" t="s">
        <v>33</v>
      </c>
      <c r="C86" s="3" t="s">
        <v>123</v>
      </c>
      <c r="D86" s="3" t="s">
        <v>52</v>
      </c>
      <c r="E86" s="3" t="s">
        <v>215</v>
      </c>
      <c r="F86" s="3">
        <v>4177</v>
      </c>
      <c r="G86" s="3">
        <v>569</v>
      </c>
      <c r="H86" s="3">
        <v>55</v>
      </c>
      <c r="I86" s="3">
        <v>25062</v>
      </c>
      <c r="J86" s="3">
        <v>24847</v>
      </c>
      <c r="K86" s="3">
        <v>230</v>
      </c>
      <c r="L86" s="7" t="s">
        <v>62</v>
      </c>
      <c r="M86" s="5" t="s">
        <v>19</v>
      </c>
    </row>
    <row r="87" spans="1:13" ht="14.25" customHeight="1" x14ac:dyDescent="0.35">
      <c r="A87" s="3" t="s">
        <v>223</v>
      </c>
      <c r="B87" s="3" t="s">
        <v>27</v>
      </c>
      <c r="C87" s="3" t="s">
        <v>224</v>
      </c>
      <c r="D87" s="3" t="s">
        <v>22</v>
      </c>
      <c r="E87" s="3" t="s">
        <v>104</v>
      </c>
      <c r="F87" s="3">
        <v>3428</v>
      </c>
      <c r="G87" s="3">
        <v>305</v>
      </c>
      <c r="H87" s="3">
        <v>85</v>
      </c>
      <c r="I87" s="3">
        <v>58276</v>
      </c>
      <c r="J87" s="3">
        <v>58052</v>
      </c>
      <c r="K87" s="3">
        <v>242</v>
      </c>
      <c r="L87" s="4" t="s">
        <v>160</v>
      </c>
      <c r="M87" s="6" t="s">
        <v>38</v>
      </c>
    </row>
    <row r="88" spans="1:13" ht="14.25" customHeight="1" x14ac:dyDescent="0.35">
      <c r="A88" s="3" t="s">
        <v>225</v>
      </c>
      <c r="B88" s="3" t="s">
        <v>14</v>
      </c>
      <c r="C88" s="3" t="s">
        <v>226</v>
      </c>
      <c r="D88" s="3" t="s">
        <v>74</v>
      </c>
      <c r="E88" s="3" t="s">
        <v>145</v>
      </c>
      <c r="F88" s="3">
        <v>1436</v>
      </c>
      <c r="G88" s="3">
        <v>765</v>
      </c>
      <c r="H88" s="3">
        <v>496</v>
      </c>
      <c r="I88" s="3">
        <v>12924</v>
      </c>
      <c r="J88" s="3">
        <v>12701</v>
      </c>
      <c r="K88" s="3">
        <v>197</v>
      </c>
      <c r="L88" s="7" t="s">
        <v>62</v>
      </c>
      <c r="M88" s="6" t="s">
        <v>31</v>
      </c>
    </row>
    <row r="89" spans="1:13" ht="14.25" customHeight="1" x14ac:dyDescent="0.35">
      <c r="A89" s="3" t="s">
        <v>227</v>
      </c>
      <c r="B89" s="3" t="s">
        <v>43</v>
      </c>
      <c r="C89" s="3" t="s">
        <v>228</v>
      </c>
      <c r="D89" s="3" t="s">
        <v>35</v>
      </c>
      <c r="E89" s="3" t="s">
        <v>71</v>
      </c>
      <c r="F89" s="3">
        <v>302</v>
      </c>
      <c r="G89" s="3">
        <v>47</v>
      </c>
      <c r="H89" s="3">
        <v>430</v>
      </c>
      <c r="I89" s="3">
        <v>5738</v>
      </c>
      <c r="J89" s="3">
        <v>4890</v>
      </c>
      <c r="K89" s="3">
        <v>25</v>
      </c>
      <c r="L89" s="7" t="s">
        <v>30</v>
      </c>
      <c r="M89" s="6" t="s">
        <v>38</v>
      </c>
    </row>
    <row r="90" spans="1:13" ht="14.25" customHeight="1" x14ac:dyDescent="0.35">
      <c r="A90" s="3" t="s">
        <v>229</v>
      </c>
      <c r="B90" s="3" t="s">
        <v>14</v>
      </c>
      <c r="C90" s="3" t="s">
        <v>230</v>
      </c>
      <c r="D90" s="3" t="s">
        <v>52</v>
      </c>
      <c r="E90" s="3" t="s">
        <v>132</v>
      </c>
      <c r="F90" s="3">
        <v>2214</v>
      </c>
      <c r="G90" s="3">
        <v>249</v>
      </c>
      <c r="H90" s="3">
        <v>152</v>
      </c>
      <c r="I90" s="3">
        <v>15498</v>
      </c>
      <c r="J90" s="3">
        <v>14800</v>
      </c>
      <c r="K90" s="3">
        <v>180</v>
      </c>
      <c r="L90" s="7" t="s">
        <v>37</v>
      </c>
      <c r="M90" s="6"/>
    </row>
    <row r="91" spans="1:13" ht="14.25" customHeight="1" x14ac:dyDescent="0.35">
      <c r="A91" s="3" t="s">
        <v>231</v>
      </c>
      <c r="B91" s="3" t="s">
        <v>33</v>
      </c>
      <c r="C91" s="3" t="s">
        <v>232</v>
      </c>
      <c r="D91" s="3" t="s">
        <v>52</v>
      </c>
      <c r="E91" s="3" t="s">
        <v>215</v>
      </c>
      <c r="F91" s="3">
        <v>3861</v>
      </c>
      <c r="G91" s="3">
        <v>960</v>
      </c>
      <c r="H91" s="3">
        <v>101</v>
      </c>
      <c r="I91" s="3">
        <v>69498</v>
      </c>
      <c r="J91" s="3">
        <v>68817</v>
      </c>
      <c r="K91" s="3">
        <v>297</v>
      </c>
      <c r="L91" s="7" t="s">
        <v>30</v>
      </c>
      <c r="M91" s="6" t="s">
        <v>38</v>
      </c>
    </row>
    <row r="92" spans="1:13" ht="14.25" customHeight="1" x14ac:dyDescent="0.35">
      <c r="A92" s="3" t="s">
        <v>233</v>
      </c>
      <c r="B92" s="3" t="s">
        <v>43</v>
      </c>
      <c r="C92" s="3" t="s">
        <v>234</v>
      </c>
      <c r="D92" s="3" t="s">
        <v>52</v>
      </c>
      <c r="E92" s="3" t="s">
        <v>59</v>
      </c>
      <c r="F92" s="3">
        <v>1263</v>
      </c>
      <c r="G92" s="3">
        <v>397</v>
      </c>
      <c r="H92" s="3">
        <v>357</v>
      </c>
      <c r="I92" s="3">
        <v>25260</v>
      </c>
      <c r="J92" s="3">
        <v>24615</v>
      </c>
      <c r="K92" s="3">
        <v>137</v>
      </c>
      <c r="L92" s="7" t="s">
        <v>37</v>
      </c>
      <c r="M92" s="6" t="s">
        <v>38</v>
      </c>
    </row>
    <row r="93" spans="1:13" ht="14.25" customHeight="1" x14ac:dyDescent="0.35">
      <c r="A93" s="3" t="s">
        <v>235</v>
      </c>
      <c r="B93" s="3" t="s">
        <v>14</v>
      </c>
      <c r="C93" s="3" t="s">
        <v>168</v>
      </c>
      <c r="D93" s="3" t="s">
        <v>35</v>
      </c>
      <c r="E93" s="3" t="s">
        <v>149</v>
      </c>
      <c r="F93" s="3">
        <v>3801</v>
      </c>
      <c r="G93" s="3">
        <v>967</v>
      </c>
      <c r="H93" s="3">
        <v>401</v>
      </c>
      <c r="I93" s="3">
        <v>38010</v>
      </c>
      <c r="J93" s="3">
        <v>37625</v>
      </c>
      <c r="K93" s="3">
        <v>236</v>
      </c>
      <c r="L93" s="7" t="s">
        <v>62</v>
      </c>
      <c r="M93" s="6" t="s">
        <v>31</v>
      </c>
    </row>
    <row r="94" spans="1:13" ht="14.25" customHeight="1" x14ac:dyDescent="0.35">
      <c r="A94" s="3" t="s">
        <v>236</v>
      </c>
      <c r="B94" s="3" t="s">
        <v>33</v>
      </c>
      <c r="C94" s="3" t="s">
        <v>237</v>
      </c>
      <c r="D94" s="3" t="s">
        <v>74</v>
      </c>
      <c r="E94" s="3" t="s">
        <v>85</v>
      </c>
      <c r="F94" s="3">
        <v>1431</v>
      </c>
      <c r="G94" s="3">
        <v>951</v>
      </c>
      <c r="H94" s="3">
        <v>26</v>
      </c>
      <c r="I94" s="3">
        <v>8586</v>
      </c>
      <c r="J94" s="3">
        <v>8396</v>
      </c>
      <c r="K94" s="3">
        <v>150</v>
      </c>
      <c r="L94" s="7" t="s">
        <v>37</v>
      </c>
      <c r="M94" s="6" t="s">
        <v>31</v>
      </c>
    </row>
    <row r="95" spans="1:13" ht="14.25" customHeight="1" x14ac:dyDescent="0.35">
      <c r="A95" s="3" t="s">
        <v>238</v>
      </c>
      <c r="B95" s="3" t="s">
        <v>33</v>
      </c>
      <c r="C95" s="3" t="s">
        <v>205</v>
      </c>
      <c r="D95" s="3" t="s">
        <v>52</v>
      </c>
      <c r="E95" s="3" t="s">
        <v>215</v>
      </c>
      <c r="F95" s="3">
        <v>2647</v>
      </c>
      <c r="G95" s="3">
        <v>304</v>
      </c>
      <c r="H95" s="3">
        <v>170</v>
      </c>
      <c r="I95" s="3">
        <v>18529</v>
      </c>
      <c r="J95" s="3">
        <v>17841</v>
      </c>
      <c r="K95" s="3">
        <v>46</v>
      </c>
      <c r="L95" s="7" t="s">
        <v>62</v>
      </c>
      <c r="M95" s="6" t="s">
        <v>31</v>
      </c>
    </row>
    <row r="96" spans="1:13" ht="14.25" customHeight="1" x14ac:dyDescent="0.35">
      <c r="A96" s="3" t="s">
        <v>239</v>
      </c>
      <c r="B96" s="3" t="s">
        <v>33</v>
      </c>
      <c r="C96" s="3" t="s">
        <v>240</v>
      </c>
      <c r="D96" s="3" t="s">
        <v>22</v>
      </c>
      <c r="E96" s="3" t="s">
        <v>113</v>
      </c>
      <c r="F96" s="3">
        <v>3182</v>
      </c>
      <c r="G96" s="3">
        <v>559</v>
      </c>
      <c r="H96" s="3">
        <v>160</v>
      </c>
      <c r="I96" s="3">
        <v>57276</v>
      </c>
      <c r="J96" s="3">
        <v>56890</v>
      </c>
      <c r="K96" s="3">
        <v>163</v>
      </c>
      <c r="L96" s="7" t="s">
        <v>62</v>
      </c>
      <c r="M96" s="6" t="s">
        <v>38</v>
      </c>
    </row>
    <row r="97" spans="1:13" ht="14.25" customHeight="1" x14ac:dyDescent="0.35">
      <c r="A97" s="3" t="s">
        <v>241</v>
      </c>
      <c r="B97" s="3" t="s">
        <v>14</v>
      </c>
      <c r="C97" s="3" t="s">
        <v>242</v>
      </c>
      <c r="D97" s="3" t="s">
        <v>52</v>
      </c>
      <c r="E97" s="3" t="s">
        <v>132</v>
      </c>
      <c r="F97" s="3">
        <v>1238</v>
      </c>
      <c r="G97" s="3">
        <v>366</v>
      </c>
      <c r="H97" s="3">
        <v>444</v>
      </c>
      <c r="I97" s="3">
        <v>19808</v>
      </c>
      <c r="J97" s="3">
        <v>19334</v>
      </c>
      <c r="K97" s="3">
        <v>123</v>
      </c>
      <c r="L97" s="7" t="s">
        <v>62</v>
      </c>
      <c r="M97" s="6"/>
    </row>
    <row r="98" spans="1:13" ht="14.25" customHeight="1" x14ac:dyDescent="0.35">
      <c r="A98" s="3" t="s">
        <v>243</v>
      </c>
      <c r="B98" s="3" t="s">
        <v>33</v>
      </c>
      <c r="C98" s="3" t="s">
        <v>244</v>
      </c>
      <c r="D98" s="3" t="s">
        <v>52</v>
      </c>
      <c r="E98" s="3" t="s">
        <v>215</v>
      </c>
      <c r="F98" s="3">
        <v>4739</v>
      </c>
      <c r="G98" s="3">
        <v>527</v>
      </c>
      <c r="H98" s="3">
        <v>135</v>
      </c>
      <c r="I98" s="3">
        <v>61607</v>
      </c>
      <c r="J98" s="3">
        <v>61333</v>
      </c>
      <c r="K98" s="3">
        <v>36</v>
      </c>
      <c r="L98" s="4" t="s">
        <v>95</v>
      </c>
      <c r="M98" s="6" t="s">
        <v>25</v>
      </c>
    </row>
    <row r="99" spans="1:13" ht="14.25" customHeight="1" x14ac:dyDescent="0.35">
      <c r="A99" s="3" t="s">
        <v>245</v>
      </c>
      <c r="B99" s="3" t="s">
        <v>14</v>
      </c>
      <c r="C99" s="3" t="s">
        <v>151</v>
      </c>
      <c r="D99" s="3" t="s">
        <v>35</v>
      </c>
      <c r="E99" s="3" t="s">
        <v>149</v>
      </c>
      <c r="F99" s="3">
        <v>1575</v>
      </c>
      <c r="G99" s="3">
        <v>771</v>
      </c>
      <c r="H99" s="3">
        <v>486</v>
      </c>
      <c r="I99" s="3">
        <v>25200</v>
      </c>
      <c r="J99" s="3">
        <v>24826</v>
      </c>
      <c r="K99" s="3">
        <v>17</v>
      </c>
      <c r="L99" s="7" t="s">
        <v>62</v>
      </c>
      <c r="M99" s="6" t="s">
        <v>38</v>
      </c>
    </row>
    <row r="100" spans="1:13" ht="14.25" customHeight="1" x14ac:dyDescent="0.35">
      <c r="A100" s="3" t="s">
        <v>246</v>
      </c>
      <c r="B100" s="3" t="s">
        <v>27</v>
      </c>
      <c r="C100" s="3" t="s">
        <v>247</v>
      </c>
      <c r="D100" s="3" t="s">
        <v>45</v>
      </c>
      <c r="E100" s="3" t="s">
        <v>68</v>
      </c>
      <c r="F100" s="3">
        <v>4171</v>
      </c>
      <c r="G100" s="3">
        <v>548</v>
      </c>
      <c r="H100" s="3">
        <v>86</v>
      </c>
      <c r="I100" s="3">
        <v>66736</v>
      </c>
      <c r="J100" s="3">
        <v>66634</v>
      </c>
      <c r="K100" s="3">
        <v>173</v>
      </c>
      <c r="L100" s="7" t="s">
        <v>62</v>
      </c>
      <c r="M100" s="6" t="s">
        <v>31</v>
      </c>
    </row>
    <row r="101" spans="1:13" ht="14.25" customHeight="1" x14ac:dyDescent="0.35">
      <c r="A101" s="3" t="s">
        <v>248</v>
      </c>
      <c r="B101" s="3" t="s">
        <v>27</v>
      </c>
      <c r="C101" s="3" t="s">
        <v>249</v>
      </c>
      <c r="D101" s="3" t="s">
        <v>74</v>
      </c>
      <c r="E101" s="3" t="s">
        <v>219</v>
      </c>
      <c r="F101" s="3">
        <v>1766</v>
      </c>
      <c r="G101" s="3">
        <v>92</v>
      </c>
      <c r="H101" s="3">
        <v>424</v>
      </c>
      <c r="I101" s="3">
        <v>24724</v>
      </c>
      <c r="J101" s="3">
        <v>24333</v>
      </c>
      <c r="K101" s="3">
        <v>52</v>
      </c>
      <c r="L101" s="7" t="s">
        <v>37</v>
      </c>
      <c r="M101" s="6"/>
    </row>
    <row r="102" spans="1:13" ht="14.25" customHeight="1" x14ac:dyDescent="0.35">
      <c r="A102" s="3" t="s">
        <v>250</v>
      </c>
      <c r="B102" s="3" t="s">
        <v>27</v>
      </c>
      <c r="C102" s="3" t="s">
        <v>199</v>
      </c>
      <c r="D102" s="3" t="s">
        <v>74</v>
      </c>
      <c r="E102" s="3" t="s">
        <v>219</v>
      </c>
      <c r="F102" s="3">
        <v>4450</v>
      </c>
      <c r="G102" s="3">
        <v>983</v>
      </c>
      <c r="H102" s="3">
        <v>143</v>
      </c>
      <c r="I102" s="3">
        <v>75650</v>
      </c>
      <c r="J102" s="3">
        <v>75008</v>
      </c>
      <c r="K102" s="3">
        <v>12</v>
      </c>
      <c r="L102" s="7" t="s">
        <v>62</v>
      </c>
      <c r="M102" s="6" t="s">
        <v>31</v>
      </c>
    </row>
    <row r="103" spans="1:13" ht="14.25" customHeight="1" x14ac:dyDescent="0.35">
      <c r="A103" s="3" t="s">
        <v>251</v>
      </c>
      <c r="B103" s="3" t="s">
        <v>14</v>
      </c>
      <c r="C103" s="3" t="s">
        <v>252</v>
      </c>
      <c r="D103" s="3" t="s">
        <v>16</v>
      </c>
      <c r="E103" s="3" t="s">
        <v>17</v>
      </c>
      <c r="F103" s="3">
        <v>1000</v>
      </c>
      <c r="G103" s="3">
        <v>978</v>
      </c>
      <c r="H103" s="3">
        <v>162</v>
      </c>
      <c r="I103" s="3">
        <v>6000</v>
      </c>
      <c r="J103" s="3">
        <v>5221</v>
      </c>
      <c r="K103" s="3">
        <v>223</v>
      </c>
      <c r="L103" s="7" t="s">
        <v>37</v>
      </c>
      <c r="M103" s="6" t="s">
        <v>25</v>
      </c>
    </row>
    <row r="104" spans="1:13" ht="14.25" customHeight="1" x14ac:dyDescent="0.35">
      <c r="A104" s="3" t="s">
        <v>253</v>
      </c>
      <c r="B104" s="3" t="s">
        <v>43</v>
      </c>
      <c r="C104" s="3" t="s">
        <v>254</v>
      </c>
      <c r="D104" s="3" t="s">
        <v>52</v>
      </c>
      <c r="E104" s="3" t="s">
        <v>59</v>
      </c>
      <c r="F104" s="3">
        <v>3689</v>
      </c>
      <c r="G104" s="3">
        <v>48</v>
      </c>
      <c r="H104" s="3">
        <v>306</v>
      </c>
      <c r="I104" s="3">
        <v>40579</v>
      </c>
      <c r="J104" s="3">
        <v>39588</v>
      </c>
      <c r="K104" s="3">
        <v>212</v>
      </c>
      <c r="L104" s="7" t="s">
        <v>37</v>
      </c>
      <c r="M104" s="6" t="s">
        <v>25</v>
      </c>
    </row>
    <row r="105" spans="1:13" ht="14.25" customHeight="1" x14ac:dyDescent="0.35">
      <c r="A105" s="3" t="s">
        <v>255</v>
      </c>
      <c r="B105" s="3" t="s">
        <v>27</v>
      </c>
      <c r="C105" s="3" t="s">
        <v>256</v>
      </c>
      <c r="D105" s="3" t="s">
        <v>35</v>
      </c>
      <c r="E105" s="3" t="s">
        <v>154</v>
      </c>
      <c r="F105" s="3">
        <v>3655</v>
      </c>
      <c r="G105" s="3">
        <v>568</v>
      </c>
      <c r="H105" s="3">
        <v>286</v>
      </c>
      <c r="I105" s="3">
        <v>32895</v>
      </c>
      <c r="J105" s="3">
        <v>32015</v>
      </c>
      <c r="K105" s="3">
        <v>199</v>
      </c>
      <c r="L105" s="7" t="s">
        <v>30</v>
      </c>
      <c r="M105" s="6" t="s">
        <v>31</v>
      </c>
    </row>
    <row r="106" spans="1:13" ht="14.25" customHeight="1" x14ac:dyDescent="0.35">
      <c r="A106" s="3" t="s">
        <v>257</v>
      </c>
      <c r="B106" s="3" t="s">
        <v>33</v>
      </c>
      <c r="C106" s="3" t="s">
        <v>258</v>
      </c>
      <c r="D106" s="3" t="s">
        <v>45</v>
      </c>
      <c r="E106" s="3" t="s">
        <v>88</v>
      </c>
      <c r="F106" s="3">
        <v>498</v>
      </c>
      <c r="G106" s="3">
        <v>38</v>
      </c>
      <c r="H106" s="3">
        <v>42</v>
      </c>
      <c r="I106" s="3">
        <v>4482</v>
      </c>
      <c r="J106" s="3">
        <v>3647</v>
      </c>
      <c r="K106" s="3">
        <v>32</v>
      </c>
      <c r="L106" s="7" t="s">
        <v>62</v>
      </c>
      <c r="M106" s="5" t="s">
        <v>19</v>
      </c>
    </row>
    <row r="107" spans="1:13" ht="14.25" customHeight="1" x14ac:dyDescent="0.35">
      <c r="A107" s="3" t="s">
        <v>259</v>
      </c>
      <c r="B107" s="3" t="s">
        <v>33</v>
      </c>
      <c r="C107" s="3" t="s">
        <v>260</v>
      </c>
      <c r="D107" s="3" t="s">
        <v>52</v>
      </c>
      <c r="E107" s="3" t="s">
        <v>215</v>
      </c>
      <c r="F107" s="3">
        <v>4619</v>
      </c>
      <c r="G107" s="3">
        <v>821</v>
      </c>
      <c r="H107" s="3">
        <v>499</v>
      </c>
      <c r="I107" s="3">
        <v>69285</v>
      </c>
      <c r="J107" s="3">
        <v>69141</v>
      </c>
      <c r="K107" s="3">
        <v>298</v>
      </c>
      <c r="L107" s="7" t="s">
        <v>30</v>
      </c>
      <c r="M107" s="6" t="s">
        <v>38</v>
      </c>
    </row>
    <row r="108" spans="1:13" ht="14.25" customHeight="1" x14ac:dyDescent="0.35">
      <c r="A108" s="3" t="s">
        <v>261</v>
      </c>
      <c r="B108" s="3" t="s">
        <v>27</v>
      </c>
      <c r="C108" s="3" t="s">
        <v>262</v>
      </c>
      <c r="D108" s="3" t="s">
        <v>52</v>
      </c>
      <c r="E108" s="3" t="s">
        <v>53</v>
      </c>
      <c r="F108" s="3">
        <v>4832</v>
      </c>
      <c r="G108" s="3">
        <v>893</v>
      </c>
      <c r="H108" s="3">
        <v>10</v>
      </c>
      <c r="I108" s="3">
        <v>91808</v>
      </c>
      <c r="J108" s="3">
        <v>91296</v>
      </c>
      <c r="K108" s="3">
        <v>182</v>
      </c>
      <c r="L108" s="7" t="s">
        <v>30</v>
      </c>
      <c r="M108" s="6"/>
    </row>
    <row r="109" spans="1:13" ht="14.25" customHeight="1" x14ac:dyDescent="0.35">
      <c r="A109" s="3" t="s">
        <v>263</v>
      </c>
      <c r="B109" s="3" t="s">
        <v>14</v>
      </c>
      <c r="C109" s="3" t="s">
        <v>264</v>
      </c>
      <c r="D109" s="3" t="s">
        <v>74</v>
      </c>
      <c r="E109" s="3" t="s">
        <v>145</v>
      </c>
      <c r="F109" s="3">
        <v>4050</v>
      </c>
      <c r="G109" s="3">
        <v>871</v>
      </c>
      <c r="H109" s="3">
        <v>347</v>
      </c>
      <c r="I109" s="3">
        <v>52650</v>
      </c>
      <c r="J109" s="3">
        <v>51755</v>
      </c>
      <c r="K109" s="3">
        <v>209</v>
      </c>
      <c r="L109" s="7" t="s">
        <v>30</v>
      </c>
      <c r="M109" s="6" t="s">
        <v>25</v>
      </c>
    </row>
    <row r="110" spans="1:13" ht="14.25" customHeight="1" x14ac:dyDescent="0.35">
      <c r="A110" s="3" t="s">
        <v>265</v>
      </c>
      <c r="B110" s="3" t="s">
        <v>14</v>
      </c>
      <c r="C110" s="3" t="s">
        <v>266</v>
      </c>
      <c r="D110" s="3" t="s">
        <v>35</v>
      </c>
      <c r="E110" s="3" t="s">
        <v>149</v>
      </c>
      <c r="F110" s="3">
        <v>3649</v>
      </c>
      <c r="G110" s="3">
        <v>215</v>
      </c>
      <c r="H110" s="3">
        <v>413</v>
      </c>
      <c r="I110" s="3">
        <v>25543</v>
      </c>
      <c r="J110" s="3">
        <v>24963</v>
      </c>
      <c r="K110" s="3">
        <v>167</v>
      </c>
      <c r="L110" s="7" t="s">
        <v>62</v>
      </c>
      <c r="M110" s="6" t="s">
        <v>31</v>
      </c>
    </row>
    <row r="111" spans="1:13" ht="14.25" customHeight="1" x14ac:dyDescent="0.35">
      <c r="A111" s="3" t="s">
        <v>267</v>
      </c>
      <c r="B111" s="3" t="s">
        <v>33</v>
      </c>
      <c r="C111" s="3" t="s">
        <v>268</v>
      </c>
      <c r="D111" s="3" t="s">
        <v>16</v>
      </c>
      <c r="E111" s="3" t="s">
        <v>82</v>
      </c>
      <c r="F111" s="3">
        <v>3523</v>
      </c>
      <c r="G111" s="3">
        <v>753</v>
      </c>
      <c r="H111" s="3">
        <v>482</v>
      </c>
      <c r="I111" s="3">
        <v>38753</v>
      </c>
      <c r="J111" s="3">
        <v>38579</v>
      </c>
      <c r="K111" s="3">
        <v>270</v>
      </c>
      <c r="L111" s="7" t="s">
        <v>37</v>
      </c>
      <c r="M111" s="6" t="s">
        <v>25</v>
      </c>
    </row>
    <row r="112" spans="1:13" ht="14.25" customHeight="1" x14ac:dyDescent="0.35">
      <c r="A112" s="3" t="s">
        <v>269</v>
      </c>
      <c r="B112" s="3" t="s">
        <v>27</v>
      </c>
      <c r="C112" s="3" t="s">
        <v>270</v>
      </c>
      <c r="D112" s="3" t="s">
        <v>52</v>
      </c>
      <c r="E112" s="3" t="s">
        <v>53</v>
      </c>
      <c r="F112" s="3">
        <v>2719</v>
      </c>
      <c r="G112" s="3">
        <v>17</v>
      </c>
      <c r="H112" s="3">
        <v>285</v>
      </c>
      <c r="I112" s="3">
        <v>40785</v>
      </c>
      <c r="J112" s="3">
        <v>40281</v>
      </c>
      <c r="K112" s="3">
        <v>40</v>
      </c>
      <c r="L112" s="7" t="s">
        <v>30</v>
      </c>
      <c r="M112" s="6" t="s">
        <v>25</v>
      </c>
    </row>
    <row r="113" spans="1:13" ht="14.25" customHeight="1" x14ac:dyDescent="0.35">
      <c r="A113" s="3" t="s">
        <v>271</v>
      </c>
      <c r="B113" s="3" t="s">
        <v>14</v>
      </c>
      <c r="C113" s="3" t="s">
        <v>272</v>
      </c>
      <c r="D113" s="3" t="s">
        <v>35</v>
      </c>
      <c r="E113" s="3" t="s">
        <v>149</v>
      </c>
      <c r="F113" s="3">
        <v>1957</v>
      </c>
      <c r="G113" s="3">
        <v>877</v>
      </c>
      <c r="H113" s="3">
        <v>238</v>
      </c>
      <c r="I113" s="3">
        <v>17613</v>
      </c>
      <c r="J113" s="3">
        <v>16865</v>
      </c>
      <c r="K113" s="3">
        <v>297</v>
      </c>
      <c r="L113" s="7" t="s">
        <v>62</v>
      </c>
      <c r="M113" s="6" t="s">
        <v>31</v>
      </c>
    </row>
    <row r="114" spans="1:13" ht="14.25" customHeight="1" x14ac:dyDescent="0.35">
      <c r="A114" s="3" t="s">
        <v>273</v>
      </c>
      <c r="B114" s="3" t="s">
        <v>14</v>
      </c>
      <c r="C114" s="3" t="s">
        <v>274</v>
      </c>
      <c r="D114" s="3" t="s">
        <v>45</v>
      </c>
      <c r="E114" s="3" t="s">
        <v>49</v>
      </c>
      <c r="F114" s="3">
        <v>4419</v>
      </c>
      <c r="G114" s="3">
        <v>236</v>
      </c>
      <c r="H114" s="3">
        <v>369</v>
      </c>
      <c r="I114" s="3">
        <v>44190</v>
      </c>
      <c r="J114" s="3">
        <v>43582</v>
      </c>
      <c r="K114" s="3">
        <v>10</v>
      </c>
      <c r="L114" s="7" t="s">
        <v>37</v>
      </c>
      <c r="M114" s="5" t="s">
        <v>19</v>
      </c>
    </row>
    <row r="115" spans="1:13" ht="14.25" customHeight="1" x14ac:dyDescent="0.35">
      <c r="A115" s="3" t="s">
        <v>275</v>
      </c>
      <c r="B115" s="3" t="s">
        <v>14</v>
      </c>
      <c r="C115" s="3" t="s">
        <v>276</v>
      </c>
      <c r="D115" s="3" t="s">
        <v>35</v>
      </c>
      <c r="E115" s="3" t="s">
        <v>149</v>
      </c>
      <c r="F115" s="3">
        <v>4000</v>
      </c>
      <c r="G115" s="3">
        <v>689</v>
      </c>
      <c r="H115" s="3">
        <v>488</v>
      </c>
      <c r="I115" s="3">
        <v>40000</v>
      </c>
      <c r="J115" s="3">
        <v>39569</v>
      </c>
      <c r="K115" s="3">
        <v>44</v>
      </c>
      <c r="L115" s="7" t="s">
        <v>62</v>
      </c>
      <c r="M115" s="5" t="s">
        <v>19</v>
      </c>
    </row>
    <row r="116" spans="1:13" ht="14.25" customHeight="1" x14ac:dyDescent="0.35">
      <c r="A116" s="3" t="s">
        <v>277</v>
      </c>
      <c r="B116" s="3" t="s">
        <v>14</v>
      </c>
      <c r="C116" s="3" t="s">
        <v>278</v>
      </c>
      <c r="D116" s="3" t="s">
        <v>52</v>
      </c>
      <c r="E116" s="3" t="s">
        <v>132</v>
      </c>
      <c r="F116" s="3">
        <v>2493</v>
      </c>
      <c r="G116" s="3">
        <v>97</v>
      </c>
      <c r="H116" s="3">
        <v>44</v>
      </c>
      <c r="I116" s="3">
        <v>42381</v>
      </c>
      <c r="J116" s="3">
        <v>41991</v>
      </c>
      <c r="K116" s="3">
        <v>242</v>
      </c>
      <c r="L116" s="4" t="s">
        <v>95</v>
      </c>
      <c r="M116" s="6" t="s">
        <v>38</v>
      </c>
    </row>
    <row r="117" spans="1:13" ht="14.25" customHeight="1" x14ac:dyDescent="0.35">
      <c r="A117" s="3" t="s">
        <v>279</v>
      </c>
      <c r="B117" s="3" t="s">
        <v>27</v>
      </c>
      <c r="C117" s="3" t="s">
        <v>280</v>
      </c>
      <c r="D117" s="3" t="s">
        <v>16</v>
      </c>
      <c r="E117" s="3" t="s">
        <v>29</v>
      </c>
      <c r="F117" s="3">
        <v>3704</v>
      </c>
      <c r="G117" s="3">
        <v>186</v>
      </c>
      <c r="H117" s="3">
        <v>458</v>
      </c>
      <c r="I117" s="3">
        <v>25928</v>
      </c>
      <c r="J117" s="3">
        <v>25081</v>
      </c>
      <c r="K117" s="3">
        <v>131</v>
      </c>
      <c r="L117" s="7" t="s">
        <v>30</v>
      </c>
      <c r="M117" s="6"/>
    </row>
    <row r="118" spans="1:13" ht="14.25" customHeight="1" x14ac:dyDescent="0.35">
      <c r="A118" s="3" t="s">
        <v>281</v>
      </c>
      <c r="B118" s="3" t="s">
        <v>14</v>
      </c>
      <c r="C118" s="3" t="s">
        <v>282</v>
      </c>
      <c r="D118" s="3" t="s">
        <v>52</v>
      </c>
      <c r="E118" s="3" t="s">
        <v>132</v>
      </c>
      <c r="F118" s="3">
        <v>1606</v>
      </c>
      <c r="G118" s="3">
        <v>451</v>
      </c>
      <c r="H118" s="3">
        <v>405</v>
      </c>
      <c r="I118" s="3">
        <v>20878</v>
      </c>
      <c r="J118" s="3">
        <v>20190</v>
      </c>
      <c r="K118" s="3">
        <v>219</v>
      </c>
      <c r="L118" s="7" t="s">
        <v>37</v>
      </c>
      <c r="M118" s="6" t="s">
        <v>38</v>
      </c>
    </row>
    <row r="119" spans="1:13" ht="14.25" customHeight="1" x14ac:dyDescent="0.35">
      <c r="A119" s="3" t="s">
        <v>283</v>
      </c>
      <c r="B119" s="3" t="s">
        <v>43</v>
      </c>
      <c r="C119" s="3" t="s">
        <v>282</v>
      </c>
      <c r="D119" s="3" t="s">
        <v>52</v>
      </c>
      <c r="E119" s="3" t="s">
        <v>59</v>
      </c>
      <c r="F119" s="3">
        <v>4551</v>
      </c>
      <c r="G119" s="3">
        <v>714</v>
      </c>
      <c r="H119" s="3">
        <v>207</v>
      </c>
      <c r="I119" s="3">
        <v>68265</v>
      </c>
      <c r="J119" s="3">
        <v>67754</v>
      </c>
      <c r="K119" s="3">
        <v>57</v>
      </c>
      <c r="L119" s="7" t="s">
        <v>62</v>
      </c>
      <c r="M119" s="6" t="s">
        <v>31</v>
      </c>
    </row>
    <row r="120" spans="1:13" ht="14.25" customHeight="1" x14ac:dyDescent="0.35">
      <c r="A120" s="3" t="s">
        <v>284</v>
      </c>
      <c r="B120" s="3" t="s">
        <v>33</v>
      </c>
      <c r="C120" s="3" t="s">
        <v>285</v>
      </c>
      <c r="D120" s="3" t="s">
        <v>16</v>
      </c>
      <c r="E120" s="3" t="s">
        <v>82</v>
      </c>
      <c r="F120" s="3">
        <v>1970</v>
      </c>
      <c r="G120" s="3">
        <v>675</v>
      </c>
      <c r="H120" s="3">
        <v>478</v>
      </c>
      <c r="I120" s="3">
        <v>9850</v>
      </c>
      <c r="J120" s="3">
        <v>8924</v>
      </c>
      <c r="K120" s="3">
        <v>117</v>
      </c>
      <c r="L120" s="7" t="s">
        <v>62</v>
      </c>
      <c r="M120" s="6"/>
    </row>
    <row r="121" spans="1:13" ht="14.25" customHeight="1" x14ac:dyDescent="0.35">
      <c r="A121" s="3" t="s">
        <v>286</v>
      </c>
      <c r="B121" s="3" t="s">
        <v>43</v>
      </c>
      <c r="C121" s="3" t="s">
        <v>168</v>
      </c>
      <c r="D121" s="3" t="s">
        <v>35</v>
      </c>
      <c r="E121" s="3" t="s">
        <v>71</v>
      </c>
      <c r="F121" s="3">
        <v>780</v>
      </c>
      <c r="G121" s="3">
        <v>928</v>
      </c>
      <c r="H121" s="3">
        <v>301</v>
      </c>
      <c r="I121" s="3">
        <v>8580</v>
      </c>
      <c r="J121" s="3">
        <v>8081</v>
      </c>
      <c r="K121" s="3">
        <v>91</v>
      </c>
      <c r="L121" s="7" t="s">
        <v>37</v>
      </c>
      <c r="M121" s="6" t="s">
        <v>31</v>
      </c>
    </row>
    <row r="122" spans="1:13" ht="14.25" customHeight="1" x14ac:dyDescent="0.35">
      <c r="A122" s="3" t="s">
        <v>287</v>
      </c>
      <c r="B122" s="3" t="s">
        <v>33</v>
      </c>
      <c r="C122" s="3" t="s">
        <v>268</v>
      </c>
      <c r="D122" s="3" t="s">
        <v>35</v>
      </c>
      <c r="E122" s="3" t="s">
        <v>36</v>
      </c>
      <c r="F122" s="3">
        <v>498</v>
      </c>
      <c r="G122" s="3">
        <v>701</v>
      </c>
      <c r="H122" s="3">
        <v>412</v>
      </c>
      <c r="I122" s="3">
        <v>4980</v>
      </c>
      <c r="J122" s="3">
        <v>4185</v>
      </c>
      <c r="K122" s="3">
        <v>185</v>
      </c>
      <c r="L122" s="7" t="s">
        <v>62</v>
      </c>
      <c r="M122" s="6"/>
    </row>
    <row r="123" spans="1:13" ht="14.25" customHeight="1" x14ac:dyDescent="0.35">
      <c r="A123" s="3" t="s">
        <v>288</v>
      </c>
      <c r="B123" s="3" t="s">
        <v>33</v>
      </c>
      <c r="C123" s="3" t="s">
        <v>274</v>
      </c>
      <c r="D123" s="3" t="s">
        <v>22</v>
      </c>
      <c r="E123" s="3" t="s">
        <v>113</v>
      </c>
      <c r="F123" s="3">
        <v>3432</v>
      </c>
      <c r="G123" s="3">
        <v>869</v>
      </c>
      <c r="H123" s="3">
        <v>123</v>
      </c>
      <c r="I123" s="3">
        <v>54912</v>
      </c>
      <c r="J123" s="3">
        <v>53916</v>
      </c>
      <c r="K123" s="3">
        <v>264</v>
      </c>
      <c r="L123" s="7" t="s">
        <v>37</v>
      </c>
      <c r="M123" s="6" t="s">
        <v>25</v>
      </c>
    </row>
    <row r="124" spans="1:13" ht="14.25" customHeight="1" x14ac:dyDescent="0.35">
      <c r="A124" s="3" t="s">
        <v>289</v>
      </c>
      <c r="B124" s="3" t="s">
        <v>33</v>
      </c>
      <c r="C124" s="3" t="s">
        <v>258</v>
      </c>
      <c r="D124" s="3" t="s">
        <v>35</v>
      </c>
      <c r="E124" s="3" t="s">
        <v>36</v>
      </c>
      <c r="F124" s="3">
        <v>4363</v>
      </c>
      <c r="G124" s="3">
        <v>649</v>
      </c>
      <c r="H124" s="3">
        <v>140</v>
      </c>
      <c r="I124" s="3">
        <v>21815</v>
      </c>
      <c r="J124" s="3">
        <v>21481</v>
      </c>
      <c r="K124" s="3">
        <v>157</v>
      </c>
      <c r="L124" s="7" t="s">
        <v>37</v>
      </c>
      <c r="M124" s="5" t="s">
        <v>19</v>
      </c>
    </row>
    <row r="125" spans="1:13" ht="14.25" customHeight="1" x14ac:dyDescent="0.35">
      <c r="A125" s="3" t="s">
        <v>290</v>
      </c>
      <c r="B125" s="3" t="s">
        <v>27</v>
      </c>
      <c r="C125" s="3" t="s">
        <v>291</v>
      </c>
      <c r="D125" s="3" t="s">
        <v>45</v>
      </c>
      <c r="E125" s="3" t="s">
        <v>68</v>
      </c>
      <c r="F125" s="3">
        <v>736</v>
      </c>
      <c r="G125" s="3">
        <v>771</v>
      </c>
      <c r="H125" s="3">
        <v>225</v>
      </c>
      <c r="I125" s="3">
        <v>5152</v>
      </c>
      <c r="J125" s="3">
        <v>4706</v>
      </c>
      <c r="K125" s="3">
        <v>19</v>
      </c>
      <c r="L125" s="7" t="s">
        <v>37</v>
      </c>
      <c r="M125" s="5" t="s">
        <v>19</v>
      </c>
    </row>
    <row r="126" spans="1:13" ht="14.25" customHeight="1" x14ac:dyDescent="0.35">
      <c r="A126" s="3" t="s">
        <v>292</v>
      </c>
      <c r="B126" s="3" t="s">
        <v>14</v>
      </c>
      <c r="C126" s="3" t="s">
        <v>293</v>
      </c>
      <c r="D126" s="3" t="s">
        <v>45</v>
      </c>
      <c r="E126" s="3" t="s">
        <v>49</v>
      </c>
      <c r="F126" s="3">
        <v>3811</v>
      </c>
      <c r="G126" s="3">
        <v>866</v>
      </c>
      <c r="H126" s="3">
        <v>216</v>
      </c>
      <c r="I126" s="3">
        <v>34299</v>
      </c>
      <c r="J126" s="3">
        <v>34088</v>
      </c>
      <c r="K126" s="3">
        <v>233</v>
      </c>
      <c r="L126" s="7" t="s">
        <v>30</v>
      </c>
      <c r="M126" s="6" t="s">
        <v>38</v>
      </c>
    </row>
    <row r="127" spans="1:13" ht="14.25" customHeight="1" x14ac:dyDescent="0.35">
      <c r="A127" s="3" t="s">
        <v>294</v>
      </c>
      <c r="B127" s="3" t="s">
        <v>33</v>
      </c>
      <c r="C127" s="3" t="s">
        <v>184</v>
      </c>
      <c r="D127" s="3" t="s">
        <v>45</v>
      </c>
      <c r="E127" s="3" t="s">
        <v>88</v>
      </c>
      <c r="F127" s="3">
        <v>4158</v>
      </c>
      <c r="G127" s="3">
        <v>167</v>
      </c>
      <c r="H127" s="3">
        <v>241</v>
      </c>
      <c r="I127" s="3">
        <v>45738</v>
      </c>
      <c r="J127" s="3">
        <v>45183</v>
      </c>
      <c r="K127" s="3">
        <v>142</v>
      </c>
      <c r="L127" s="7" t="s">
        <v>62</v>
      </c>
      <c r="M127" s="6"/>
    </row>
    <row r="128" spans="1:13" ht="14.25" customHeight="1" x14ac:dyDescent="0.35">
      <c r="A128" s="3" t="s">
        <v>295</v>
      </c>
      <c r="B128" s="3" t="s">
        <v>43</v>
      </c>
      <c r="C128" s="3" t="s">
        <v>224</v>
      </c>
      <c r="D128" s="3" t="s">
        <v>16</v>
      </c>
      <c r="E128" s="3" t="s">
        <v>65</v>
      </c>
      <c r="F128" s="3">
        <v>3452</v>
      </c>
      <c r="G128" s="3">
        <v>652</v>
      </c>
      <c r="H128" s="3">
        <v>442</v>
      </c>
      <c r="I128" s="3">
        <v>65588</v>
      </c>
      <c r="J128" s="3">
        <v>65049</v>
      </c>
      <c r="K128" s="3">
        <v>158</v>
      </c>
      <c r="L128" s="7" t="s">
        <v>62</v>
      </c>
      <c r="M128" s="6" t="s">
        <v>31</v>
      </c>
    </row>
    <row r="129" spans="1:13" ht="14.25" customHeight="1" x14ac:dyDescent="0.35">
      <c r="A129" s="3" t="s">
        <v>296</v>
      </c>
      <c r="B129" s="3" t="s">
        <v>14</v>
      </c>
      <c r="C129" s="3" t="s">
        <v>230</v>
      </c>
      <c r="D129" s="3" t="s">
        <v>52</v>
      </c>
      <c r="E129" s="3" t="s">
        <v>132</v>
      </c>
      <c r="F129" s="3">
        <v>3092</v>
      </c>
      <c r="G129" s="3">
        <v>106</v>
      </c>
      <c r="H129" s="3">
        <v>291</v>
      </c>
      <c r="I129" s="3">
        <v>27828</v>
      </c>
      <c r="J129" s="3">
        <v>27217</v>
      </c>
      <c r="K129" s="3">
        <v>102</v>
      </c>
      <c r="L129" s="7" t="s">
        <v>62</v>
      </c>
      <c r="M129" s="6"/>
    </row>
    <row r="130" spans="1:13" ht="14.25" customHeight="1" x14ac:dyDescent="0.35">
      <c r="A130" s="3" t="s">
        <v>297</v>
      </c>
      <c r="B130" s="3" t="s">
        <v>14</v>
      </c>
      <c r="C130" s="3" t="s">
        <v>64</v>
      </c>
      <c r="D130" s="3" t="s">
        <v>22</v>
      </c>
      <c r="E130" s="3" t="s">
        <v>23</v>
      </c>
      <c r="F130" s="3">
        <v>2147</v>
      </c>
      <c r="G130" s="3">
        <v>430</v>
      </c>
      <c r="H130" s="3">
        <v>393</v>
      </c>
      <c r="I130" s="3">
        <v>17176</v>
      </c>
      <c r="J130" s="3">
        <v>16483</v>
      </c>
      <c r="K130" s="3">
        <v>170</v>
      </c>
      <c r="L130" s="7" t="s">
        <v>30</v>
      </c>
      <c r="M130" s="6"/>
    </row>
    <row r="131" spans="1:13" ht="14.25" customHeight="1" x14ac:dyDescent="0.35">
      <c r="A131" s="3" t="s">
        <v>298</v>
      </c>
      <c r="B131" s="3" t="s">
        <v>27</v>
      </c>
      <c r="C131" s="3" t="s">
        <v>299</v>
      </c>
      <c r="D131" s="3" t="s">
        <v>16</v>
      </c>
      <c r="E131" s="3" t="s">
        <v>29</v>
      </c>
      <c r="F131" s="3">
        <v>2936</v>
      </c>
      <c r="G131" s="3">
        <v>439</v>
      </c>
      <c r="H131" s="3">
        <v>44</v>
      </c>
      <c r="I131" s="3">
        <v>38168</v>
      </c>
      <c r="J131" s="3">
        <v>37571</v>
      </c>
      <c r="K131" s="3">
        <v>22</v>
      </c>
      <c r="L131" s="7" t="s">
        <v>37</v>
      </c>
      <c r="M131" s="6" t="s">
        <v>38</v>
      </c>
    </row>
    <row r="132" spans="1:13" ht="14.25" customHeight="1" x14ac:dyDescent="0.35">
      <c r="A132" s="3" t="s">
        <v>300</v>
      </c>
      <c r="B132" s="3" t="s">
        <v>33</v>
      </c>
      <c r="C132" s="3" t="s">
        <v>168</v>
      </c>
      <c r="D132" s="3" t="s">
        <v>16</v>
      </c>
      <c r="E132" s="3" t="s">
        <v>82</v>
      </c>
      <c r="F132" s="3">
        <v>4840</v>
      </c>
      <c r="G132" s="3">
        <v>658</v>
      </c>
      <c r="H132" s="3">
        <v>211</v>
      </c>
      <c r="I132" s="3">
        <v>43560</v>
      </c>
      <c r="J132" s="3">
        <v>43225</v>
      </c>
      <c r="K132" s="3">
        <v>57</v>
      </c>
      <c r="L132" s="7" t="s">
        <v>62</v>
      </c>
      <c r="M132" s="6" t="s">
        <v>31</v>
      </c>
    </row>
    <row r="133" spans="1:13" ht="14.25" customHeight="1" x14ac:dyDescent="0.35">
      <c r="A133" s="3" t="s">
        <v>301</v>
      </c>
      <c r="B133" s="3" t="s">
        <v>33</v>
      </c>
      <c r="C133" s="3" t="s">
        <v>106</v>
      </c>
      <c r="D133" s="3" t="s">
        <v>35</v>
      </c>
      <c r="E133" s="3" t="s">
        <v>36</v>
      </c>
      <c r="F133" s="3">
        <v>1947</v>
      </c>
      <c r="G133" s="3">
        <v>842</v>
      </c>
      <c r="H133" s="3">
        <v>101</v>
      </c>
      <c r="I133" s="3">
        <v>21417</v>
      </c>
      <c r="J133" s="3">
        <v>20967</v>
      </c>
      <c r="K133" s="3">
        <v>186</v>
      </c>
      <c r="L133" s="7" t="s">
        <v>62</v>
      </c>
      <c r="M133" s="6" t="s">
        <v>25</v>
      </c>
    </row>
    <row r="134" spans="1:13" ht="14.25" customHeight="1" x14ac:dyDescent="0.35">
      <c r="A134" s="3" t="s">
        <v>302</v>
      </c>
      <c r="B134" s="3" t="s">
        <v>43</v>
      </c>
      <c r="C134" s="3" t="s">
        <v>303</v>
      </c>
      <c r="D134" s="3" t="s">
        <v>52</v>
      </c>
      <c r="E134" s="3" t="s">
        <v>59</v>
      </c>
      <c r="F134" s="3">
        <v>2072</v>
      </c>
      <c r="G134" s="3">
        <v>532</v>
      </c>
      <c r="H134" s="3">
        <v>71</v>
      </c>
      <c r="I134" s="3">
        <v>37296</v>
      </c>
      <c r="J134" s="3">
        <v>36467</v>
      </c>
      <c r="K134" s="3">
        <v>25</v>
      </c>
      <c r="L134" s="7" t="s">
        <v>30</v>
      </c>
      <c r="M134" s="6" t="s">
        <v>38</v>
      </c>
    </row>
    <row r="135" spans="1:13" ht="14.25" customHeight="1" x14ac:dyDescent="0.35">
      <c r="A135" s="3" t="s">
        <v>304</v>
      </c>
      <c r="B135" s="3" t="s">
        <v>14</v>
      </c>
      <c r="C135" s="3" t="s">
        <v>305</v>
      </c>
      <c r="D135" s="3" t="s">
        <v>16</v>
      </c>
      <c r="E135" s="3" t="s">
        <v>17</v>
      </c>
      <c r="F135" s="3">
        <v>3731</v>
      </c>
      <c r="G135" s="3">
        <v>115</v>
      </c>
      <c r="H135" s="3">
        <v>135</v>
      </c>
      <c r="I135" s="3">
        <v>55965</v>
      </c>
      <c r="J135" s="3">
        <v>55436</v>
      </c>
      <c r="K135" s="3">
        <v>103</v>
      </c>
      <c r="L135" s="7" t="s">
        <v>30</v>
      </c>
      <c r="M135" s="5" t="s">
        <v>19</v>
      </c>
    </row>
    <row r="136" spans="1:13" ht="14.25" customHeight="1" x14ac:dyDescent="0.35">
      <c r="A136" s="3" t="s">
        <v>306</v>
      </c>
      <c r="B136" s="3" t="s">
        <v>43</v>
      </c>
      <c r="C136" s="3" t="s">
        <v>307</v>
      </c>
      <c r="D136" s="3" t="s">
        <v>22</v>
      </c>
      <c r="E136" s="3" t="s">
        <v>56</v>
      </c>
      <c r="F136" s="3">
        <v>4213</v>
      </c>
      <c r="G136" s="3">
        <v>253</v>
      </c>
      <c r="H136" s="3">
        <v>434</v>
      </c>
      <c r="I136" s="3">
        <v>75834</v>
      </c>
      <c r="J136" s="3">
        <v>75437</v>
      </c>
      <c r="K136" s="3">
        <v>272</v>
      </c>
      <c r="L136" s="7" t="s">
        <v>62</v>
      </c>
      <c r="M136" s="6" t="s">
        <v>38</v>
      </c>
    </row>
    <row r="137" spans="1:13" ht="14.25" customHeight="1" x14ac:dyDescent="0.35">
      <c r="A137" s="3" t="s">
        <v>308</v>
      </c>
      <c r="B137" s="3" t="s">
        <v>33</v>
      </c>
      <c r="C137" s="3" t="s">
        <v>309</v>
      </c>
      <c r="D137" s="3" t="s">
        <v>22</v>
      </c>
      <c r="E137" s="3" t="s">
        <v>113</v>
      </c>
      <c r="F137" s="3">
        <v>3134</v>
      </c>
      <c r="G137" s="3">
        <v>888</v>
      </c>
      <c r="H137" s="3">
        <v>444</v>
      </c>
      <c r="I137" s="3">
        <v>21938</v>
      </c>
      <c r="J137" s="3">
        <v>21337</v>
      </c>
      <c r="K137" s="3">
        <v>130</v>
      </c>
      <c r="L137" s="7" t="s">
        <v>37</v>
      </c>
      <c r="M137" s="6" t="s">
        <v>38</v>
      </c>
    </row>
    <row r="138" spans="1:13" ht="14.25" customHeight="1" x14ac:dyDescent="0.35">
      <c r="A138" s="3" t="s">
        <v>310</v>
      </c>
      <c r="B138" s="3" t="s">
        <v>43</v>
      </c>
      <c r="C138" s="3" t="s">
        <v>115</v>
      </c>
      <c r="D138" s="3" t="s">
        <v>74</v>
      </c>
      <c r="E138" s="3" t="s">
        <v>75</v>
      </c>
      <c r="F138" s="3">
        <v>3008</v>
      </c>
      <c r="G138" s="3">
        <v>94</v>
      </c>
      <c r="H138" s="3">
        <v>37</v>
      </c>
      <c r="I138" s="3">
        <v>15040</v>
      </c>
      <c r="J138" s="3">
        <v>14639</v>
      </c>
      <c r="K138" s="3">
        <v>277</v>
      </c>
      <c r="L138" s="7" t="s">
        <v>62</v>
      </c>
      <c r="M138" s="6"/>
    </row>
    <row r="139" spans="1:13" ht="14.25" customHeight="1" x14ac:dyDescent="0.35">
      <c r="A139" s="3" t="s">
        <v>311</v>
      </c>
      <c r="B139" s="3" t="s">
        <v>14</v>
      </c>
      <c r="C139" s="3" t="s">
        <v>188</v>
      </c>
      <c r="D139" s="3" t="s">
        <v>52</v>
      </c>
      <c r="E139" s="3" t="s">
        <v>132</v>
      </c>
      <c r="F139" s="3">
        <v>305</v>
      </c>
      <c r="G139" s="3">
        <v>187</v>
      </c>
      <c r="H139" s="3">
        <v>243</v>
      </c>
      <c r="I139" s="3">
        <v>4575</v>
      </c>
      <c r="J139" s="3">
        <v>3704</v>
      </c>
      <c r="K139" s="3">
        <v>234</v>
      </c>
      <c r="L139" s="7" t="s">
        <v>62</v>
      </c>
      <c r="M139" s="6" t="s">
        <v>31</v>
      </c>
    </row>
    <row r="140" spans="1:13" ht="14.25" customHeight="1" x14ac:dyDescent="0.35">
      <c r="A140" s="3" t="s">
        <v>312</v>
      </c>
      <c r="B140" s="3" t="s">
        <v>27</v>
      </c>
      <c r="C140" s="3" t="s">
        <v>313</v>
      </c>
      <c r="D140" s="3" t="s">
        <v>22</v>
      </c>
      <c r="E140" s="3" t="s">
        <v>104</v>
      </c>
      <c r="F140" s="3">
        <v>2746</v>
      </c>
      <c r="G140" s="3">
        <v>156</v>
      </c>
      <c r="H140" s="3">
        <v>203</v>
      </c>
      <c r="I140" s="3">
        <v>32952</v>
      </c>
      <c r="J140" s="3">
        <v>32147</v>
      </c>
      <c r="K140" s="3">
        <v>147</v>
      </c>
      <c r="L140" s="7" t="s">
        <v>37</v>
      </c>
      <c r="M140" s="5" t="s">
        <v>19</v>
      </c>
    </row>
    <row r="141" spans="1:13" ht="14.25" customHeight="1" x14ac:dyDescent="0.35">
      <c r="A141" s="3" t="s">
        <v>314</v>
      </c>
      <c r="B141" s="3" t="s">
        <v>43</v>
      </c>
      <c r="C141" s="3" t="s">
        <v>315</v>
      </c>
      <c r="D141" s="3" t="s">
        <v>52</v>
      </c>
      <c r="E141" s="3" t="s">
        <v>59</v>
      </c>
      <c r="F141" s="3">
        <v>2291</v>
      </c>
      <c r="G141" s="3">
        <v>78</v>
      </c>
      <c r="H141" s="3">
        <v>485</v>
      </c>
      <c r="I141" s="3">
        <v>18328</v>
      </c>
      <c r="J141" s="3">
        <v>18101</v>
      </c>
      <c r="K141" s="3">
        <v>10</v>
      </c>
      <c r="L141" s="4" t="s">
        <v>316</v>
      </c>
      <c r="M141" s="6" t="s">
        <v>25</v>
      </c>
    </row>
    <row r="142" spans="1:13" ht="14.25" customHeight="1" x14ac:dyDescent="0.35">
      <c r="A142" s="3" t="s">
        <v>317</v>
      </c>
      <c r="B142" s="3" t="s">
        <v>14</v>
      </c>
      <c r="C142" s="3" t="s">
        <v>318</v>
      </c>
      <c r="D142" s="3" t="s">
        <v>52</v>
      </c>
      <c r="E142" s="3" t="s">
        <v>132</v>
      </c>
      <c r="F142" s="3">
        <v>3170</v>
      </c>
      <c r="G142" s="3">
        <v>857</v>
      </c>
      <c r="H142" s="3">
        <v>379</v>
      </c>
      <c r="I142" s="3">
        <v>19020</v>
      </c>
      <c r="J142" s="3">
        <v>18559</v>
      </c>
      <c r="K142" s="3">
        <v>240</v>
      </c>
      <c r="L142" s="7" t="s">
        <v>62</v>
      </c>
      <c r="M142" s="6"/>
    </row>
    <row r="143" spans="1:13" ht="14.25" customHeight="1" x14ac:dyDescent="0.35">
      <c r="A143" s="3" t="s">
        <v>319</v>
      </c>
      <c r="B143" s="3" t="s">
        <v>27</v>
      </c>
      <c r="C143" s="3" t="s">
        <v>264</v>
      </c>
      <c r="D143" s="3" t="s">
        <v>35</v>
      </c>
      <c r="E143" s="3" t="s">
        <v>154</v>
      </c>
      <c r="F143" s="3">
        <v>2070</v>
      </c>
      <c r="G143" s="3">
        <v>275</v>
      </c>
      <c r="H143" s="3">
        <v>386</v>
      </c>
      <c r="I143" s="3">
        <v>39330</v>
      </c>
      <c r="J143" s="3">
        <v>38627</v>
      </c>
      <c r="K143" s="3">
        <v>114</v>
      </c>
      <c r="L143" s="7" t="s">
        <v>62</v>
      </c>
      <c r="M143" s="6" t="s">
        <v>38</v>
      </c>
    </row>
    <row r="144" spans="1:13" ht="14.25" customHeight="1" x14ac:dyDescent="0.35">
      <c r="A144" s="3" t="s">
        <v>320</v>
      </c>
      <c r="B144" s="3" t="s">
        <v>27</v>
      </c>
      <c r="C144" s="3" t="s">
        <v>274</v>
      </c>
      <c r="D144" s="3" t="s">
        <v>45</v>
      </c>
      <c r="E144" s="3" t="s">
        <v>68</v>
      </c>
      <c r="F144" s="3">
        <v>80</v>
      </c>
      <c r="G144" s="3">
        <v>362</v>
      </c>
      <c r="H144" s="3">
        <v>80</v>
      </c>
      <c r="I144" s="3">
        <v>1040</v>
      </c>
      <c r="J144" s="3">
        <v>349</v>
      </c>
      <c r="K144" s="3">
        <v>117</v>
      </c>
      <c r="L144" s="7" t="s">
        <v>30</v>
      </c>
      <c r="M144" s="6" t="s">
        <v>31</v>
      </c>
    </row>
    <row r="145" spans="1:13" ht="14.25" customHeight="1" x14ac:dyDescent="0.35">
      <c r="A145" s="3" t="s">
        <v>321</v>
      </c>
      <c r="B145" s="3" t="s">
        <v>27</v>
      </c>
      <c r="C145" s="3" t="s">
        <v>201</v>
      </c>
      <c r="D145" s="3" t="s">
        <v>35</v>
      </c>
      <c r="E145" s="3" t="s">
        <v>154</v>
      </c>
      <c r="F145" s="3">
        <v>4929</v>
      </c>
      <c r="G145" s="3">
        <v>749</v>
      </c>
      <c r="H145" s="3">
        <v>452</v>
      </c>
      <c r="I145" s="3">
        <v>93651</v>
      </c>
      <c r="J145" s="3">
        <v>92810</v>
      </c>
      <c r="K145" s="3">
        <v>66</v>
      </c>
      <c r="L145" s="7" t="s">
        <v>37</v>
      </c>
      <c r="M145" s="6" t="s">
        <v>38</v>
      </c>
    </row>
    <row r="146" spans="1:13" ht="14.25" customHeight="1" x14ac:dyDescent="0.35">
      <c r="A146" s="3" t="s">
        <v>322</v>
      </c>
      <c r="B146" s="3" t="s">
        <v>33</v>
      </c>
      <c r="C146" s="3" t="s">
        <v>34</v>
      </c>
      <c r="D146" s="3" t="s">
        <v>45</v>
      </c>
      <c r="E146" s="3" t="s">
        <v>88</v>
      </c>
      <c r="F146" s="3">
        <v>1878</v>
      </c>
      <c r="G146" s="3">
        <v>62</v>
      </c>
      <c r="H146" s="3">
        <v>179</v>
      </c>
      <c r="I146" s="3">
        <v>37560</v>
      </c>
      <c r="J146" s="3">
        <v>36874</v>
      </c>
      <c r="K146" s="3">
        <v>142</v>
      </c>
      <c r="L146" s="7" t="s">
        <v>30</v>
      </c>
      <c r="M146" s="6" t="s">
        <v>38</v>
      </c>
    </row>
    <row r="147" spans="1:13" ht="14.25" customHeight="1" x14ac:dyDescent="0.35">
      <c r="A147" s="3" t="s">
        <v>323</v>
      </c>
      <c r="B147" s="3" t="s">
        <v>27</v>
      </c>
      <c r="C147" s="3" t="s">
        <v>324</v>
      </c>
      <c r="D147" s="3" t="s">
        <v>16</v>
      </c>
      <c r="E147" s="3" t="s">
        <v>29</v>
      </c>
      <c r="F147" s="3">
        <v>3065</v>
      </c>
      <c r="G147" s="3">
        <v>772</v>
      </c>
      <c r="H147" s="3">
        <v>142</v>
      </c>
      <c r="I147" s="3">
        <v>18390</v>
      </c>
      <c r="J147" s="3">
        <v>17875</v>
      </c>
      <c r="K147" s="3">
        <v>200</v>
      </c>
      <c r="L147" s="4" t="s">
        <v>325</v>
      </c>
      <c r="M147" s="6"/>
    </row>
    <row r="148" spans="1:13" ht="14.25" customHeight="1" x14ac:dyDescent="0.35">
      <c r="A148" s="3" t="s">
        <v>326</v>
      </c>
      <c r="B148" s="3" t="s">
        <v>33</v>
      </c>
      <c r="C148" s="3" t="s">
        <v>168</v>
      </c>
      <c r="D148" s="3" t="s">
        <v>16</v>
      </c>
      <c r="E148" s="3" t="s">
        <v>82</v>
      </c>
      <c r="F148" s="3">
        <v>3256</v>
      </c>
      <c r="G148" s="3">
        <v>459</v>
      </c>
      <c r="H148" s="3">
        <v>266</v>
      </c>
      <c r="I148" s="3">
        <v>26048</v>
      </c>
      <c r="J148" s="3">
        <v>25529</v>
      </c>
      <c r="K148" s="3">
        <v>143</v>
      </c>
      <c r="L148" s="7" t="s">
        <v>30</v>
      </c>
      <c r="M148" s="6" t="s">
        <v>25</v>
      </c>
    </row>
    <row r="149" spans="1:13" ht="14.25" customHeight="1" x14ac:dyDescent="0.35">
      <c r="A149" s="3" t="s">
        <v>327</v>
      </c>
      <c r="B149" s="3" t="s">
        <v>33</v>
      </c>
      <c r="C149" s="3" t="s">
        <v>170</v>
      </c>
      <c r="D149" s="3" t="s">
        <v>74</v>
      </c>
      <c r="E149" s="3" t="s">
        <v>85</v>
      </c>
      <c r="F149" s="3">
        <v>4133</v>
      </c>
      <c r="G149" s="3">
        <v>466</v>
      </c>
      <c r="H149" s="3">
        <v>327</v>
      </c>
      <c r="I149" s="3">
        <v>24798</v>
      </c>
      <c r="J149" s="3">
        <v>24620</v>
      </c>
      <c r="K149" s="3">
        <v>176</v>
      </c>
      <c r="L149" s="7" t="s">
        <v>37</v>
      </c>
      <c r="M149" s="6" t="s">
        <v>38</v>
      </c>
    </row>
    <row r="150" spans="1:13" ht="14.25" customHeight="1" x14ac:dyDescent="0.35">
      <c r="A150" s="3" t="s">
        <v>328</v>
      </c>
      <c r="B150" s="3" t="s">
        <v>14</v>
      </c>
      <c r="C150" s="3" t="s">
        <v>329</v>
      </c>
      <c r="D150" s="3" t="s">
        <v>74</v>
      </c>
      <c r="E150" s="3" t="s">
        <v>145</v>
      </c>
      <c r="F150" s="3">
        <v>1702</v>
      </c>
      <c r="G150" s="3">
        <v>750</v>
      </c>
      <c r="H150" s="3">
        <v>179</v>
      </c>
      <c r="I150" s="3">
        <v>34040</v>
      </c>
      <c r="J150" s="3">
        <v>33174</v>
      </c>
      <c r="K150" s="3">
        <v>76</v>
      </c>
      <c r="L150" s="7" t="s">
        <v>37</v>
      </c>
      <c r="M150" s="5" t="s">
        <v>19</v>
      </c>
    </row>
    <row r="151" spans="1:13" ht="14.25" customHeight="1" x14ac:dyDescent="0.35">
      <c r="A151" s="3" t="s">
        <v>330</v>
      </c>
      <c r="B151" s="3" t="s">
        <v>27</v>
      </c>
      <c r="C151" s="3" t="s">
        <v>331</v>
      </c>
      <c r="D151" s="3" t="s">
        <v>45</v>
      </c>
      <c r="E151" s="3" t="s">
        <v>68</v>
      </c>
      <c r="F151" s="3">
        <v>4295</v>
      </c>
      <c r="G151" s="3">
        <v>853</v>
      </c>
      <c r="H151" s="3">
        <v>325</v>
      </c>
      <c r="I151" s="3">
        <v>85900</v>
      </c>
      <c r="J151" s="3">
        <v>85788</v>
      </c>
      <c r="K151" s="3">
        <v>290</v>
      </c>
      <c r="L151" s="7" t="s">
        <v>30</v>
      </c>
      <c r="M151" s="6" t="s">
        <v>38</v>
      </c>
    </row>
    <row r="152" spans="1:13" ht="14.25" customHeight="1" x14ac:dyDescent="0.35">
      <c r="A152" s="3" t="s">
        <v>332</v>
      </c>
      <c r="B152" s="3" t="s">
        <v>33</v>
      </c>
      <c r="C152" s="3" t="s">
        <v>186</v>
      </c>
      <c r="D152" s="3" t="s">
        <v>52</v>
      </c>
      <c r="E152" s="3" t="s">
        <v>215</v>
      </c>
      <c r="F152" s="3">
        <v>3559</v>
      </c>
      <c r="G152" s="3">
        <v>59</v>
      </c>
      <c r="H152" s="3">
        <v>289</v>
      </c>
      <c r="I152" s="3">
        <v>35590</v>
      </c>
      <c r="J152" s="3">
        <v>35105</v>
      </c>
      <c r="K152" s="3">
        <v>122</v>
      </c>
      <c r="L152" s="7" t="s">
        <v>37</v>
      </c>
      <c r="M152" s="5" t="s">
        <v>19</v>
      </c>
    </row>
    <row r="153" spans="1:13" ht="14.25" customHeight="1" x14ac:dyDescent="0.35">
      <c r="A153" s="3" t="s">
        <v>333</v>
      </c>
      <c r="B153" s="3" t="s">
        <v>43</v>
      </c>
      <c r="C153" s="3" t="s">
        <v>334</v>
      </c>
      <c r="D153" s="3" t="s">
        <v>52</v>
      </c>
      <c r="E153" s="3" t="s">
        <v>59</v>
      </c>
      <c r="F153" s="3">
        <v>4804</v>
      </c>
      <c r="G153" s="3">
        <v>550</v>
      </c>
      <c r="H153" s="3">
        <v>270</v>
      </c>
      <c r="I153" s="3">
        <v>28824</v>
      </c>
      <c r="J153" s="3">
        <v>28370</v>
      </c>
      <c r="K153" s="3">
        <v>47</v>
      </c>
      <c r="L153" s="7" t="s">
        <v>37</v>
      </c>
      <c r="M153" s="6" t="s">
        <v>38</v>
      </c>
    </row>
    <row r="154" spans="1:13" ht="14.25" customHeight="1" x14ac:dyDescent="0.35">
      <c r="A154" s="3" t="s">
        <v>335</v>
      </c>
      <c r="B154" s="3" t="s">
        <v>14</v>
      </c>
      <c r="C154" s="3" t="s">
        <v>336</v>
      </c>
      <c r="D154" s="3" t="s">
        <v>74</v>
      </c>
      <c r="E154" s="3" t="s">
        <v>145</v>
      </c>
      <c r="F154" s="3">
        <v>754</v>
      </c>
      <c r="G154" s="3">
        <v>197</v>
      </c>
      <c r="H154" s="3">
        <v>257</v>
      </c>
      <c r="I154" s="3">
        <v>6786</v>
      </c>
      <c r="J154" s="3">
        <v>6221</v>
      </c>
      <c r="K154" s="3">
        <v>212</v>
      </c>
      <c r="L154" s="7" t="s">
        <v>30</v>
      </c>
      <c r="M154" s="6" t="s">
        <v>31</v>
      </c>
    </row>
    <row r="155" spans="1:13" ht="14.25" customHeight="1" x14ac:dyDescent="0.35">
      <c r="A155" s="3" t="s">
        <v>337</v>
      </c>
      <c r="B155" s="3" t="s">
        <v>33</v>
      </c>
      <c r="C155" s="3" t="s">
        <v>209</v>
      </c>
      <c r="D155" s="3" t="s">
        <v>45</v>
      </c>
      <c r="E155" s="3" t="s">
        <v>88</v>
      </c>
      <c r="F155" s="3">
        <v>985</v>
      </c>
      <c r="G155" s="3">
        <v>932</v>
      </c>
      <c r="H155" s="3">
        <v>287</v>
      </c>
      <c r="I155" s="3">
        <v>6895</v>
      </c>
      <c r="J155" s="3">
        <v>6757</v>
      </c>
      <c r="K155" s="3">
        <v>64</v>
      </c>
      <c r="L155" s="7" t="s">
        <v>62</v>
      </c>
      <c r="M155" s="6" t="s">
        <v>38</v>
      </c>
    </row>
    <row r="156" spans="1:13" ht="14.25" customHeight="1" x14ac:dyDescent="0.35">
      <c r="A156" s="3" t="s">
        <v>338</v>
      </c>
      <c r="B156" s="3" t="s">
        <v>27</v>
      </c>
      <c r="C156" s="3" t="s">
        <v>339</v>
      </c>
      <c r="D156" s="3" t="s">
        <v>52</v>
      </c>
      <c r="E156" s="3" t="s">
        <v>53</v>
      </c>
      <c r="F156" s="3">
        <v>2283</v>
      </c>
      <c r="G156" s="3">
        <v>210</v>
      </c>
      <c r="H156" s="3">
        <v>130</v>
      </c>
      <c r="I156" s="3">
        <v>22830</v>
      </c>
      <c r="J156" s="3">
        <v>22617</v>
      </c>
      <c r="K156" s="3">
        <v>143</v>
      </c>
      <c r="L156" s="7" t="s">
        <v>62</v>
      </c>
      <c r="M156" s="6" t="s">
        <v>25</v>
      </c>
    </row>
    <row r="157" spans="1:13" ht="14.25" customHeight="1" x14ac:dyDescent="0.35">
      <c r="A157" s="3" t="s">
        <v>340</v>
      </c>
      <c r="B157" s="3" t="s">
        <v>43</v>
      </c>
      <c r="C157" s="3" t="s">
        <v>341</v>
      </c>
      <c r="D157" s="3" t="s">
        <v>45</v>
      </c>
      <c r="E157" s="3" t="s">
        <v>46</v>
      </c>
      <c r="F157" s="3">
        <v>3352</v>
      </c>
      <c r="G157" s="3">
        <v>941</v>
      </c>
      <c r="H157" s="3">
        <v>482</v>
      </c>
      <c r="I157" s="3">
        <v>43576</v>
      </c>
      <c r="J157" s="3">
        <v>43338</v>
      </c>
      <c r="K157" s="3">
        <v>240</v>
      </c>
      <c r="L157" s="7" t="s">
        <v>62</v>
      </c>
      <c r="M157" s="6" t="s">
        <v>25</v>
      </c>
    </row>
    <row r="158" spans="1:13" ht="14.25" customHeight="1" x14ac:dyDescent="0.35">
      <c r="A158" s="3" t="s">
        <v>342</v>
      </c>
      <c r="B158" s="3" t="s">
        <v>27</v>
      </c>
      <c r="C158" s="3" t="s">
        <v>343</v>
      </c>
      <c r="D158" s="3" t="s">
        <v>35</v>
      </c>
      <c r="E158" s="3" t="s">
        <v>154</v>
      </c>
      <c r="F158" s="3">
        <v>4775</v>
      </c>
      <c r="G158" s="3">
        <v>173</v>
      </c>
      <c r="H158" s="3">
        <v>206</v>
      </c>
      <c r="I158" s="3">
        <v>47750</v>
      </c>
      <c r="J158" s="3">
        <v>47544</v>
      </c>
      <c r="K158" s="3">
        <v>187</v>
      </c>
      <c r="L158" s="7" t="s">
        <v>62</v>
      </c>
      <c r="M158" s="6" t="s">
        <v>25</v>
      </c>
    </row>
    <row r="159" spans="1:13" ht="14.25" customHeight="1" x14ac:dyDescent="0.35">
      <c r="A159" s="3" t="s">
        <v>344</v>
      </c>
      <c r="B159" s="3" t="s">
        <v>33</v>
      </c>
      <c r="C159" s="3" t="s">
        <v>345</v>
      </c>
      <c r="D159" s="3" t="s">
        <v>35</v>
      </c>
      <c r="E159" s="3" t="s">
        <v>36</v>
      </c>
      <c r="F159" s="3">
        <v>1762</v>
      </c>
      <c r="G159" s="3">
        <v>405</v>
      </c>
      <c r="H159" s="3">
        <v>423</v>
      </c>
      <c r="I159" s="3">
        <v>22906</v>
      </c>
      <c r="J159" s="3">
        <v>21925</v>
      </c>
      <c r="K159" s="3">
        <v>25</v>
      </c>
      <c r="L159" s="7" t="s">
        <v>30</v>
      </c>
      <c r="M159" s="5" t="s">
        <v>19</v>
      </c>
    </row>
    <row r="160" spans="1:13" ht="14.25" customHeight="1" x14ac:dyDescent="0.35">
      <c r="A160" s="3" t="s">
        <v>346</v>
      </c>
      <c r="B160" s="3" t="s">
        <v>43</v>
      </c>
      <c r="C160" s="3" t="s">
        <v>129</v>
      </c>
      <c r="D160" s="3" t="s">
        <v>35</v>
      </c>
      <c r="E160" s="3" t="s">
        <v>71</v>
      </c>
      <c r="F160" s="3">
        <v>2120</v>
      </c>
      <c r="G160" s="3">
        <v>158</v>
      </c>
      <c r="H160" s="3">
        <v>488</v>
      </c>
      <c r="I160" s="3">
        <v>12720</v>
      </c>
      <c r="J160" s="3">
        <v>12085</v>
      </c>
      <c r="K160" s="3">
        <v>17</v>
      </c>
      <c r="L160" s="7" t="s">
        <v>62</v>
      </c>
      <c r="M160" s="6" t="s">
        <v>25</v>
      </c>
    </row>
    <row r="161" spans="1:13" ht="14.25" customHeight="1" x14ac:dyDescent="0.35">
      <c r="A161" s="3" t="s">
        <v>347</v>
      </c>
      <c r="B161" s="3" t="s">
        <v>14</v>
      </c>
      <c r="C161" s="3" t="s">
        <v>348</v>
      </c>
      <c r="D161" s="3" t="s">
        <v>74</v>
      </c>
      <c r="E161" s="3" t="s">
        <v>145</v>
      </c>
      <c r="F161" s="3">
        <v>1082</v>
      </c>
      <c r="G161" s="3">
        <v>209</v>
      </c>
      <c r="H161" s="3">
        <v>484</v>
      </c>
      <c r="I161" s="3">
        <v>19476</v>
      </c>
      <c r="J161" s="3">
        <v>18654</v>
      </c>
      <c r="K161" s="3">
        <v>20</v>
      </c>
      <c r="L161" s="7" t="s">
        <v>30</v>
      </c>
      <c r="M161" s="6"/>
    </row>
    <row r="162" spans="1:13" ht="14.25" customHeight="1" x14ac:dyDescent="0.35">
      <c r="A162" s="3" t="s">
        <v>349</v>
      </c>
      <c r="B162" s="3" t="s">
        <v>14</v>
      </c>
      <c r="C162" s="3" t="s">
        <v>350</v>
      </c>
      <c r="D162" s="3" t="s">
        <v>22</v>
      </c>
      <c r="E162" s="3" t="s">
        <v>23</v>
      </c>
      <c r="F162" s="3">
        <v>4671</v>
      </c>
      <c r="G162" s="3">
        <v>876</v>
      </c>
      <c r="H162" s="3">
        <v>366</v>
      </c>
      <c r="I162" s="3">
        <v>51381</v>
      </c>
      <c r="J162" s="3">
        <v>50565</v>
      </c>
      <c r="K162" s="3">
        <v>245</v>
      </c>
      <c r="L162" s="7" t="s">
        <v>30</v>
      </c>
      <c r="M162" s="6" t="s">
        <v>38</v>
      </c>
    </row>
    <row r="163" spans="1:13" ht="14.25" customHeight="1" x14ac:dyDescent="0.35">
      <c r="A163" s="3" t="s">
        <v>351</v>
      </c>
      <c r="B163" s="3" t="s">
        <v>43</v>
      </c>
      <c r="C163" s="3" t="s">
        <v>352</v>
      </c>
      <c r="D163" s="3" t="s">
        <v>35</v>
      </c>
      <c r="E163" s="3" t="s">
        <v>71</v>
      </c>
      <c r="F163" s="3">
        <v>3430</v>
      </c>
      <c r="G163" s="3">
        <v>566</v>
      </c>
      <c r="H163" s="3">
        <v>164</v>
      </c>
      <c r="I163" s="3">
        <v>48020</v>
      </c>
      <c r="J163" s="3">
        <v>47305</v>
      </c>
      <c r="K163" s="3">
        <v>120</v>
      </c>
      <c r="L163" s="7" t="s">
        <v>62</v>
      </c>
      <c r="M163" s="6"/>
    </row>
    <row r="164" spans="1:13" ht="14.25" customHeight="1" x14ac:dyDescent="0.35">
      <c r="A164" s="3" t="s">
        <v>353</v>
      </c>
      <c r="B164" s="3" t="s">
        <v>33</v>
      </c>
      <c r="C164" s="3" t="s">
        <v>354</v>
      </c>
      <c r="D164" s="3" t="s">
        <v>52</v>
      </c>
      <c r="E164" s="3" t="s">
        <v>215</v>
      </c>
      <c r="F164" s="3">
        <v>4501</v>
      </c>
      <c r="G164" s="3">
        <v>375</v>
      </c>
      <c r="H164" s="3">
        <v>323</v>
      </c>
      <c r="I164" s="3">
        <v>22505</v>
      </c>
      <c r="J164" s="3">
        <v>21836</v>
      </c>
      <c r="K164" s="3">
        <v>132</v>
      </c>
      <c r="L164" s="7" t="s">
        <v>30</v>
      </c>
      <c r="M164" s="6" t="s">
        <v>25</v>
      </c>
    </row>
    <row r="165" spans="1:13" ht="14.25" customHeight="1" x14ac:dyDescent="0.35">
      <c r="A165" s="3" t="s">
        <v>355</v>
      </c>
      <c r="B165" s="3" t="s">
        <v>27</v>
      </c>
      <c r="C165" s="3" t="s">
        <v>92</v>
      </c>
      <c r="D165" s="3" t="s">
        <v>22</v>
      </c>
      <c r="E165" s="3" t="s">
        <v>104</v>
      </c>
      <c r="F165" s="3">
        <v>4934</v>
      </c>
      <c r="G165" s="3">
        <v>971</v>
      </c>
      <c r="H165" s="3">
        <v>156</v>
      </c>
      <c r="I165" s="3">
        <v>39472</v>
      </c>
      <c r="J165" s="3">
        <v>39025</v>
      </c>
      <c r="K165" s="3">
        <v>169</v>
      </c>
      <c r="L165" s="4" t="s">
        <v>95</v>
      </c>
      <c r="M165" s="6" t="s">
        <v>38</v>
      </c>
    </row>
    <row r="166" spans="1:13" ht="14.25" customHeight="1" x14ac:dyDescent="0.35">
      <c r="A166" s="3" t="s">
        <v>356</v>
      </c>
      <c r="B166" s="3" t="s">
        <v>14</v>
      </c>
      <c r="C166" s="3" t="s">
        <v>237</v>
      </c>
      <c r="D166" s="3" t="s">
        <v>22</v>
      </c>
      <c r="E166" s="3" t="s">
        <v>23</v>
      </c>
      <c r="F166" s="3">
        <v>3239</v>
      </c>
      <c r="G166" s="3">
        <v>43</v>
      </c>
      <c r="H166" s="3">
        <v>211</v>
      </c>
      <c r="I166" s="3">
        <v>22673</v>
      </c>
      <c r="J166" s="3">
        <v>22171</v>
      </c>
      <c r="K166" s="3">
        <v>230</v>
      </c>
      <c r="L166" s="7" t="s">
        <v>30</v>
      </c>
      <c r="M166" s="6" t="s">
        <v>25</v>
      </c>
    </row>
    <row r="167" spans="1:13" ht="14.25" customHeight="1" x14ac:dyDescent="0.35">
      <c r="A167" s="3" t="s">
        <v>357</v>
      </c>
      <c r="B167" s="3" t="s">
        <v>14</v>
      </c>
      <c r="C167" s="3" t="s">
        <v>70</v>
      </c>
      <c r="D167" s="3" t="s">
        <v>16</v>
      </c>
      <c r="E167" s="3" t="s">
        <v>17</v>
      </c>
      <c r="F167" s="3">
        <v>1076</v>
      </c>
      <c r="G167" s="3">
        <v>313</v>
      </c>
      <c r="H167" s="3">
        <v>306</v>
      </c>
      <c r="I167" s="3">
        <v>11836</v>
      </c>
      <c r="J167" s="3">
        <v>11596</v>
      </c>
      <c r="K167" s="3">
        <v>104</v>
      </c>
      <c r="L167" s="7" t="s">
        <v>62</v>
      </c>
      <c r="M167" s="5" t="s">
        <v>19</v>
      </c>
    </row>
    <row r="168" spans="1:13" ht="14.25" customHeight="1" x14ac:dyDescent="0.35">
      <c r="A168" s="3" t="s">
        <v>358</v>
      </c>
      <c r="B168" s="3" t="s">
        <v>33</v>
      </c>
      <c r="C168" s="3" t="s">
        <v>307</v>
      </c>
      <c r="D168" s="3" t="s">
        <v>22</v>
      </c>
      <c r="E168" s="3" t="s">
        <v>113</v>
      </c>
      <c r="F168" s="3">
        <v>4771</v>
      </c>
      <c r="G168" s="3">
        <v>818</v>
      </c>
      <c r="H168" s="3">
        <v>56</v>
      </c>
      <c r="I168" s="3">
        <v>57252</v>
      </c>
      <c r="J168" s="3">
        <v>56378</v>
      </c>
      <c r="K168" s="3">
        <v>150</v>
      </c>
      <c r="L168" s="7" t="s">
        <v>62</v>
      </c>
      <c r="M168" s="6"/>
    </row>
    <row r="169" spans="1:13" ht="14.25" customHeight="1" x14ac:dyDescent="0.35">
      <c r="A169" s="3" t="s">
        <v>359</v>
      </c>
      <c r="B169" s="3" t="s">
        <v>43</v>
      </c>
      <c r="C169" s="3" t="s">
        <v>360</v>
      </c>
      <c r="D169" s="3" t="s">
        <v>22</v>
      </c>
      <c r="E169" s="3" t="s">
        <v>56</v>
      </c>
      <c r="F169" s="3">
        <v>2418</v>
      </c>
      <c r="G169" s="3">
        <v>754</v>
      </c>
      <c r="H169" s="3">
        <v>54</v>
      </c>
      <c r="I169" s="3">
        <v>43524</v>
      </c>
      <c r="J169" s="3">
        <v>42743</v>
      </c>
      <c r="K169" s="3">
        <v>182</v>
      </c>
      <c r="L169" s="7" t="s">
        <v>37</v>
      </c>
      <c r="M169" s="5" t="s">
        <v>19</v>
      </c>
    </row>
    <row r="170" spans="1:13" ht="14.25" customHeight="1" x14ac:dyDescent="0.35">
      <c r="A170" s="3" t="s">
        <v>361</v>
      </c>
      <c r="B170" s="3" t="s">
        <v>27</v>
      </c>
      <c r="C170" s="3" t="s">
        <v>362</v>
      </c>
      <c r="D170" s="3" t="s">
        <v>74</v>
      </c>
      <c r="E170" s="3" t="s">
        <v>219</v>
      </c>
      <c r="F170" s="3">
        <v>3809</v>
      </c>
      <c r="G170" s="3">
        <v>273</v>
      </c>
      <c r="H170" s="3">
        <v>200</v>
      </c>
      <c r="I170" s="3">
        <v>34281</v>
      </c>
      <c r="J170" s="3">
        <v>33534</v>
      </c>
      <c r="K170" s="3">
        <v>83</v>
      </c>
      <c r="L170" s="7" t="s">
        <v>37</v>
      </c>
      <c r="M170" s="5" t="s">
        <v>19</v>
      </c>
    </row>
    <row r="171" spans="1:13" ht="14.25" customHeight="1" x14ac:dyDescent="0.35">
      <c r="A171" s="3" t="s">
        <v>363</v>
      </c>
      <c r="B171" s="3" t="s">
        <v>14</v>
      </c>
      <c r="C171" s="3" t="s">
        <v>364</v>
      </c>
      <c r="D171" s="3" t="s">
        <v>22</v>
      </c>
      <c r="E171" s="3" t="s">
        <v>23</v>
      </c>
      <c r="F171" s="3">
        <v>3577</v>
      </c>
      <c r="G171" s="3">
        <v>596</v>
      </c>
      <c r="H171" s="3">
        <v>493</v>
      </c>
      <c r="I171" s="3">
        <v>67963</v>
      </c>
      <c r="J171" s="3">
        <v>67839</v>
      </c>
      <c r="K171" s="3">
        <v>53</v>
      </c>
      <c r="L171" s="7" t="s">
        <v>30</v>
      </c>
      <c r="M171" s="6" t="s">
        <v>31</v>
      </c>
    </row>
    <row r="172" spans="1:13" ht="14.25" customHeight="1" x14ac:dyDescent="0.35">
      <c r="A172" s="3" t="s">
        <v>365</v>
      </c>
      <c r="B172" s="3" t="s">
        <v>27</v>
      </c>
      <c r="C172" s="3" t="s">
        <v>366</v>
      </c>
      <c r="D172" s="3" t="s">
        <v>74</v>
      </c>
      <c r="E172" s="3" t="s">
        <v>219</v>
      </c>
      <c r="F172" s="3">
        <v>1018</v>
      </c>
      <c r="G172" s="3">
        <v>447</v>
      </c>
      <c r="H172" s="3">
        <v>332</v>
      </c>
      <c r="I172" s="3">
        <v>18324</v>
      </c>
      <c r="J172" s="3">
        <v>18164</v>
      </c>
      <c r="K172" s="3">
        <v>38</v>
      </c>
      <c r="L172" s="7" t="s">
        <v>62</v>
      </c>
      <c r="M172" s="6" t="s">
        <v>25</v>
      </c>
    </row>
    <row r="173" spans="1:13" ht="14.25" customHeight="1" x14ac:dyDescent="0.35">
      <c r="A173" s="3" t="s">
        <v>367</v>
      </c>
      <c r="B173" s="3" t="s">
        <v>43</v>
      </c>
      <c r="C173" s="3" t="s">
        <v>368</v>
      </c>
      <c r="D173" s="3" t="s">
        <v>45</v>
      </c>
      <c r="E173" s="3" t="s">
        <v>46</v>
      </c>
      <c r="F173" s="3">
        <v>3073</v>
      </c>
      <c r="G173" s="3">
        <v>553</v>
      </c>
      <c r="H173" s="3">
        <v>174</v>
      </c>
      <c r="I173" s="3">
        <v>52241</v>
      </c>
      <c r="J173" s="3">
        <v>51605</v>
      </c>
      <c r="K173" s="3">
        <v>246</v>
      </c>
      <c r="L173" s="7" t="s">
        <v>37</v>
      </c>
      <c r="M173" s="6" t="s">
        <v>31</v>
      </c>
    </row>
    <row r="174" spans="1:13" ht="14.25" customHeight="1" x14ac:dyDescent="0.35">
      <c r="A174" s="3" t="s">
        <v>369</v>
      </c>
      <c r="B174" s="3" t="s">
        <v>14</v>
      </c>
      <c r="C174" s="3" t="s">
        <v>370</v>
      </c>
      <c r="D174" s="3" t="s">
        <v>74</v>
      </c>
      <c r="E174" s="3" t="s">
        <v>145</v>
      </c>
      <c r="F174" s="3">
        <v>1330</v>
      </c>
      <c r="G174" s="3">
        <v>925</v>
      </c>
      <c r="H174" s="3">
        <v>35</v>
      </c>
      <c r="I174" s="3">
        <v>15960</v>
      </c>
      <c r="J174" s="3">
        <v>15379</v>
      </c>
      <c r="K174" s="3">
        <v>229</v>
      </c>
      <c r="L174" s="7" t="s">
        <v>62</v>
      </c>
      <c r="M174" s="6" t="s">
        <v>31</v>
      </c>
    </row>
    <row r="175" spans="1:13" ht="14.25" customHeight="1" x14ac:dyDescent="0.35">
      <c r="A175" s="3" t="s">
        <v>371</v>
      </c>
      <c r="B175" s="3" t="s">
        <v>43</v>
      </c>
      <c r="C175" s="3" t="s">
        <v>172</v>
      </c>
      <c r="D175" s="3" t="s">
        <v>22</v>
      </c>
      <c r="E175" s="3" t="s">
        <v>56</v>
      </c>
      <c r="F175" s="3">
        <v>3828</v>
      </c>
      <c r="G175" s="3">
        <v>148</v>
      </c>
      <c r="H175" s="3">
        <v>253</v>
      </c>
      <c r="I175" s="3">
        <v>30624</v>
      </c>
      <c r="J175" s="3">
        <v>30229</v>
      </c>
      <c r="K175" s="3">
        <v>235</v>
      </c>
      <c r="L175" s="7" t="s">
        <v>37</v>
      </c>
      <c r="M175" s="6"/>
    </row>
    <row r="176" spans="1:13" ht="14.25" customHeight="1" x14ac:dyDescent="0.35">
      <c r="A176" s="3" t="s">
        <v>372</v>
      </c>
      <c r="B176" s="3" t="s">
        <v>33</v>
      </c>
      <c r="C176" s="3" t="s">
        <v>373</v>
      </c>
      <c r="D176" s="3" t="s">
        <v>16</v>
      </c>
      <c r="E176" s="3" t="s">
        <v>82</v>
      </c>
      <c r="F176" s="3">
        <v>142</v>
      </c>
      <c r="G176" s="3">
        <v>784</v>
      </c>
      <c r="H176" s="3">
        <v>183</v>
      </c>
      <c r="I176" s="3">
        <v>1704</v>
      </c>
      <c r="J176" s="3">
        <v>995</v>
      </c>
      <c r="K176" s="3">
        <v>154</v>
      </c>
      <c r="L176" s="7" t="s">
        <v>62</v>
      </c>
      <c r="M176" s="6" t="s">
        <v>38</v>
      </c>
    </row>
    <row r="177" spans="1:13" ht="14.25" customHeight="1" x14ac:dyDescent="0.35">
      <c r="A177" s="3" t="s">
        <v>374</v>
      </c>
      <c r="B177" s="3" t="s">
        <v>43</v>
      </c>
      <c r="C177" s="3" t="s">
        <v>375</v>
      </c>
      <c r="D177" s="3" t="s">
        <v>74</v>
      </c>
      <c r="E177" s="3" t="s">
        <v>75</v>
      </c>
      <c r="F177" s="3">
        <v>3798</v>
      </c>
      <c r="G177" s="3">
        <v>31</v>
      </c>
      <c r="H177" s="3">
        <v>279</v>
      </c>
      <c r="I177" s="3">
        <v>75960</v>
      </c>
      <c r="J177" s="3">
        <v>75813</v>
      </c>
      <c r="K177" s="3">
        <v>266</v>
      </c>
      <c r="L177" s="7" t="s">
        <v>30</v>
      </c>
      <c r="M177" s="5" t="s">
        <v>19</v>
      </c>
    </row>
    <row r="178" spans="1:13" ht="14.25" customHeight="1" x14ac:dyDescent="0.35">
      <c r="A178" s="3" t="s">
        <v>376</v>
      </c>
      <c r="B178" s="3" t="s">
        <v>33</v>
      </c>
      <c r="C178" s="3" t="s">
        <v>377</v>
      </c>
      <c r="D178" s="3" t="s">
        <v>45</v>
      </c>
      <c r="E178" s="3" t="s">
        <v>88</v>
      </c>
      <c r="F178" s="3">
        <v>3099</v>
      </c>
      <c r="G178" s="3">
        <v>694</v>
      </c>
      <c r="H178" s="3">
        <v>171</v>
      </c>
      <c r="I178" s="3">
        <v>43386</v>
      </c>
      <c r="J178" s="3">
        <v>42921</v>
      </c>
      <c r="K178" s="3">
        <v>52</v>
      </c>
      <c r="L178" s="7" t="s">
        <v>30</v>
      </c>
      <c r="M178" s="6" t="s">
        <v>31</v>
      </c>
    </row>
    <row r="179" spans="1:13" ht="14.25" customHeight="1" x14ac:dyDescent="0.35">
      <c r="A179" s="3" t="s">
        <v>378</v>
      </c>
      <c r="B179" s="3" t="s">
        <v>33</v>
      </c>
      <c r="C179" s="3" t="s">
        <v>205</v>
      </c>
      <c r="D179" s="3" t="s">
        <v>74</v>
      </c>
      <c r="E179" s="3" t="s">
        <v>85</v>
      </c>
      <c r="F179" s="3">
        <v>129</v>
      </c>
      <c r="G179" s="3">
        <v>643</v>
      </c>
      <c r="H179" s="3">
        <v>136</v>
      </c>
      <c r="I179" s="3">
        <v>1290</v>
      </c>
      <c r="J179" s="3">
        <v>839</v>
      </c>
      <c r="K179" s="3">
        <v>238</v>
      </c>
      <c r="L179" s="7" t="s">
        <v>30</v>
      </c>
      <c r="M179" s="6" t="s">
        <v>38</v>
      </c>
    </row>
    <row r="180" spans="1:13" ht="14.25" customHeight="1" x14ac:dyDescent="0.35">
      <c r="A180" s="3" t="s">
        <v>379</v>
      </c>
      <c r="B180" s="3" t="s">
        <v>43</v>
      </c>
      <c r="C180" s="3" t="s">
        <v>315</v>
      </c>
      <c r="D180" s="3" t="s">
        <v>45</v>
      </c>
      <c r="E180" s="3" t="s">
        <v>46</v>
      </c>
      <c r="F180" s="3">
        <v>3796</v>
      </c>
      <c r="G180" s="3">
        <v>667</v>
      </c>
      <c r="H180" s="3">
        <v>395</v>
      </c>
      <c r="I180" s="3">
        <v>64532</v>
      </c>
      <c r="J180" s="3">
        <v>63550</v>
      </c>
      <c r="K180" s="3">
        <v>292</v>
      </c>
      <c r="L180" s="7" t="s">
        <v>30</v>
      </c>
      <c r="M180" s="6"/>
    </row>
    <row r="181" spans="1:13" ht="14.25" customHeight="1" x14ac:dyDescent="0.35">
      <c r="A181" s="3" t="s">
        <v>380</v>
      </c>
      <c r="B181" s="3" t="s">
        <v>27</v>
      </c>
      <c r="C181" s="3" t="s">
        <v>362</v>
      </c>
      <c r="D181" s="3" t="s">
        <v>22</v>
      </c>
      <c r="E181" s="3" t="s">
        <v>104</v>
      </c>
      <c r="F181" s="3">
        <v>3711</v>
      </c>
      <c r="G181" s="3">
        <v>352</v>
      </c>
      <c r="H181" s="3">
        <v>290</v>
      </c>
      <c r="I181" s="3">
        <v>48243</v>
      </c>
      <c r="J181" s="3">
        <v>47579</v>
      </c>
      <c r="K181" s="3">
        <v>11</v>
      </c>
      <c r="L181" s="7" t="s">
        <v>30</v>
      </c>
      <c r="M181" s="5" t="s">
        <v>19</v>
      </c>
    </row>
    <row r="182" spans="1:13" ht="14.25" customHeight="1" x14ac:dyDescent="0.35">
      <c r="A182" s="3" t="s">
        <v>381</v>
      </c>
      <c r="B182" s="3" t="s">
        <v>27</v>
      </c>
      <c r="C182" s="3" t="s">
        <v>382</v>
      </c>
      <c r="D182" s="3" t="s">
        <v>52</v>
      </c>
      <c r="E182" s="3" t="s">
        <v>53</v>
      </c>
      <c r="F182" s="3">
        <v>606</v>
      </c>
      <c r="G182" s="3">
        <v>789</v>
      </c>
      <c r="H182" s="3">
        <v>470</v>
      </c>
      <c r="I182" s="3">
        <v>7878</v>
      </c>
      <c r="J182" s="3">
        <v>7389</v>
      </c>
      <c r="K182" s="3">
        <v>239</v>
      </c>
      <c r="L182" s="7" t="s">
        <v>37</v>
      </c>
      <c r="M182" s="6" t="s">
        <v>31</v>
      </c>
    </row>
    <row r="183" spans="1:13" ht="14.25" customHeight="1" x14ac:dyDescent="0.35">
      <c r="A183" s="3" t="s">
        <v>383</v>
      </c>
      <c r="B183" s="3" t="s">
        <v>43</v>
      </c>
      <c r="C183" s="3" t="s">
        <v>115</v>
      </c>
      <c r="D183" s="3" t="s">
        <v>52</v>
      </c>
      <c r="E183" s="3" t="s">
        <v>59</v>
      </c>
      <c r="F183" s="3">
        <v>4689</v>
      </c>
      <c r="G183" s="3">
        <v>134</v>
      </c>
      <c r="H183" s="3">
        <v>403</v>
      </c>
      <c r="I183" s="3">
        <v>51579</v>
      </c>
      <c r="J183" s="3">
        <v>50924</v>
      </c>
      <c r="K183" s="3">
        <v>173</v>
      </c>
      <c r="L183" s="7" t="s">
        <v>30</v>
      </c>
      <c r="M183" s="6" t="s">
        <v>38</v>
      </c>
    </row>
    <row r="184" spans="1:13" ht="14.25" customHeight="1" x14ac:dyDescent="0.35">
      <c r="A184" s="3" t="s">
        <v>384</v>
      </c>
      <c r="B184" s="3" t="s">
        <v>33</v>
      </c>
      <c r="C184" s="3" t="s">
        <v>385</v>
      </c>
      <c r="D184" s="3" t="s">
        <v>35</v>
      </c>
      <c r="E184" s="3" t="s">
        <v>36</v>
      </c>
      <c r="F184" s="3">
        <v>360</v>
      </c>
      <c r="G184" s="3">
        <v>590</v>
      </c>
      <c r="H184" s="3">
        <v>393</v>
      </c>
      <c r="I184" s="3">
        <v>4680</v>
      </c>
      <c r="J184" s="3">
        <v>4322</v>
      </c>
      <c r="K184" s="3">
        <v>208</v>
      </c>
      <c r="L184" s="7" t="s">
        <v>62</v>
      </c>
      <c r="M184" s="6" t="s">
        <v>25</v>
      </c>
    </row>
    <row r="185" spans="1:13" ht="14.25" customHeight="1" x14ac:dyDescent="0.35">
      <c r="A185" s="3" t="s">
        <v>386</v>
      </c>
      <c r="B185" s="3" t="s">
        <v>14</v>
      </c>
      <c r="C185" s="3" t="s">
        <v>387</v>
      </c>
      <c r="D185" s="3" t="s">
        <v>52</v>
      </c>
      <c r="E185" s="3" t="s">
        <v>132</v>
      </c>
      <c r="F185" s="3">
        <v>3215</v>
      </c>
      <c r="G185" s="3">
        <v>960</v>
      </c>
      <c r="H185" s="3">
        <v>202</v>
      </c>
      <c r="I185" s="3">
        <v>32150</v>
      </c>
      <c r="J185" s="3">
        <v>31404</v>
      </c>
      <c r="K185" s="3">
        <v>251</v>
      </c>
      <c r="L185" s="7" t="s">
        <v>37</v>
      </c>
      <c r="M185" s="5" t="s">
        <v>19</v>
      </c>
    </row>
    <row r="186" spans="1:13" ht="14.25" customHeight="1" x14ac:dyDescent="0.35">
      <c r="A186" s="3" t="s">
        <v>388</v>
      </c>
      <c r="B186" s="3" t="s">
        <v>33</v>
      </c>
      <c r="C186" s="3" t="s">
        <v>389</v>
      </c>
      <c r="D186" s="3" t="s">
        <v>45</v>
      </c>
      <c r="E186" s="3" t="s">
        <v>88</v>
      </c>
      <c r="F186" s="3">
        <v>4523</v>
      </c>
      <c r="G186" s="3">
        <v>61</v>
      </c>
      <c r="H186" s="3">
        <v>157</v>
      </c>
      <c r="I186" s="3">
        <v>49753</v>
      </c>
      <c r="J186" s="3">
        <v>49329</v>
      </c>
      <c r="K186" s="3">
        <v>71</v>
      </c>
      <c r="L186" s="7" t="s">
        <v>37</v>
      </c>
      <c r="M186" s="6"/>
    </row>
    <row r="187" spans="1:13" ht="14.25" customHeight="1" x14ac:dyDescent="0.35">
      <c r="A187" s="3" t="s">
        <v>390</v>
      </c>
      <c r="B187" s="3" t="s">
        <v>43</v>
      </c>
      <c r="C187" s="3" t="s">
        <v>348</v>
      </c>
      <c r="D187" s="3" t="s">
        <v>45</v>
      </c>
      <c r="E187" s="3" t="s">
        <v>46</v>
      </c>
      <c r="F187" s="3">
        <v>4292</v>
      </c>
      <c r="G187" s="3">
        <v>51</v>
      </c>
      <c r="H187" s="3">
        <v>392</v>
      </c>
      <c r="I187" s="3">
        <v>55796</v>
      </c>
      <c r="J187" s="3">
        <v>54826</v>
      </c>
      <c r="K187" s="3">
        <v>264</v>
      </c>
      <c r="L187" s="7" t="s">
        <v>37</v>
      </c>
      <c r="M187" s="6" t="s">
        <v>31</v>
      </c>
    </row>
    <row r="188" spans="1:13" ht="14.25" customHeight="1" x14ac:dyDescent="0.35">
      <c r="A188" s="3" t="s">
        <v>391</v>
      </c>
      <c r="B188" s="3" t="s">
        <v>14</v>
      </c>
      <c r="C188" s="3" t="s">
        <v>392</v>
      </c>
      <c r="D188" s="3" t="s">
        <v>16</v>
      </c>
      <c r="E188" s="3" t="s">
        <v>17</v>
      </c>
      <c r="F188" s="3">
        <v>1644</v>
      </c>
      <c r="G188" s="3">
        <v>546</v>
      </c>
      <c r="H188" s="3">
        <v>150</v>
      </c>
      <c r="I188" s="3">
        <v>27948</v>
      </c>
      <c r="J188" s="3">
        <v>27184</v>
      </c>
      <c r="K188" s="3">
        <v>300</v>
      </c>
      <c r="L188" s="7" t="s">
        <v>37</v>
      </c>
      <c r="M188" s="6" t="s">
        <v>31</v>
      </c>
    </row>
    <row r="189" spans="1:13" ht="14.25" customHeight="1" x14ac:dyDescent="0.35">
      <c r="A189" s="3" t="s">
        <v>393</v>
      </c>
      <c r="B189" s="3" t="s">
        <v>27</v>
      </c>
      <c r="C189" s="3" t="s">
        <v>226</v>
      </c>
      <c r="D189" s="3" t="s">
        <v>16</v>
      </c>
      <c r="E189" s="3" t="s">
        <v>29</v>
      </c>
      <c r="F189" s="3">
        <v>2728</v>
      </c>
      <c r="G189" s="3">
        <v>533</v>
      </c>
      <c r="H189" s="3">
        <v>215</v>
      </c>
      <c r="I189" s="3">
        <v>40920</v>
      </c>
      <c r="J189" s="3">
        <v>40816</v>
      </c>
      <c r="K189" s="3">
        <v>137</v>
      </c>
      <c r="L189" s="7" t="s">
        <v>62</v>
      </c>
      <c r="M189" s="6" t="s">
        <v>25</v>
      </c>
    </row>
    <row r="190" spans="1:13" ht="14.25" customHeight="1" x14ac:dyDescent="0.35">
      <c r="A190" s="3" t="s">
        <v>394</v>
      </c>
      <c r="B190" s="3" t="s">
        <v>43</v>
      </c>
      <c r="C190" s="3" t="s">
        <v>234</v>
      </c>
      <c r="D190" s="3" t="s">
        <v>16</v>
      </c>
      <c r="E190" s="3" t="s">
        <v>65</v>
      </c>
      <c r="F190" s="3">
        <v>3360</v>
      </c>
      <c r="G190" s="3">
        <v>525</v>
      </c>
      <c r="H190" s="3">
        <v>500</v>
      </c>
      <c r="I190" s="3">
        <v>60480</v>
      </c>
      <c r="J190" s="3">
        <v>59610</v>
      </c>
      <c r="K190" s="3">
        <v>192</v>
      </c>
      <c r="L190" s="7" t="s">
        <v>30</v>
      </c>
      <c r="M190" s="5" t="s">
        <v>19</v>
      </c>
    </row>
    <row r="191" spans="1:13" ht="14.25" customHeight="1" x14ac:dyDescent="0.35">
      <c r="A191" s="3" t="s">
        <v>395</v>
      </c>
      <c r="B191" s="3" t="s">
        <v>27</v>
      </c>
      <c r="C191" s="3" t="s">
        <v>396</v>
      </c>
      <c r="D191" s="3" t="s">
        <v>22</v>
      </c>
      <c r="E191" s="3" t="s">
        <v>104</v>
      </c>
      <c r="F191" s="3">
        <v>1963</v>
      </c>
      <c r="G191" s="3">
        <v>213</v>
      </c>
      <c r="H191" s="3">
        <v>19</v>
      </c>
      <c r="I191" s="3">
        <v>39260</v>
      </c>
      <c r="J191" s="3">
        <v>38771</v>
      </c>
      <c r="K191" s="3">
        <v>145</v>
      </c>
      <c r="L191" s="7" t="s">
        <v>62</v>
      </c>
      <c r="M191" s="6"/>
    </row>
    <row r="192" spans="1:13" ht="14.25" customHeight="1" x14ac:dyDescent="0.35">
      <c r="A192" s="3" t="s">
        <v>397</v>
      </c>
      <c r="B192" s="3" t="s">
        <v>27</v>
      </c>
      <c r="C192" s="3" t="s">
        <v>362</v>
      </c>
      <c r="D192" s="3" t="s">
        <v>35</v>
      </c>
      <c r="E192" s="3" t="s">
        <v>154</v>
      </c>
      <c r="F192" s="3">
        <v>4285</v>
      </c>
      <c r="G192" s="3">
        <v>886</v>
      </c>
      <c r="H192" s="3">
        <v>376</v>
      </c>
      <c r="I192" s="3">
        <v>55705</v>
      </c>
      <c r="J192" s="3">
        <v>55556</v>
      </c>
      <c r="K192" s="3">
        <v>51</v>
      </c>
      <c r="L192" s="7" t="s">
        <v>62</v>
      </c>
      <c r="M192" s="6" t="s">
        <v>31</v>
      </c>
    </row>
    <row r="193" spans="1:13" ht="14.25" customHeight="1" x14ac:dyDescent="0.35">
      <c r="A193" s="3" t="s">
        <v>398</v>
      </c>
      <c r="B193" s="3" t="s">
        <v>33</v>
      </c>
      <c r="C193" s="3" t="s">
        <v>399</v>
      </c>
      <c r="D193" s="3" t="s">
        <v>74</v>
      </c>
      <c r="E193" s="3" t="s">
        <v>85</v>
      </c>
      <c r="F193" s="3">
        <v>1176</v>
      </c>
      <c r="G193" s="3">
        <v>464</v>
      </c>
      <c r="H193" s="3">
        <v>394</v>
      </c>
      <c r="I193" s="3">
        <v>14112</v>
      </c>
      <c r="J193" s="3">
        <v>13588</v>
      </c>
      <c r="K193" s="3">
        <v>272</v>
      </c>
      <c r="L193" s="7" t="s">
        <v>37</v>
      </c>
      <c r="M193" s="6"/>
    </row>
    <row r="194" spans="1:13" ht="14.25" customHeight="1" x14ac:dyDescent="0.35">
      <c r="A194" s="3" t="s">
        <v>400</v>
      </c>
      <c r="B194" s="3" t="s">
        <v>14</v>
      </c>
      <c r="C194" s="3" t="s">
        <v>401</v>
      </c>
      <c r="D194" s="3" t="s">
        <v>52</v>
      </c>
      <c r="E194" s="3" t="s">
        <v>132</v>
      </c>
      <c r="F194" s="3">
        <v>4858</v>
      </c>
      <c r="G194" s="3">
        <v>317</v>
      </c>
      <c r="H194" s="3">
        <v>129</v>
      </c>
      <c r="I194" s="3">
        <v>53438</v>
      </c>
      <c r="J194" s="3">
        <v>52687</v>
      </c>
      <c r="K194" s="3">
        <v>223</v>
      </c>
      <c r="L194" s="7" t="s">
        <v>37</v>
      </c>
      <c r="M194" s="6" t="s">
        <v>31</v>
      </c>
    </row>
    <row r="195" spans="1:13" ht="14.25" customHeight="1" x14ac:dyDescent="0.35">
      <c r="A195" s="3" t="s">
        <v>402</v>
      </c>
      <c r="B195" s="3" t="s">
        <v>27</v>
      </c>
      <c r="C195" s="3" t="s">
        <v>274</v>
      </c>
      <c r="D195" s="3" t="s">
        <v>35</v>
      </c>
      <c r="E195" s="3" t="s">
        <v>154</v>
      </c>
      <c r="F195" s="3">
        <v>4350</v>
      </c>
      <c r="G195" s="3">
        <v>771</v>
      </c>
      <c r="H195" s="3">
        <v>7</v>
      </c>
      <c r="I195" s="3">
        <v>60900</v>
      </c>
      <c r="J195" s="3">
        <v>60592</v>
      </c>
      <c r="K195" s="3">
        <v>195</v>
      </c>
      <c r="L195" s="7" t="s">
        <v>37</v>
      </c>
      <c r="M195" s="5" t="s">
        <v>19</v>
      </c>
    </row>
    <row r="196" spans="1:13" ht="14.25" customHeight="1" x14ac:dyDescent="0.35">
      <c r="A196" s="3" t="s">
        <v>403</v>
      </c>
      <c r="B196" s="3" t="s">
        <v>33</v>
      </c>
      <c r="C196" s="3" t="s">
        <v>404</v>
      </c>
      <c r="D196" s="3" t="s">
        <v>45</v>
      </c>
      <c r="E196" s="3" t="s">
        <v>88</v>
      </c>
      <c r="F196" s="3">
        <v>914</v>
      </c>
      <c r="G196" s="3">
        <v>464</v>
      </c>
      <c r="H196" s="3">
        <v>246</v>
      </c>
      <c r="I196" s="3">
        <v>11882</v>
      </c>
      <c r="J196" s="3">
        <v>11500</v>
      </c>
      <c r="K196" s="3">
        <v>282</v>
      </c>
      <c r="L196" s="4" t="s">
        <v>216</v>
      </c>
      <c r="M196" s="6" t="s">
        <v>38</v>
      </c>
    </row>
    <row r="197" spans="1:13" ht="14.25" customHeight="1" x14ac:dyDescent="0.35">
      <c r="A197" s="3" t="s">
        <v>405</v>
      </c>
      <c r="B197" s="3" t="s">
        <v>33</v>
      </c>
      <c r="C197" s="3" t="s">
        <v>406</v>
      </c>
      <c r="D197" s="3" t="s">
        <v>22</v>
      </c>
      <c r="E197" s="3" t="s">
        <v>113</v>
      </c>
      <c r="F197" s="3">
        <v>1813</v>
      </c>
      <c r="G197" s="3">
        <v>623</v>
      </c>
      <c r="H197" s="3">
        <v>72</v>
      </c>
      <c r="I197" s="3">
        <v>19943</v>
      </c>
      <c r="J197" s="3">
        <v>18959</v>
      </c>
      <c r="K197" s="3">
        <v>85</v>
      </c>
      <c r="L197" s="7" t="s">
        <v>37</v>
      </c>
      <c r="M197" s="6" t="s">
        <v>31</v>
      </c>
    </row>
    <row r="198" spans="1:13" ht="14.25" customHeight="1" x14ac:dyDescent="0.35">
      <c r="A198" s="3" t="s">
        <v>407</v>
      </c>
      <c r="B198" s="3" t="s">
        <v>14</v>
      </c>
      <c r="C198" s="3" t="s">
        <v>341</v>
      </c>
      <c r="D198" s="3" t="s">
        <v>16</v>
      </c>
      <c r="E198" s="3" t="s">
        <v>17</v>
      </c>
      <c r="F198" s="3">
        <v>4782</v>
      </c>
      <c r="G198" s="3">
        <v>721</v>
      </c>
      <c r="H198" s="3">
        <v>82</v>
      </c>
      <c r="I198" s="3">
        <v>86076</v>
      </c>
      <c r="J198" s="3">
        <v>85339</v>
      </c>
      <c r="K198" s="3">
        <v>19</v>
      </c>
      <c r="L198" s="7" t="s">
        <v>37</v>
      </c>
      <c r="M198" s="5" t="s">
        <v>19</v>
      </c>
    </row>
    <row r="199" spans="1:13" ht="14.25" customHeight="1" x14ac:dyDescent="0.35">
      <c r="A199" s="3" t="s">
        <v>408</v>
      </c>
      <c r="B199" s="3" t="s">
        <v>14</v>
      </c>
      <c r="C199" s="3" t="s">
        <v>409</v>
      </c>
      <c r="D199" s="3" t="s">
        <v>52</v>
      </c>
      <c r="E199" s="3" t="s">
        <v>132</v>
      </c>
      <c r="F199" s="3">
        <v>1048</v>
      </c>
      <c r="G199" s="3">
        <v>374</v>
      </c>
      <c r="H199" s="3">
        <v>450</v>
      </c>
      <c r="I199" s="3">
        <v>9432</v>
      </c>
      <c r="J199" s="3">
        <v>8882</v>
      </c>
      <c r="K199" s="3">
        <v>158</v>
      </c>
      <c r="L199" s="7" t="s">
        <v>30</v>
      </c>
      <c r="M199" s="6" t="s">
        <v>31</v>
      </c>
    </row>
    <row r="200" spans="1:13" ht="14.25" customHeight="1" x14ac:dyDescent="0.35">
      <c r="A200" s="3" t="s">
        <v>410</v>
      </c>
      <c r="B200" s="3" t="s">
        <v>27</v>
      </c>
      <c r="C200" s="3" t="s">
        <v>121</v>
      </c>
      <c r="D200" s="3" t="s">
        <v>45</v>
      </c>
      <c r="E200" s="3" t="s">
        <v>68</v>
      </c>
      <c r="F200" s="3">
        <v>2509</v>
      </c>
      <c r="G200" s="3">
        <v>324</v>
      </c>
      <c r="H200" s="3">
        <v>171</v>
      </c>
      <c r="I200" s="3">
        <v>35126</v>
      </c>
      <c r="J200" s="3">
        <v>34685</v>
      </c>
      <c r="K200" s="3">
        <v>277</v>
      </c>
      <c r="L200" s="7" t="s">
        <v>30</v>
      </c>
      <c r="M200" s="6" t="s">
        <v>25</v>
      </c>
    </row>
    <row r="201" spans="1:13" ht="14.25" customHeight="1" x14ac:dyDescent="0.35">
      <c r="A201" s="3" t="s">
        <v>411</v>
      </c>
      <c r="B201" s="3" t="s">
        <v>43</v>
      </c>
      <c r="C201" s="3" t="s">
        <v>412</v>
      </c>
      <c r="D201" s="3" t="s">
        <v>16</v>
      </c>
      <c r="E201" s="3" t="s">
        <v>65</v>
      </c>
      <c r="F201" s="3">
        <v>3718</v>
      </c>
      <c r="G201" s="3">
        <v>385</v>
      </c>
      <c r="H201" s="3">
        <v>310</v>
      </c>
      <c r="I201" s="3">
        <v>70642</v>
      </c>
      <c r="J201" s="3">
        <v>69749</v>
      </c>
      <c r="K201" s="3">
        <v>233</v>
      </c>
      <c r="L201" s="7" t="s">
        <v>30</v>
      </c>
      <c r="M201" s="6" t="s">
        <v>25</v>
      </c>
    </row>
    <row r="202" spans="1:13" ht="14.25" customHeight="1" x14ac:dyDescent="0.35">
      <c r="A202" s="3" t="s">
        <v>413</v>
      </c>
      <c r="B202" s="3" t="s">
        <v>14</v>
      </c>
      <c r="C202" s="3" t="s">
        <v>414</v>
      </c>
      <c r="D202" s="3" t="s">
        <v>16</v>
      </c>
      <c r="E202" s="3" t="s">
        <v>17</v>
      </c>
      <c r="F202" s="3">
        <v>802</v>
      </c>
      <c r="G202" s="3">
        <v>262</v>
      </c>
      <c r="H202" s="3">
        <v>244</v>
      </c>
      <c r="I202" s="3">
        <v>14436</v>
      </c>
      <c r="J202" s="3">
        <v>14280</v>
      </c>
      <c r="K202" s="3">
        <v>49</v>
      </c>
      <c r="L202" s="7" t="s">
        <v>37</v>
      </c>
      <c r="M202" s="5" t="s">
        <v>19</v>
      </c>
    </row>
    <row r="203" spans="1:13" ht="14.25" customHeight="1" x14ac:dyDescent="0.35">
      <c r="A203" s="3" t="s">
        <v>415</v>
      </c>
      <c r="B203" s="3" t="s">
        <v>43</v>
      </c>
      <c r="C203" s="3" t="s">
        <v>416</v>
      </c>
      <c r="D203" s="3" t="s">
        <v>52</v>
      </c>
      <c r="E203" s="3" t="s">
        <v>59</v>
      </c>
      <c r="F203" s="3">
        <v>1871</v>
      </c>
      <c r="G203" s="3">
        <v>252</v>
      </c>
      <c r="H203" s="3">
        <v>335</v>
      </c>
      <c r="I203" s="3">
        <v>29936</v>
      </c>
      <c r="J203" s="3">
        <v>29576</v>
      </c>
      <c r="K203" s="3">
        <v>288</v>
      </c>
      <c r="L203" s="7" t="s">
        <v>37</v>
      </c>
      <c r="M203" s="6" t="s">
        <v>31</v>
      </c>
    </row>
    <row r="204" spans="1:13" ht="14.25" customHeight="1" x14ac:dyDescent="0.35">
      <c r="A204" s="3" t="s">
        <v>417</v>
      </c>
      <c r="B204" s="3" t="s">
        <v>33</v>
      </c>
      <c r="C204" s="3" t="s">
        <v>418</v>
      </c>
      <c r="D204" s="3" t="s">
        <v>45</v>
      </c>
      <c r="E204" s="3" t="s">
        <v>88</v>
      </c>
      <c r="F204" s="3">
        <v>3773</v>
      </c>
      <c r="G204" s="3">
        <v>299</v>
      </c>
      <c r="H204" s="3">
        <v>38</v>
      </c>
      <c r="I204" s="3">
        <v>71687</v>
      </c>
      <c r="J204" s="3">
        <v>71447</v>
      </c>
      <c r="K204" s="3">
        <v>286</v>
      </c>
      <c r="L204" s="7" t="s">
        <v>62</v>
      </c>
      <c r="M204" s="5" t="s">
        <v>19</v>
      </c>
    </row>
    <row r="205" spans="1:13" ht="14.25" customHeight="1" x14ac:dyDescent="0.35">
      <c r="A205" s="3" t="s">
        <v>419</v>
      </c>
      <c r="B205" s="3" t="s">
        <v>33</v>
      </c>
      <c r="C205" s="3" t="s">
        <v>336</v>
      </c>
      <c r="D205" s="3" t="s">
        <v>45</v>
      </c>
      <c r="E205" s="3" t="s">
        <v>88</v>
      </c>
      <c r="F205" s="3">
        <v>2234</v>
      </c>
      <c r="G205" s="3">
        <v>653</v>
      </c>
      <c r="H205" s="3">
        <v>432</v>
      </c>
      <c r="I205" s="3">
        <v>11170</v>
      </c>
      <c r="J205" s="3">
        <v>10569</v>
      </c>
      <c r="K205" s="3">
        <v>198</v>
      </c>
      <c r="L205" s="7" t="s">
        <v>62</v>
      </c>
      <c r="M205" s="6" t="s">
        <v>31</v>
      </c>
    </row>
    <row r="206" spans="1:13" ht="14.25" customHeight="1" x14ac:dyDescent="0.35">
      <c r="A206" s="3" t="s">
        <v>420</v>
      </c>
      <c r="B206" s="3" t="s">
        <v>14</v>
      </c>
      <c r="C206" s="3" t="s">
        <v>305</v>
      </c>
      <c r="D206" s="3" t="s">
        <v>74</v>
      </c>
      <c r="E206" s="3" t="s">
        <v>145</v>
      </c>
      <c r="F206" s="3">
        <v>3820</v>
      </c>
      <c r="G206" s="3">
        <v>697</v>
      </c>
      <c r="H206" s="3">
        <v>268</v>
      </c>
      <c r="I206" s="3">
        <v>45840</v>
      </c>
      <c r="J206" s="3">
        <v>45631</v>
      </c>
      <c r="K206" s="3">
        <v>171</v>
      </c>
      <c r="L206" s="4" t="s">
        <v>421</v>
      </c>
      <c r="M206" s="6" t="s">
        <v>38</v>
      </c>
    </row>
    <row r="207" spans="1:13" ht="14.25" customHeight="1" x14ac:dyDescent="0.35">
      <c r="A207" s="3" t="s">
        <v>422</v>
      </c>
      <c r="B207" s="3" t="s">
        <v>14</v>
      </c>
      <c r="C207" s="3" t="s">
        <v>48</v>
      </c>
      <c r="D207" s="3" t="s">
        <v>22</v>
      </c>
      <c r="E207" s="3" t="s">
        <v>23</v>
      </c>
      <c r="F207" s="3">
        <v>941</v>
      </c>
      <c r="G207" s="3">
        <v>121</v>
      </c>
      <c r="H207" s="3">
        <v>458</v>
      </c>
      <c r="I207" s="3">
        <v>14115</v>
      </c>
      <c r="J207" s="3">
        <v>13838</v>
      </c>
      <c r="K207" s="3">
        <v>87</v>
      </c>
      <c r="L207" s="7" t="s">
        <v>37</v>
      </c>
      <c r="M207" s="5" t="s">
        <v>19</v>
      </c>
    </row>
    <row r="208" spans="1:13" ht="14.25" customHeight="1" x14ac:dyDescent="0.35">
      <c r="A208" s="3" t="s">
        <v>423</v>
      </c>
      <c r="B208" s="3" t="s">
        <v>14</v>
      </c>
      <c r="C208" s="3" t="s">
        <v>424</v>
      </c>
      <c r="D208" s="3" t="s">
        <v>45</v>
      </c>
      <c r="E208" s="3" t="s">
        <v>49</v>
      </c>
      <c r="F208" s="3">
        <v>4274</v>
      </c>
      <c r="G208" s="3">
        <v>340</v>
      </c>
      <c r="H208" s="3">
        <v>281</v>
      </c>
      <c r="I208" s="3">
        <v>34192</v>
      </c>
      <c r="J208" s="3">
        <v>33446</v>
      </c>
      <c r="K208" s="3">
        <v>129</v>
      </c>
      <c r="L208" s="4" t="s">
        <v>421</v>
      </c>
      <c r="M208" s="6" t="s">
        <v>31</v>
      </c>
    </row>
    <row r="209" spans="1:13" ht="14.25" customHeight="1" x14ac:dyDescent="0.35">
      <c r="A209" s="3" t="s">
        <v>425</v>
      </c>
      <c r="B209" s="3" t="s">
        <v>27</v>
      </c>
      <c r="C209" s="3" t="s">
        <v>48</v>
      </c>
      <c r="D209" s="3" t="s">
        <v>74</v>
      </c>
      <c r="E209" s="3" t="s">
        <v>219</v>
      </c>
      <c r="F209" s="3">
        <v>2949</v>
      </c>
      <c r="G209" s="3">
        <v>476</v>
      </c>
      <c r="H209" s="3">
        <v>403</v>
      </c>
      <c r="I209" s="3">
        <v>44235</v>
      </c>
      <c r="J209" s="3">
        <v>43705</v>
      </c>
      <c r="K209" s="3">
        <v>135</v>
      </c>
      <c r="L209" s="7" t="s">
        <v>30</v>
      </c>
      <c r="M209" s="6" t="s">
        <v>25</v>
      </c>
    </row>
    <row r="210" spans="1:13" ht="14.25" customHeight="1" x14ac:dyDescent="0.35">
      <c r="A210" s="3" t="s">
        <v>426</v>
      </c>
      <c r="B210" s="3" t="s">
        <v>14</v>
      </c>
      <c r="C210" s="3" t="s">
        <v>427</v>
      </c>
      <c r="D210" s="3" t="s">
        <v>74</v>
      </c>
      <c r="E210" s="3" t="s">
        <v>145</v>
      </c>
      <c r="F210" s="3">
        <v>3160</v>
      </c>
      <c r="G210" s="3">
        <v>204</v>
      </c>
      <c r="H210" s="3">
        <v>297</v>
      </c>
      <c r="I210" s="3">
        <v>44240</v>
      </c>
      <c r="J210" s="3">
        <v>43666</v>
      </c>
      <c r="K210" s="3">
        <v>49</v>
      </c>
      <c r="L210" s="4" t="s">
        <v>18</v>
      </c>
      <c r="M210" s="6" t="s">
        <v>38</v>
      </c>
    </row>
    <row r="211" spans="1:13" ht="14.25" customHeight="1" x14ac:dyDescent="0.35">
      <c r="A211" s="3" t="s">
        <v>428</v>
      </c>
      <c r="B211" s="3" t="s">
        <v>27</v>
      </c>
      <c r="C211" s="3" t="s">
        <v>350</v>
      </c>
      <c r="D211" s="3" t="s">
        <v>52</v>
      </c>
      <c r="E211" s="3" t="s">
        <v>53</v>
      </c>
      <c r="F211" s="3">
        <v>257</v>
      </c>
      <c r="G211" s="3">
        <v>966</v>
      </c>
      <c r="H211" s="3">
        <v>398</v>
      </c>
      <c r="I211" s="3">
        <v>3341</v>
      </c>
      <c r="J211" s="3">
        <v>2753</v>
      </c>
      <c r="K211" s="3">
        <v>287</v>
      </c>
      <c r="L211" s="7" t="s">
        <v>62</v>
      </c>
      <c r="M211" s="5" t="s">
        <v>19</v>
      </c>
    </row>
    <row r="212" spans="1:13" ht="14.25" customHeight="1" x14ac:dyDescent="0.35">
      <c r="A212" s="3" t="s">
        <v>429</v>
      </c>
      <c r="B212" s="3" t="s">
        <v>14</v>
      </c>
      <c r="C212" s="3" t="s">
        <v>430</v>
      </c>
      <c r="D212" s="3" t="s">
        <v>45</v>
      </c>
      <c r="E212" s="3" t="s">
        <v>49</v>
      </c>
      <c r="F212" s="3">
        <v>2120</v>
      </c>
      <c r="G212" s="3">
        <v>38</v>
      </c>
      <c r="H212" s="3">
        <v>212</v>
      </c>
      <c r="I212" s="3">
        <v>12720</v>
      </c>
      <c r="J212" s="3">
        <v>12564</v>
      </c>
      <c r="K212" s="3">
        <v>21</v>
      </c>
      <c r="L212" s="7" t="s">
        <v>62</v>
      </c>
      <c r="M212" s="6" t="s">
        <v>38</v>
      </c>
    </row>
    <row r="213" spans="1:13" ht="14.25" customHeight="1" x14ac:dyDescent="0.35">
      <c r="A213" s="3" t="s">
        <v>431</v>
      </c>
      <c r="B213" s="3" t="s">
        <v>27</v>
      </c>
      <c r="C213" s="3" t="s">
        <v>197</v>
      </c>
      <c r="D213" s="3" t="s">
        <v>74</v>
      </c>
      <c r="E213" s="3" t="s">
        <v>219</v>
      </c>
      <c r="F213" s="3">
        <v>3874</v>
      </c>
      <c r="G213" s="3">
        <v>884</v>
      </c>
      <c r="H213" s="3">
        <v>19</v>
      </c>
      <c r="I213" s="3">
        <v>38740</v>
      </c>
      <c r="J213" s="3">
        <v>38552</v>
      </c>
      <c r="K213" s="3">
        <v>219</v>
      </c>
      <c r="L213" s="7" t="s">
        <v>30</v>
      </c>
      <c r="M213" s="6" t="s">
        <v>25</v>
      </c>
    </row>
    <row r="214" spans="1:13" ht="14.25" customHeight="1" x14ac:dyDescent="0.35">
      <c r="A214" s="3" t="s">
        <v>432</v>
      </c>
      <c r="B214" s="3" t="s">
        <v>43</v>
      </c>
      <c r="C214" s="3" t="s">
        <v>433</v>
      </c>
      <c r="D214" s="3" t="s">
        <v>45</v>
      </c>
      <c r="E214" s="3" t="s">
        <v>46</v>
      </c>
      <c r="F214" s="3">
        <v>2696</v>
      </c>
      <c r="G214" s="3">
        <v>628</v>
      </c>
      <c r="H214" s="3">
        <v>443</v>
      </c>
      <c r="I214" s="3">
        <v>45832</v>
      </c>
      <c r="J214" s="3">
        <v>45632</v>
      </c>
      <c r="K214" s="3">
        <v>248</v>
      </c>
      <c r="L214" s="7" t="s">
        <v>37</v>
      </c>
      <c r="M214" s="6" t="s">
        <v>38</v>
      </c>
    </row>
    <row r="215" spans="1:13" ht="14.25" customHeight="1" x14ac:dyDescent="0.35">
      <c r="A215" s="3" t="s">
        <v>434</v>
      </c>
      <c r="B215" s="3" t="s">
        <v>33</v>
      </c>
      <c r="C215" s="3" t="s">
        <v>15</v>
      </c>
      <c r="D215" s="3" t="s">
        <v>52</v>
      </c>
      <c r="E215" s="3" t="s">
        <v>215</v>
      </c>
      <c r="F215" s="3">
        <v>521</v>
      </c>
      <c r="G215" s="3">
        <v>746</v>
      </c>
      <c r="H215" s="3">
        <v>315</v>
      </c>
      <c r="I215" s="3">
        <v>4168</v>
      </c>
      <c r="J215" s="3">
        <v>3399</v>
      </c>
      <c r="K215" s="3">
        <v>282</v>
      </c>
      <c r="L215" s="7" t="s">
        <v>62</v>
      </c>
      <c r="M215" s="6" t="s">
        <v>25</v>
      </c>
    </row>
    <row r="216" spans="1:13" ht="14.25" customHeight="1" x14ac:dyDescent="0.35">
      <c r="A216" s="3" t="s">
        <v>435</v>
      </c>
      <c r="B216" s="3" t="s">
        <v>43</v>
      </c>
      <c r="C216" s="3" t="s">
        <v>436</v>
      </c>
      <c r="D216" s="3" t="s">
        <v>52</v>
      </c>
      <c r="E216" s="3" t="s">
        <v>59</v>
      </c>
      <c r="F216" s="3">
        <v>4872</v>
      </c>
      <c r="G216" s="3">
        <v>925</v>
      </c>
      <c r="H216" s="3">
        <v>176</v>
      </c>
      <c r="I216" s="3">
        <v>82824</v>
      </c>
      <c r="J216" s="3">
        <v>82543</v>
      </c>
      <c r="K216" s="3">
        <v>89</v>
      </c>
      <c r="L216" s="7" t="s">
        <v>37</v>
      </c>
      <c r="M216" s="6" t="s">
        <v>25</v>
      </c>
    </row>
    <row r="217" spans="1:13" ht="14.25" customHeight="1" x14ac:dyDescent="0.35">
      <c r="A217" s="3" t="s">
        <v>437</v>
      </c>
      <c r="B217" s="3" t="s">
        <v>27</v>
      </c>
      <c r="C217" s="3" t="s">
        <v>268</v>
      </c>
      <c r="D217" s="3" t="s">
        <v>35</v>
      </c>
      <c r="E217" s="3" t="s">
        <v>154</v>
      </c>
      <c r="F217" s="3">
        <v>1509</v>
      </c>
      <c r="G217" s="3">
        <v>88</v>
      </c>
      <c r="H217" s="3">
        <v>163</v>
      </c>
      <c r="I217" s="3">
        <v>30180</v>
      </c>
      <c r="J217" s="3">
        <v>29689</v>
      </c>
      <c r="K217" s="3">
        <v>119</v>
      </c>
      <c r="L217" s="7" t="s">
        <v>37</v>
      </c>
      <c r="M217" s="6" t="s">
        <v>25</v>
      </c>
    </row>
    <row r="218" spans="1:13" ht="14.25" customHeight="1" x14ac:dyDescent="0.35">
      <c r="A218" s="3" t="s">
        <v>438</v>
      </c>
      <c r="B218" s="3" t="s">
        <v>43</v>
      </c>
      <c r="C218" s="3" t="s">
        <v>362</v>
      </c>
      <c r="D218" s="3" t="s">
        <v>52</v>
      </c>
      <c r="E218" s="3" t="s">
        <v>59</v>
      </c>
      <c r="F218" s="3">
        <v>4606</v>
      </c>
      <c r="G218" s="3">
        <v>931</v>
      </c>
      <c r="H218" s="3">
        <v>230</v>
      </c>
      <c r="I218" s="3">
        <v>92120</v>
      </c>
      <c r="J218" s="3">
        <v>91440</v>
      </c>
      <c r="K218" s="3">
        <v>56</v>
      </c>
      <c r="L218" s="7" t="s">
        <v>30</v>
      </c>
      <c r="M218" s="6"/>
    </row>
    <row r="219" spans="1:13" ht="14.25" customHeight="1" x14ac:dyDescent="0.35">
      <c r="A219" s="3" t="s">
        <v>439</v>
      </c>
      <c r="B219" s="3" t="s">
        <v>43</v>
      </c>
      <c r="C219" s="3" t="s">
        <v>254</v>
      </c>
      <c r="D219" s="3" t="s">
        <v>45</v>
      </c>
      <c r="E219" s="3" t="s">
        <v>46</v>
      </c>
      <c r="F219" s="3">
        <v>1869</v>
      </c>
      <c r="G219" s="3">
        <v>453</v>
      </c>
      <c r="H219" s="3">
        <v>490</v>
      </c>
      <c r="I219" s="3">
        <v>14952</v>
      </c>
      <c r="J219" s="3">
        <v>14309</v>
      </c>
      <c r="K219" s="3">
        <v>275</v>
      </c>
      <c r="L219" s="7" t="s">
        <v>30</v>
      </c>
      <c r="M219" s="6" t="s">
        <v>38</v>
      </c>
    </row>
    <row r="220" spans="1:13" ht="14.25" customHeight="1" x14ac:dyDescent="0.35">
      <c r="A220" s="3" t="s">
        <v>440</v>
      </c>
      <c r="B220" s="3" t="s">
        <v>14</v>
      </c>
      <c r="C220" s="3" t="s">
        <v>174</v>
      </c>
      <c r="D220" s="3" t="s">
        <v>16</v>
      </c>
      <c r="E220" s="3" t="s">
        <v>17</v>
      </c>
      <c r="F220" s="3">
        <v>1188</v>
      </c>
      <c r="G220" s="3">
        <v>470</v>
      </c>
      <c r="H220" s="3">
        <v>174</v>
      </c>
      <c r="I220" s="3">
        <v>7128</v>
      </c>
      <c r="J220" s="3">
        <v>6145</v>
      </c>
      <c r="K220" s="3">
        <v>270</v>
      </c>
      <c r="L220" s="7" t="s">
        <v>30</v>
      </c>
      <c r="M220" s="6" t="s">
        <v>38</v>
      </c>
    </row>
    <row r="221" spans="1:13" ht="14.25" customHeight="1" x14ac:dyDescent="0.35">
      <c r="A221" s="3" t="s">
        <v>441</v>
      </c>
      <c r="B221" s="3" t="s">
        <v>33</v>
      </c>
      <c r="C221" s="3" t="s">
        <v>416</v>
      </c>
      <c r="D221" s="3" t="s">
        <v>35</v>
      </c>
      <c r="E221" s="3" t="s">
        <v>36</v>
      </c>
      <c r="F221" s="3">
        <v>84</v>
      </c>
      <c r="G221" s="3">
        <v>897</v>
      </c>
      <c r="H221" s="3">
        <v>85</v>
      </c>
      <c r="I221" s="3">
        <v>588</v>
      </c>
      <c r="J221" s="3">
        <v>8</v>
      </c>
      <c r="K221" s="3">
        <v>12</v>
      </c>
      <c r="L221" s="7" t="s">
        <v>37</v>
      </c>
      <c r="M221" s="6"/>
    </row>
    <row r="222" spans="1:13" ht="14.25" customHeight="1" x14ac:dyDescent="0.35">
      <c r="A222" s="3" t="s">
        <v>442</v>
      </c>
      <c r="B222" s="3" t="s">
        <v>43</v>
      </c>
      <c r="C222" s="3" t="s">
        <v>256</v>
      </c>
      <c r="D222" s="3" t="s">
        <v>74</v>
      </c>
      <c r="E222" s="3" t="s">
        <v>75</v>
      </c>
      <c r="F222" s="3">
        <v>4453</v>
      </c>
      <c r="G222" s="3">
        <v>111</v>
      </c>
      <c r="H222" s="3">
        <v>420</v>
      </c>
      <c r="I222" s="3">
        <v>31171</v>
      </c>
      <c r="J222" s="3">
        <v>30565</v>
      </c>
      <c r="K222" s="3">
        <v>23</v>
      </c>
      <c r="L222" s="7" t="s">
        <v>30</v>
      </c>
      <c r="M222" s="6"/>
    </row>
    <row r="223" spans="1:13" ht="14.25" customHeight="1" x14ac:dyDescent="0.35">
      <c r="A223" s="3" t="s">
        <v>443</v>
      </c>
      <c r="B223" s="3" t="s">
        <v>43</v>
      </c>
      <c r="C223" s="3" t="s">
        <v>444</v>
      </c>
      <c r="D223" s="3" t="s">
        <v>16</v>
      </c>
      <c r="E223" s="3" t="s">
        <v>65</v>
      </c>
      <c r="F223" s="3">
        <v>1814</v>
      </c>
      <c r="G223" s="3">
        <v>653</v>
      </c>
      <c r="H223" s="3">
        <v>363</v>
      </c>
      <c r="I223" s="3">
        <v>25396</v>
      </c>
      <c r="J223" s="3">
        <v>25286</v>
      </c>
      <c r="K223" s="3">
        <v>39</v>
      </c>
      <c r="L223" s="4" t="s">
        <v>445</v>
      </c>
      <c r="M223" s="5" t="s">
        <v>19</v>
      </c>
    </row>
    <row r="224" spans="1:13" ht="14.25" customHeight="1" x14ac:dyDescent="0.35">
      <c r="A224" s="3" t="s">
        <v>446</v>
      </c>
      <c r="B224" s="3" t="s">
        <v>14</v>
      </c>
      <c r="C224" s="3" t="s">
        <v>360</v>
      </c>
      <c r="D224" s="3" t="s">
        <v>52</v>
      </c>
      <c r="E224" s="3" t="s">
        <v>132</v>
      </c>
      <c r="F224" s="3">
        <v>3338</v>
      </c>
      <c r="G224" s="3">
        <v>277</v>
      </c>
      <c r="H224" s="3">
        <v>118</v>
      </c>
      <c r="I224" s="3">
        <v>60084</v>
      </c>
      <c r="J224" s="3">
        <v>59842</v>
      </c>
      <c r="K224" s="3">
        <v>252</v>
      </c>
      <c r="L224" s="7" t="s">
        <v>30</v>
      </c>
      <c r="M224" s="6"/>
    </row>
    <row r="225" spans="1:13" ht="14.25" customHeight="1" x14ac:dyDescent="0.35">
      <c r="A225" s="3" t="s">
        <v>447</v>
      </c>
      <c r="B225" s="3" t="s">
        <v>43</v>
      </c>
      <c r="C225" s="3" t="s">
        <v>448</v>
      </c>
      <c r="D225" s="3" t="s">
        <v>52</v>
      </c>
      <c r="E225" s="3" t="s">
        <v>59</v>
      </c>
      <c r="F225" s="3">
        <v>602</v>
      </c>
      <c r="G225" s="3">
        <v>594</v>
      </c>
      <c r="H225" s="3">
        <v>156</v>
      </c>
      <c r="I225" s="3">
        <v>4214</v>
      </c>
      <c r="J225" s="3">
        <v>3363</v>
      </c>
      <c r="K225" s="3">
        <v>164</v>
      </c>
      <c r="L225" s="7" t="s">
        <v>30</v>
      </c>
      <c r="M225" s="6" t="s">
        <v>31</v>
      </c>
    </row>
    <row r="226" spans="1:13" ht="14.25" customHeight="1" x14ac:dyDescent="0.35">
      <c r="A226" s="3" t="s">
        <v>449</v>
      </c>
      <c r="B226" s="3" t="s">
        <v>14</v>
      </c>
      <c r="C226" s="3" t="s">
        <v>375</v>
      </c>
      <c r="D226" s="3" t="s">
        <v>45</v>
      </c>
      <c r="E226" s="3" t="s">
        <v>49</v>
      </c>
      <c r="F226" s="3">
        <v>4672</v>
      </c>
      <c r="G226" s="3">
        <v>325</v>
      </c>
      <c r="H226" s="3">
        <v>32</v>
      </c>
      <c r="I226" s="3">
        <v>88768</v>
      </c>
      <c r="J226" s="3">
        <v>87833</v>
      </c>
      <c r="K226" s="3">
        <v>118</v>
      </c>
      <c r="L226" s="7" t="s">
        <v>37</v>
      </c>
      <c r="M226" s="6"/>
    </row>
    <row r="227" spans="1:13" ht="14.25" customHeight="1" x14ac:dyDescent="0.35">
      <c r="A227" s="3" t="s">
        <v>450</v>
      </c>
      <c r="B227" s="3" t="s">
        <v>33</v>
      </c>
      <c r="C227" s="3" t="s">
        <v>451</v>
      </c>
      <c r="D227" s="3" t="s">
        <v>45</v>
      </c>
      <c r="E227" s="3" t="s">
        <v>88</v>
      </c>
      <c r="F227" s="3">
        <v>1741</v>
      </c>
      <c r="G227" s="3">
        <v>164</v>
      </c>
      <c r="H227" s="3">
        <v>318</v>
      </c>
      <c r="I227" s="3">
        <v>8705</v>
      </c>
      <c r="J227" s="3">
        <v>8272</v>
      </c>
      <c r="K227" s="3">
        <v>121</v>
      </c>
      <c r="L227" s="7" t="s">
        <v>30</v>
      </c>
      <c r="M227" s="6"/>
    </row>
    <row r="228" spans="1:13" ht="14.25" customHeight="1" x14ac:dyDescent="0.35">
      <c r="A228" s="3" t="s">
        <v>452</v>
      </c>
      <c r="B228" s="3" t="s">
        <v>33</v>
      </c>
      <c r="C228" s="3" t="s">
        <v>453</v>
      </c>
      <c r="D228" s="3" t="s">
        <v>22</v>
      </c>
      <c r="E228" s="3" t="s">
        <v>113</v>
      </c>
      <c r="F228" s="3">
        <v>246</v>
      </c>
      <c r="G228" s="3">
        <v>149</v>
      </c>
      <c r="H228" s="3">
        <v>130</v>
      </c>
      <c r="I228" s="3">
        <v>4674</v>
      </c>
      <c r="J228" s="3">
        <v>4390</v>
      </c>
      <c r="K228" s="3">
        <v>217</v>
      </c>
      <c r="L228" s="7" t="s">
        <v>62</v>
      </c>
      <c r="M228" s="6" t="s">
        <v>31</v>
      </c>
    </row>
    <row r="229" spans="1:13" ht="14.25" customHeight="1" x14ac:dyDescent="0.35">
      <c r="A229" s="3" t="s">
        <v>454</v>
      </c>
      <c r="B229" s="3" t="s">
        <v>33</v>
      </c>
      <c r="C229" s="3" t="s">
        <v>455</v>
      </c>
      <c r="D229" s="3" t="s">
        <v>35</v>
      </c>
      <c r="E229" s="3" t="s">
        <v>36</v>
      </c>
      <c r="F229" s="3">
        <v>4808</v>
      </c>
      <c r="G229" s="3">
        <v>772</v>
      </c>
      <c r="H229" s="3">
        <v>320</v>
      </c>
      <c r="I229" s="3">
        <v>72120</v>
      </c>
      <c r="J229" s="3">
        <v>71696</v>
      </c>
      <c r="K229" s="3">
        <v>195</v>
      </c>
      <c r="L229" s="7" t="s">
        <v>37</v>
      </c>
      <c r="M229" s="5" t="s">
        <v>19</v>
      </c>
    </row>
    <row r="230" spans="1:13" ht="14.25" customHeight="1" x14ac:dyDescent="0.35">
      <c r="A230" s="3" t="s">
        <v>456</v>
      </c>
      <c r="B230" s="3" t="s">
        <v>33</v>
      </c>
      <c r="C230" s="3" t="s">
        <v>153</v>
      </c>
      <c r="D230" s="3" t="s">
        <v>45</v>
      </c>
      <c r="E230" s="3" t="s">
        <v>88</v>
      </c>
      <c r="F230" s="3">
        <v>4799</v>
      </c>
      <c r="G230" s="3">
        <v>694</v>
      </c>
      <c r="H230" s="3">
        <v>289</v>
      </c>
      <c r="I230" s="3">
        <v>43191</v>
      </c>
      <c r="J230" s="3">
        <v>42228</v>
      </c>
      <c r="K230" s="3">
        <v>118</v>
      </c>
      <c r="L230" s="7" t="s">
        <v>30</v>
      </c>
      <c r="M230" s="6"/>
    </row>
    <row r="231" spans="1:13" ht="14.25" customHeight="1" x14ac:dyDescent="0.35">
      <c r="A231" s="3" t="s">
        <v>457</v>
      </c>
      <c r="B231" s="3" t="s">
        <v>43</v>
      </c>
      <c r="C231" s="3" t="s">
        <v>315</v>
      </c>
      <c r="D231" s="3" t="s">
        <v>16</v>
      </c>
      <c r="E231" s="3" t="s">
        <v>65</v>
      </c>
      <c r="F231" s="3">
        <v>3663</v>
      </c>
      <c r="G231" s="3">
        <v>17</v>
      </c>
      <c r="H231" s="3">
        <v>295</v>
      </c>
      <c r="I231" s="3">
        <v>51282</v>
      </c>
      <c r="J231" s="3">
        <v>50567</v>
      </c>
      <c r="K231" s="3">
        <v>84</v>
      </c>
      <c r="L231" s="7" t="s">
        <v>37</v>
      </c>
      <c r="M231" s="6" t="s">
        <v>31</v>
      </c>
    </row>
    <row r="232" spans="1:13" ht="14.25" customHeight="1" x14ac:dyDescent="0.35">
      <c r="A232" s="3" t="s">
        <v>458</v>
      </c>
      <c r="B232" s="3" t="s">
        <v>33</v>
      </c>
      <c r="C232" s="3" t="s">
        <v>433</v>
      </c>
      <c r="D232" s="3" t="s">
        <v>22</v>
      </c>
      <c r="E232" s="3" t="s">
        <v>113</v>
      </c>
      <c r="F232" s="3">
        <v>1430</v>
      </c>
      <c r="G232" s="3">
        <v>376</v>
      </c>
      <c r="H232" s="3">
        <v>33</v>
      </c>
      <c r="I232" s="3">
        <v>21450</v>
      </c>
      <c r="J232" s="3">
        <v>20509</v>
      </c>
      <c r="K232" s="3">
        <v>251</v>
      </c>
      <c r="L232" s="7" t="s">
        <v>62</v>
      </c>
      <c r="M232" s="5" t="s">
        <v>19</v>
      </c>
    </row>
    <row r="233" spans="1:13" ht="14.25" customHeight="1" x14ac:dyDescent="0.35">
      <c r="A233" s="3" t="s">
        <v>459</v>
      </c>
      <c r="B233" s="3" t="s">
        <v>14</v>
      </c>
      <c r="C233" s="3" t="s">
        <v>460</v>
      </c>
      <c r="D233" s="3" t="s">
        <v>35</v>
      </c>
      <c r="E233" s="3" t="s">
        <v>149</v>
      </c>
      <c r="F233" s="3">
        <v>249</v>
      </c>
      <c r="G233" s="3">
        <v>592</v>
      </c>
      <c r="H233" s="3">
        <v>230</v>
      </c>
      <c r="I233" s="3">
        <v>1494</v>
      </c>
      <c r="J233" s="3">
        <v>1044</v>
      </c>
      <c r="K233" s="3">
        <v>201</v>
      </c>
      <c r="L233" s="7" t="s">
        <v>37</v>
      </c>
      <c r="M233" s="6" t="s">
        <v>38</v>
      </c>
    </row>
    <row r="234" spans="1:13" ht="14.25" customHeight="1" x14ac:dyDescent="0.35">
      <c r="A234" s="3" t="s">
        <v>461</v>
      </c>
      <c r="B234" s="3" t="s">
        <v>43</v>
      </c>
      <c r="C234" s="3" t="s">
        <v>134</v>
      </c>
      <c r="D234" s="3" t="s">
        <v>52</v>
      </c>
      <c r="E234" s="3" t="s">
        <v>59</v>
      </c>
      <c r="F234" s="3">
        <v>2382</v>
      </c>
      <c r="G234" s="3">
        <v>265</v>
      </c>
      <c r="H234" s="3">
        <v>134</v>
      </c>
      <c r="I234" s="3">
        <v>38112</v>
      </c>
      <c r="J234" s="3">
        <v>37437</v>
      </c>
      <c r="K234" s="3">
        <v>249</v>
      </c>
      <c r="L234" s="7" t="s">
        <v>62</v>
      </c>
      <c r="M234" s="6" t="s">
        <v>38</v>
      </c>
    </row>
    <row r="235" spans="1:13" ht="14.25" customHeight="1" x14ac:dyDescent="0.35">
      <c r="A235" s="3" t="s">
        <v>462</v>
      </c>
      <c r="B235" s="3" t="s">
        <v>43</v>
      </c>
      <c r="C235" s="3" t="s">
        <v>463</v>
      </c>
      <c r="D235" s="3" t="s">
        <v>22</v>
      </c>
      <c r="E235" s="3" t="s">
        <v>56</v>
      </c>
      <c r="F235" s="3">
        <v>1272</v>
      </c>
      <c r="G235" s="3">
        <v>465</v>
      </c>
      <c r="H235" s="3">
        <v>99</v>
      </c>
      <c r="I235" s="3">
        <v>24168</v>
      </c>
      <c r="J235" s="3">
        <v>23719</v>
      </c>
      <c r="K235" s="3">
        <v>42</v>
      </c>
      <c r="L235" s="7" t="s">
        <v>30</v>
      </c>
      <c r="M235" s="6"/>
    </row>
    <row r="236" spans="1:13" ht="14.25" customHeight="1" x14ac:dyDescent="0.35">
      <c r="A236" s="3" t="s">
        <v>464</v>
      </c>
      <c r="B236" s="3" t="s">
        <v>43</v>
      </c>
      <c r="C236" s="3" t="s">
        <v>392</v>
      </c>
      <c r="D236" s="3" t="s">
        <v>52</v>
      </c>
      <c r="E236" s="3" t="s">
        <v>59</v>
      </c>
      <c r="F236" s="3">
        <v>3196</v>
      </c>
      <c r="G236" s="3">
        <v>941</v>
      </c>
      <c r="H236" s="3">
        <v>376</v>
      </c>
      <c r="I236" s="3">
        <v>35156</v>
      </c>
      <c r="J236" s="3">
        <v>34444</v>
      </c>
      <c r="K236" s="3">
        <v>241</v>
      </c>
      <c r="L236" s="7" t="s">
        <v>30</v>
      </c>
      <c r="M236" s="6" t="s">
        <v>31</v>
      </c>
    </row>
    <row r="237" spans="1:13" ht="14.25" customHeight="1" x14ac:dyDescent="0.35">
      <c r="A237" s="3" t="s">
        <v>465</v>
      </c>
      <c r="B237" s="3" t="s">
        <v>43</v>
      </c>
      <c r="C237" s="3" t="s">
        <v>81</v>
      </c>
      <c r="D237" s="3" t="s">
        <v>22</v>
      </c>
      <c r="E237" s="3" t="s">
        <v>56</v>
      </c>
      <c r="F237" s="3">
        <v>1257</v>
      </c>
      <c r="G237" s="3">
        <v>19</v>
      </c>
      <c r="H237" s="3">
        <v>351</v>
      </c>
      <c r="I237" s="3">
        <v>12570</v>
      </c>
      <c r="J237" s="3">
        <v>11660</v>
      </c>
      <c r="K237" s="3">
        <v>194</v>
      </c>
      <c r="L237" s="4" t="s">
        <v>466</v>
      </c>
      <c r="M237" s="6" t="s">
        <v>25</v>
      </c>
    </row>
    <row r="238" spans="1:13" ht="14.25" customHeight="1" x14ac:dyDescent="0.35">
      <c r="A238" s="3" t="s">
        <v>467</v>
      </c>
      <c r="B238" s="3" t="s">
        <v>33</v>
      </c>
      <c r="C238" s="3" t="s">
        <v>341</v>
      </c>
      <c r="D238" s="3" t="s">
        <v>35</v>
      </c>
      <c r="E238" s="3" t="s">
        <v>36</v>
      </c>
      <c r="F238" s="3">
        <v>3770</v>
      </c>
      <c r="G238" s="3">
        <v>917</v>
      </c>
      <c r="H238" s="3">
        <v>129</v>
      </c>
      <c r="I238" s="3">
        <v>71630</v>
      </c>
      <c r="J238" s="3">
        <v>71322</v>
      </c>
      <c r="K238" s="3">
        <v>76</v>
      </c>
      <c r="L238" s="7" t="s">
        <v>62</v>
      </c>
      <c r="M238" s="5" t="s">
        <v>19</v>
      </c>
    </row>
    <row r="239" spans="1:13" ht="14.25" customHeight="1" x14ac:dyDescent="0.35">
      <c r="A239" s="3" t="s">
        <v>468</v>
      </c>
      <c r="B239" s="3" t="s">
        <v>14</v>
      </c>
      <c r="C239" s="3" t="s">
        <v>469</v>
      </c>
      <c r="D239" s="3" t="s">
        <v>22</v>
      </c>
      <c r="E239" s="3" t="s">
        <v>23</v>
      </c>
      <c r="F239" s="3">
        <v>4725</v>
      </c>
      <c r="G239" s="3">
        <v>400</v>
      </c>
      <c r="H239" s="3">
        <v>362</v>
      </c>
      <c r="I239" s="3">
        <v>75600</v>
      </c>
      <c r="J239" s="3">
        <v>74927</v>
      </c>
      <c r="K239" s="3">
        <v>43</v>
      </c>
      <c r="L239" s="7" t="s">
        <v>62</v>
      </c>
      <c r="M239" s="6" t="s">
        <v>38</v>
      </c>
    </row>
    <row r="240" spans="1:13" ht="14.25" customHeight="1" x14ac:dyDescent="0.35">
      <c r="A240" s="3" t="s">
        <v>470</v>
      </c>
      <c r="B240" s="3" t="s">
        <v>27</v>
      </c>
      <c r="C240" s="3" t="s">
        <v>147</v>
      </c>
      <c r="D240" s="3" t="s">
        <v>22</v>
      </c>
      <c r="E240" s="3" t="s">
        <v>104</v>
      </c>
      <c r="F240" s="3">
        <v>4188</v>
      </c>
      <c r="G240" s="3">
        <v>942</v>
      </c>
      <c r="H240" s="3">
        <v>118</v>
      </c>
      <c r="I240" s="3">
        <v>20940</v>
      </c>
      <c r="J240" s="3">
        <v>20471</v>
      </c>
      <c r="K240" s="3">
        <v>102</v>
      </c>
      <c r="L240" s="7" t="s">
        <v>62</v>
      </c>
      <c r="M240" s="6"/>
    </row>
    <row r="241" spans="1:13" ht="14.25" customHeight="1" x14ac:dyDescent="0.35">
      <c r="A241" s="3" t="s">
        <v>471</v>
      </c>
      <c r="B241" s="3" t="s">
        <v>14</v>
      </c>
      <c r="C241" s="3" t="s">
        <v>77</v>
      </c>
      <c r="D241" s="3" t="s">
        <v>45</v>
      </c>
      <c r="E241" s="3" t="s">
        <v>49</v>
      </c>
      <c r="F241" s="3">
        <v>929</v>
      </c>
      <c r="G241" s="3">
        <v>192</v>
      </c>
      <c r="H241" s="3">
        <v>322</v>
      </c>
      <c r="I241" s="3">
        <v>16722</v>
      </c>
      <c r="J241" s="3">
        <v>15996</v>
      </c>
      <c r="K241" s="3">
        <v>145</v>
      </c>
      <c r="L241" s="4" t="s">
        <v>175</v>
      </c>
      <c r="M241" s="6" t="s">
        <v>31</v>
      </c>
    </row>
    <row r="242" spans="1:13" ht="14.25" customHeight="1" x14ac:dyDescent="0.35">
      <c r="A242" s="3" t="s">
        <v>472</v>
      </c>
      <c r="B242" s="3" t="s">
        <v>43</v>
      </c>
      <c r="C242" s="3" t="s">
        <v>473</v>
      </c>
      <c r="D242" s="3" t="s">
        <v>35</v>
      </c>
      <c r="E242" s="3" t="s">
        <v>71</v>
      </c>
      <c r="F242" s="3">
        <v>4321</v>
      </c>
      <c r="G242" s="3">
        <v>874</v>
      </c>
      <c r="H242" s="3">
        <v>172</v>
      </c>
      <c r="I242" s="3">
        <v>30247</v>
      </c>
      <c r="J242" s="3">
        <v>29254</v>
      </c>
      <c r="K242" s="3">
        <v>122</v>
      </c>
      <c r="L242" s="7" t="s">
        <v>30</v>
      </c>
      <c r="M242" s="6" t="s">
        <v>38</v>
      </c>
    </row>
    <row r="243" spans="1:13" ht="14.25" customHeight="1" x14ac:dyDescent="0.35">
      <c r="A243" s="3" t="s">
        <v>474</v>
      </c>
      <c r="B243" s="3" t="s">
        <v>43</v>
      </c>
      <c r="C243" s="3" t="s">
        <v>228</v>
      </c>
      <c r="D243" s="3" t="s">
        <v>16</v>
      </c>
      <c r="E243" s="3" t="s">
        <v>65</v>
      </c>
      <c r="F243" s="3">
        <v>4767</v>
      </c>
      <c r="G243" s="3">
        <v>190</v>
      </c>
      <c r="H243" s="3">
        <v>340</v>
      </c>
      <c r="I243" s="3">
        <v>28602</v>
      </c>
      <c r="J243" s="3">
        <v>28044</v>
      </c>
      <c r="K243" s="3">
        <v>210</v>
      </c>
      <c r="L243" s="7" t="s">
        <v>37</v>
      </c>
      <c r="M243" s="6" t="s">
        <v>31</v>
      </c>
    </row>
    <row r="244" spans="1:13" ht="14.25" customHeight="1" x14ac:dyDescent="0.35">
      <c r="A244" s="3" t="s">
        <v>475</v>
      </c>
      <c r="B244" s="3" t="s">
        <v>14</v>
      </c>
      <c r="C244" s="3" t="s">
        <v>476</v>
      </c>
      <c r="D244" s="3" t="s">
        <v>52</v>
      </c>
      <c r="E244" s="3" t="s">
        <v>132</v>
      </c>
      <c r="F244" s="3">
        <v>3592</v>
      </c>
      <c r="G244" s="3">
        <v>911</v>
      </c>
      <c r="H244" s="3">
        <v>375</v>
      </c>
      <c r="I244" s="3">
        <v>50288</v>
      </c>
      <c r="J244" s="3">
        <v>49490</v>
      </c>
      <c r="K244" s="3">
        <v>32</v>
      </c>
      <c r="L244" s="7" t="s">
        <v>62</v>
      </c>
      <c r="M244" s="6" t="s">
        <v>38</v>
      </c>
    </row>
    <row r="245" spans="1:13" ht="14.25" customHeight="1" x14ac:dyDescent="0.35">
      <c r="A245" s="3" t="s">
        <v>477</v>
      </c>
      <c r="B245" s="3" t="s">
        <v>27</v>
      </c>
      <c r="C245" s="3" t="s">
        <v>478</v>
      </c>
      <c r="D245" s="3" t="s">
        <v>74</v>
      </c>
      <c r="E245" s="3" t="s">
        <v>219</v>
      </c>
      <c r="F245" s="3">
        <v>4661</v>
      </c>
      <c r="G245" s="3">
        <v>935</v>
      </c>
      <c r="H245" s="3">
        <v>433</v>
      </c>
      <c r="I245" s="3">
        <v>23305</v>
      </c>
      <c r="J245" s="3">
        <v>22583</v>
      </c>
      <c r="K245" s="3">
        <v>63</v>
      </c>
      <c r="L245" s="7" t="s">
        <v>62</v>
      </c>
      <c r="M245" s="6" t="s">
        <v>31</v>
      </c>
    </row>
    <row r="246" spans="1:13" ht="14.25" customHeight="1" x14ac:dyDescent="0.35">
      <c r="A246" s="3" t="s">
        <v>479</v>
      </c>
      <c r="B246" s="3" t="s">
        <v>43</v>
      </c>
      <c r="C246" s="3" t="s">
        <v>480</v>
      </c>
      <c r="D246" s="3" t="s">
        <v>16</v>
      </c>
      <c r="E246" s="3" t="s">
        <v>65</v>
      </c>
      <c r="F246" s="3">
        <v>4134</v>
      </c>
      <c r="G246" s="3">
        <v>824</v>
      </c>
      <c r="H246" s="3">
        <v>99</v>
      </c>
      <c r="I246" s="3">
        <v>41340</v>
      </c>
      <c r="J246" s="3">
        <v>41050</v>
      </c>
      <c r="K246" s="3">
        <v>177</v>
      </c>
      <c r="L246" s="7" t="s">
        <v>37</v>
      </c>
      <c r="M246" s="5" t="s">
        <v>19</v>
      </c>
    </row>
    <row r="247" spans="1:13" ht="14.25" customHeight="1" x14ac:dyDescent="0.35">
      <c r="A247" s="3" t="s">
        <v>481</v>
      </c>
      <c r="B247" s="3" t="s">
        <v>43</v>
      </c>
      <c r="C247" s="3" t="s">
        <v>482</v>
      </c>
      <c r="D247" s="3" t="s">
        <v>52</v>
      </c>
      <c r="E247" s="3" t="s">
        <v>59</v>
      </c>
      <c r="F247" s="3">
        <v>400</v>
      </c>
      <c r="G247" s="3">
        <v>680</v>
      </c>
      <c r="H247" s="3">
        <v>434</v>
      </c>
      <c r="I247" s="3">
        <v>6400</v>
      </c>
      <c r="J247" s="3">
        <v>5472</v>
      </c>
      <c r="K247" s="3">
        <v>160</v>
      </c>
      <c r="L247" s="7" t="s">
        <v>62</v>
      </c>
      <c r="M247" s="6" t="s">
        <v>25</v>
      </c>
    </row>
    <row r="248" spans="1:13" ht="14.25" customHeight="1" x14ac:dyDescent="0.35">
      <c r="A248" s="3" t="s">
        <v>483</v>
      </c>
      <c r="B248" s="3" t="s">
        <v>43</v>
      </c>
      <c r="C248" s="3" t="s">
        <v>484</v>
      </c>
      <c r="D248" s="3" t="s">
        <v>16</v>
      </c>
      <c r="E248" s="3" t="s">
        <v>65</v>
      </c>
      <c r="F248" s="3">
        <v>3960</v>
      </c>
      <c r="G248" s="3">
        <v>266</v>
      </c>
      <c r="H248" s="3">
        <v>8</v>
      </c>
      <c r="I248" s="3">
        <v>35640</v>
      </c>
      <c r="J248" s="3">
        <v>34850</v>
      </c>
      <c r="K248" s="3">
        <v>208</v>
      </c>
      <c r="L248" s="4" t="s">
        <v>485</v>
      </c>
      <c r="M248" s="6"/>
    </row>
    <row r="249" spans="1:13" ht="14.25" customHeight="1" x14ac:dyDescent="0.35">
      <c r="A249" s="3" t="s">
        <v>486</v>
      </c>
      <c r="B249" s="3" t="s">
        <v>43</v>
      </c>
      <c r="C249" s="3" t="s">
        <v>61</v>
      </c>
      <c r="D249" s="3" t="s">
        <v>35</v>
      </c>
      <c r="E249" s="3" t="s">
        <v>71</v>
      </c>
      <c r="F249" s="3">
        <v>886</v>
      </c>
      <c r="G249" s="3">
        <v>126</v>
      </c>
      <c r="H249" s="3">
        <v>153</v>
      </c>
      <c r="I249" s="3">
        <v>4430</v>
      </c>
      <c r="J249" s="3">
        <v>4037</v>
      </c>
      <c r="K249" s="3">
        <v>212</v>
      </c>
      <c r="L249" s="7" t="s">
        <v>37</v>
      </c>
      <c r="M249" s="6"/>
    </row>
    <row r="250" spans="1:13" ht="14.25" customHeight="1" x14ac:dyDescent="0.35">
      <c r="A250" s="3" t="s">
        <v>487</v>
      </c>
      <c r="B250" s="3" t="s">
        <v>14</v>
      </c>
      <c r="C250" s="3" t="s">
        <v>430</v>
      </c>
      <c r="D250" s="3" t="s">
        <v>52</v>
      </c>
      <c r="E250" s="3" t="s">
        <v>132</v>
      </c>
      <c r="F250" s="3">
        <v>827</v>
      </c>
      <c r="G250" s="3">
        <v>77</v>
      </c>
      <c r="H250" s="3">
        <v>402</v>
      </c>
      <c r="I250" s="3">
        <v>14886</v>
      </c>
      <c r="J250" s="3">
        <v>14129</v>
      </c>
      <c r="K250" s="3">
        <v>254</v>
      </c>
      <c r="L250" s="7" t="s">
        <v>37</v>
      </c>
      <c r="M250" s="6" t="s">
        <v>25</v>
      </c>
    </row>
    <row r="251" spans="1:13" ht="14.25" customHeight="1" x14ac:dyDescent="0.35">
      <c r="A251" s="3" t="s">
        <v>488</v>
      </c>
      <c r="B251" s="3" t="s">
        <v>43</v>
      </c>
      <c r="C251" s="3" t="s">
        <v>172</v>
      </c>
      <c r="D251" s="3" t="s">
        <v>16</v>
      </c>
      <c r="E251" s="3" t="s">
        <v>65</v>
      </c>
      <c r="F251" s="3">
        <v>3813</v>
      </c>
      <c r="G251" s="3">
        <v>935</v>
      </c>
      <c r="H251" s="3">
        <v>274</v>
      </c>
      <c r="I251" s="3">
        <v>68634</v>
      </c>
      <c r="J251" s="3">
        <v>68488</v>
      </c>
      <c r="K251" s="3">
        <v>251</v>
      </c>
      <c r="L251" s="7" t="s">
        <v>62</v>
      </c>
      <c r="M251" s="6"/>
    </row>
    <row r="252" spans="1:13" ht="14.25" customHeight="1" x14ac:dyDescent="0.35">
      <c r="A252" s="3" t="s">
        <v>489</v>
      </c>
      <c r="B252" s="3" t="s">
        <v>33</v>
      </c>
      <c r="C252" s="3" t="s">
        <v>490</v>
      </c>
      <c r="D252" s="3" t="s">
        <v>45</v>
      </c>
      <c r="E252" s="3" t="s">
        <v>88</v>
      </c>
      <c r="F252" s="3">
        <v>1377</v>
      </c>
      <c r="G252" s="3">
        <v>796</v>
      </c>
      <c r="H252" s="3">
        <v>387</v>
      </c>
      <c r="I252" s="3">
        <v>22032</v>
      </c>
      <c r="J252" s="3">
        <v>21869</v>
      </c>
      <c r="K252" s="3">
        <v>189</v>
      </c>
      <c r="L252" s="7" t="s">
        <v>62</v>
      </c>
      <c r="M252" s="6"/>
    </row>
    <row r="253" spans="1:13" ht="14.25" customHeight="1" x14ac:dyDescent="0.35">
      <c r="A253" s="3" t="s">
        <v>491</v>
      </c>
      <c r="B253" s="3" t="s">
        <v>43</v>
      </c>
      <c r="C253" s="3" t="s">
        <v>364</v>
      </c>
      <c r="D253" s="3" t="s">
        <v>45</v>
      </c>
      <c r="E253" s="3" t="s">
        <v>46</v>
      </c>
      <c r="F253" s="3">
        <v>2089</v>
      </c>
      <c r="G253" s="3">
        <v>476</v>
      </c>
      <c r="H253" s="3">
        <v>69</v>
      </c>
      <c r="I253" s="3">
        <v>16712</v>
      </c>
      <c r="J253" s="3">
        <v>16309</v>
      </c>
      <c r="K253" s="3">
        <v>64</v>
      </c>
      <c r="L253" s="7" t="s">
        <v>62</v>
      </c>
      <c r="M253" s="6" t="s">
        <v>31</v>
      </c>
    </row>
    <row r="254" spans="1:13" ht="14.25" customHeight="1" x14ac:dyDescent="0.35">
      <c r="A254" s="3" t="s">
        <v>492</v>
      </c>
      <c r="B254" s="3" t="s">
        <v>14</v>
      </c>
      <c r="C254" s="3" t="s">
        <v>493</v>
      </c>
      <c r="D254" s="3" t="s">
        <v>16</v>
      </c>
      <c r="E254" s="3" t="s">
        <v>17</v>
      </c>
      <c r="F254" s="3">
        <v>3791</v>
      </c>
      <c r="G254" s="3">
        <v>593</v>
      </c>
      <c r="H254" s="3">
        <v>228</v>
      </c>
      <c r="I254" s="3">
        <v>53074</v>
      </c>
      <c r="J254" s="3">
        <v>52613</v>
      </c>
      <c r="K254" s="3">
        <v>205</v>
      </c>
      <c r="L254" s="7" t="s">
        <v>37</v>
      </c>
      <c r="M254" s="6"/>
    </row>
    <row r="255" spans="1:13" ht="14.25" customHeight="1" x14ac:dyDescent="0.35">
      <c r="A255" s="3" t="s">
        <v>494</v>
      </c>
      <c r="B255" s="3" t="s">
        <v>14</v>
      </c>
      <c r="C255" s="3" t="s">
        <v>495</v>
      </c>
      <c r="D255" s="3" t="s">
        <v>52</v>
      </c>
      <c r="E255" s="3" t="s">
        <v>132</v>
      </c>
      <c r="F255" s="3">
        <v>2692</v>
      </c>
      <c r="G255" s="3">
        <v>115</v>
      </c>
      <c r="H255" s="3">
        <v>64</v>
      </c>
      <c r="I255" s="3">
        <v>21536</v>
      </c>
      <c r="J255" s="3">
        <v>21120</v>
      </c>
      <c r="K255" s="3">
        <v>224</v>
      </c>
      <c r="L255" s="7" t="s">
        <v>62</v>
      </c>
      <c r="M255" s="6" t="s">
        <v>25</v>
      </c>
    </row>
    <row r="256" spans="1:13" ht="14.25" customHeight="1" x14ac:dyDescent="0.35">
      <c r="A256" s="3" t="s">
        <v>496</v>
      </c>
      <c r="B256" s="3" t="s">
        <v>43</v>
      </c>
      <c r="C256" s="3" t="s">
        <v>21</v>
      </c>
      <c r="D256" s="3" t="s">
        <v>35</v>
      </c>
      <c r="E256" s="3" t="s">
        <v>71</v>
      </c>
      <c r="F256" s="3">
        <v>3767</v>
      </c>
      <c r="G256" s="3">
        <v>514</v>
      </c>
      <c r="H256" s="3">
        <v>238</v>
      </c>
      <c r="I256" s="3">
        <v>37670</v>
      </c>
      <c r="J256" s="3">
        <v>36807</v>
      </c>
      <c r="K256" s="3">
        <v>226</v>
      </c>
      <c r="L256" s="7" t="s">
        <v>62</v>
      </c>
      <c r="M256" s="6" t="s">
        <v>38</v>
      </c>
    </row>
    <row r="257" spans="1:13" ht="14.25" customHeight="1" x14ac:dyDescent="0.35">
      <c r="A257" s="3" t="s">
        <v>497</v>
      </c>
      <c r="B257" s="3" t="s">
        <v>27</v>
      </c>
      <c r="C257" s="3" t="s">
        <v>252</v>
      </c>
      <c r="D257" s="3" t="s">
        <v>45</v>
      </c>
      <c r="E257" s="3" t="s">
        <v>68</v>
      </c>
      <c r="F257" s="3">
        <v>2143</v>
      </c>
      <c r="G257" s="3">
        <v>12</v>
      </c>
      <c r="H257" s="3">
        <v>204</v>
      </c>
      <c r="I257" s="3">
        <v>40717</v>
      </c>
      <c r="J257" s="3">
        <v>40125</v>
      </c>
      <c r="K257" s="3">
        <v>248</v>
      </c>
      <c r="L257" s="7" t="s">
        <v>37</v>
      </c>
      <c r="M257" s="6" t="s">
        <v>25</v>
      </c>
    </row>
    <row r="258" spans="1:13" ht="14.25" customHeight="1" x14ac:dyDescent="0.35">
      <c r="A258" s="3" t="s">
        <v>498</v>
      </c>
      <c r="B258" s="3" t="s">
        <v>43</v>
      </c>
      <c r="C258" s="3" t="s">
        <v>291</v>
      </c>
      <c r="D258" s="3" t="s">
        <v>52</v>
      </c>
      <c r="E258" s="3" t="s">
        <v>59</v>
      </c>
      <c r="F258" s="3">
        <v>3090</v>
      </c>
      <c r="G258" s="3">
        <v>697</v>
      </c>
      <c r="H258" s="3">
        <v>164</v>
      </c>
      <c r="I258" s="3">
        <v>49440</v>
      </c>
      <c r="J258" s="3">
        <v>48524</v>
      </c>
      <c r="K258" s="3">
        <v>25</v>
      </c>
      <c r="L258" s="4" t="s">
        <v>499</v>
      </c>
      <c r="M258" s="6" t="s">
        <v>25</v>
      </c>
    </row>
    <row r="259" spans="1:13" ht="14.25" customHeight="1" x14ac:dyDescent="0.35">
      <c r="A259" s="3" t="s">
        <v>500</v>
      </c>
      <c r="B259" s="3" t="s">
        <v>33</v>
      </c>
      <c r="C259" s="3" t="s">
        <v>501</v>
      </c>
      <c r="D259" s="3" t="s">
        <v>35</v>
      </c>
      <c r="E259" s="3" t="s">
        <v>36</v>
      </c>
      <c r="F259" s="3">
        <v>3601</v>
      </c>
      <c r="G259" s="3">
        <v>695</v>
      </c>
      <c r="H259" s="3">
        <v>75</v>
      </c>
      <c r="I259" s="3">
        <v>21606</v>
      </c>
      <c r="J259" s="3">
        <v>21454</v>
      </c>
      <c r="K259" s="3">
        <v>172</v>
      </c>
      <c r="L259" s="7" t="s">
        <v>37</v>
      </c>
      <c r="M259" s="6" t="s">
        <v>25</v>
      </c>
    </row>
    <row r="260" spans="1:13" ht="14.25" customHeight="1" x14ac:dyDescent="0.35">
      <c r="A260" s="3" t="s">
        <v>502</v>
      </c>
      <c r="B260" s="3" t="s">
        <v>43</v>
      </c>
      <c r="C260" s="3" t="s">
        <v>249</v>
      </c>
      <c r="D260" s="3" t="s">
        <v>22</v>
      </c>
      <c r="E260" s="3" t="s">
        <v>56</v>
      </c>
      <c r="F260" s="3">
        <v>562</v>
      </c>
      <c r="G260" s="3">
        <v>158</v>
      </c>
      <c r="H260" s="3">
        <v>149</v>
      </c>
      <c r="I260" s="3">
        <v>3372</v>
      </c>
      <c r="J260" s="3">
        <v>2940</v>
      </c>
      <c r="K260" s="3">
        <v>93</v>
      </c>
      <c r="L260" s="7" t="s">
        <v>30</v>
      </c>
      <c r="M260" s="5" t="s">
        <v>19</v>
      </c>
    </row>
    <row r="261" spans="1:13" ht="14.25" customHeight="1" x14ac:dyDescent="0.35">
      <c r="A261" s="3" t="s">
        <v>503</v>
      </c>
      <c r="B261" s="3" t="s">
        <v>33</v>
      </c>
      <c r="C261" s="3" t="s">
        <v>504</v>
      </c>
      <c r="D261" s="3" t="s">
        <v>35</v>
      </c>
      <c r="E261" s="3" t="s">
        <v>36</v>
      </c>
      <c r="F261" s="3">
        <v>4332</v>
      </c>
      <c r="G261" s="3">
        <v>771</v>
      </c>
      <c r="H261" s="3">
        <v>219</v>
      </c>
      <c r="I261" s="3">
        <v>60648</v>
      </c>
      <c r="J261" s="3">
        <v>60397</v>
      </c>
      <c r="K261" s="3">
        <v>10</v>
      </c>
      <c r="L261" s="4" t="s">
        <v>505</v>
      </c>
      <c r="M261" s="6" t="s">
        <v>31</v>
      </c>
    </row>
    <row r="262" spans="1:13" ht="14.25" customHeight="1" x14ac:dyDescent="0.35">
      <c r="A262" s="3" t="s">
        <v>506</v>
      </c>
      <c r="B262" s="3" t="s">
        <v>33</v>
      </c>
      <c r="C262" s="3" t="s">
        <v>507</v>
      </c>
      <c r="D262" s="3" t="s">
        <v>52</v>
      </c>
      <c r="E262" s="3" t="s">
        <v>215</v>
      </c>
      <c r="F262" s="3">
        <v>4853</v>
      </c>
      <c r="G262" s="3">
        <v>837</v>
      </c>
      <c r="H262" s="3">
        <v>340</v>
      </c>
      <c r="I262" s="3">
        <v>72795</v>
      </c>
      <c r="J262" s="3">
        <v>72237</v>
      </c>
      <c r="K262" s="3">
        <v>170</v>
      </c>
      <c r="L262" s="7" t="s">
        <v>37</v>
      </c>
      <c r="M262" s="5" t="s">
        <v>19</v>
      </c>
    </row>
    <row r="263" spans="1:13" ht="14.25" customHeight="1" x14ac:dyDescent="0.35">
      <c r="A263" s="3" t="s">
        <v>508</v>
      </c>
      <c r="B263" s="3" t="s">
        <v>27</v>
      </c>
      <c r="C263" s="3" t="s">
        <v>473</v>
      </c>
      <c r="D263" s="3" t="s">
        <v>52</v>
      </c>
      <c r="E263" s="3" t="s">
        <v>53</v>
      </c>
      <c r="F263" s="3">
        <v>1206</v>
      </c>
      <c r="G263" s="3">
        <v>238</v>
      </c>
      <c r="H263" s="3">
        <v>36</v>
      </c>
      <c r="I263" s="3">
        <v>9648</v>
      </c>
      <c r="J263" s="3">
        <v>9417</v>
      </c>
      <c r="K263" s="3">
        <v>237</v>
      </c>
      <c r="L263" s="7" t="s">
        <v>30</v>
      </c>
      <c r="M263" s="6"/>
    </row>
    <row r="264" spans="1:13" ht="14.25" customHeight="1" x14ac:dyDescent="0.35">
      <c r="A264" s="3" t="s">
        <v>509</v>
      </c>
      <c r="B264" s="3" t="s">
        <v>33</v>
      </c>
      <c r="C264" s="3" t="s">
        <v>510</v>
      </c>
      <c r="D264" s="3" t="s">
        <v>16</v>
      </c>
      <c r="E264" s="3" t="s">
        <v>82</v>
      </c>
      <c r="F264" s="3">
        <v>2603</v>
      </c>
      <c r="G264" s="3">
        <v>690</v>
      </c>
      <c r="H264" s="3">
        <v>205</v>
      </c>
      <c r="I264" s="3">
        <v>13015</v>
      </c>
      <c r="J264" s="3">
        <v>12130</v>
      </c>
      <c r="K264" s="3">
        <v>20</v>
      </c>
      <c r="L264" s="7" t="s">
        <v>62</v>
      </c>
      <c r="M264" s="6" t="s">
        <v>25</v>
      </c>
    </row>
    <row r="265" spans="1:13" ht="14.25" customHeight="1" x14ac:dyDescent="0.35">
      <c r="A265" s="3" t="s">
        <v>511</v>
      </c>
      <c r="B265" s="3" t="s">
        <v>14</v>
      </c>
      <c r="C265" s="3" t="s">
        <v>512</v>
      </c>
      <c r="D265" s="3" t="s">
        <v>52</v>
      </c>
      <c r="E265" s="3" t="s">
        <v>132</v>
      </c>
      <c r="F265" s="3">
        <v>59</v>
      </c>
      <c r="G265" s="3">
        <v>163</v>
      </c>
      <c r="H265" s="3">
        <v>93</v>
      </c>
      <c r="I265" s="3">
        <v>590</v>
      </c>
      <c r="J265" s="3">
        <v>475</v>
      </c>
      <c r="K265" s="3">
        <v>293</v>
      </c>
      <c r="L265" s="7" t="s">
        <v>30</v>
      </c>
      <c r="M265" s="6" t="s">
        <v>25</v>
      </c>
    </row>
    <row r="266" spans="1:13" ht="14.25" customHeight="1" x14ac:dyDescent="0.35">
      <c r="A266" s="3" t="s">
        <v>513</v>
      </c>
      <c r="B266" s="3" t="s">
        <v>14</v>
      </c>
      <c r="C266" s="3" t="s">
        <v>514</v>
      </c>
      <c r="D266" s="3" t="s">
        <v>45</v>
      </c>
      <c r="E266" s="3" t="s">
        <v>49</v>
      </c>
      <c r="F266" s="3">
        <v>1877</v>
      </c>
      <c r="G266" s="3">
        <v>745</v>
      </c>
      <c r="H266" s="3">
        <v>225</v>
      </c>
      <c r="I266" s="3">
        <v>11262</v>
      </c>
      <c r="J266" s="3">
        <v>10967</v>
      </c>
      <c r="K266" s="3">
        <v>41</v>
      </c>
      <c r="L266" s="7" t="s">
        <v>37</v>
      </c>
      <c r="M266" s="6" t="s">
        <v>38</v>
      </c>
    </row>
    <row r="267" spans="1:13" ht="14.25" customHeight="1" x14ac:dyDescent="0.35">
      <c r="A267" s="3" t="s">
        <v>515</v>
      </c>
      <c r="B267" s="3" t="s">
        <v>43</v>
      </c>
      <c r="C267" s="3" t="s">
        <v>129</v>
      </c>
      <c r="D267" s="3" t="s">
        <v>35</v>
      </c>
      <c r="E267" s="3" t="s">
        <v>71</v>
      </c>
      <c r="F267" s="3">
        <v>4182</v>
      </c>
      <c r="G267" s="3">
        <v>640</v>
      </c>
      <c r="H267" s="3">
        <v>240</v>
      </c>
      <c r="I267" s="3">
        <v>50184</v>
      </c>
      <c r="J267" s="3">
        <v>49351</v>
      </c>
      <c r="K267" s="3">
        <v>10</v>
      </c>
      <c r="L267" s="7" t="s">
        <v>30</v>
      </c>
      <c r="M267" s="6" t="s">
        <v>31</v>
      </c>
    </row>
    <row r="268" spans="1:13" ht="14.25" customHeight="1" x14ac:dyDescent="0.35">
      <c r="A268" s="3" t="s">
        <v>516</v>
      </c>
      <c r="B268" s="3" t="s">
        <v>14</v>
      </c>
      <c r="C268" s="3" t="s">
        <v>396</v>
      </c>
      <c r="D268" s="3" t="s">
        <v>16</v>
      </c>
      <c r="E268" s="3" t="s">
        <v>17</v>
      </c>
      <c r="F268" s="3">
        <v>4187</v>
      </c>
      <c r="G268" s="3">
        <v>66</v>
      </c>
      <c r="H268" s="3">
        <v>31</v>
      </c>
      <c r="I268" s="3">
        <v>66992</v>
      </c>
      <c r="J268" s="3">
        <v>66614</v>
      </c>
      <c r="K268" s="3">
        <v>62</v>
      </c>
      <c r="L268" s="7" t="s">
        <v>62</v>
      </c>
      <c r="M268" s="6"/>
    </row>
    <row r="269" spans="1:13" ht="14.25" customHeight="1" x14ac:dyDescent="0.35">
      <c r="A269" s="3" t="s">
        <v>517</v>
      </c>
      <c r="B269" s="3" t="s">
        <v>33</v>
      </c>
      <c r="C269" s="3" t="s">
        <v>518</v>
      </c>
      <c r="D269" s="3" t="s">
        <v>16</v>
      </c>
      <c r="E269" s="3" t="s">
        <v>82</v>
      </c>
      <c r="F269" s="3">
        <v>4579</v>
      </c>
      <c r="G269" s="3">
        <v>125</v>
      </c>
      <c r="H269" s="3">
        <v>300</v>
      </c>
      <c r="I269" s="3">
        <v>59527</v>
      </c>
      <c r="J269" s="3">
        <v>59400</v>
      </c>
      <c r="K269" s="3">
        <v>269</v>
      </c>
      <c r="L269" s="7" t="s">
        <v>37</v>
      </c>
      <c r="M269" s="5" t="s">
        <v>19</v>
      </c>
    </row>
    <row r="270" spans="1:13" ht="14.25" customHeight="1" x14ac:dyDescent="0.35">
      <c r="A270" s="3" t="s">
        <v>519</v>
      </c>
      <c r="B270" s="3" t="s">
        <v>33</v>
      </c>
      <c r="C270" s="3" t="s">
        <v>520</v>
      </c>
      <c r="D270" s="3" t="s">
        <v>74</v>
      </c>
      <c r="E270" s="3" t="s">
        <v>85</v>
      </c>
      <c r="F270" s="3">
        <v>4561</v>
      </c>
      <c r="G270" s="3">
        <v>51</v>
      </c>
      <c r="H270" s="3">
        <v>441</v>
      </c>
      <c r="I270" s="3">
        <v>22805</v>
      </c>
      <c r="J270" s="3">
        <v>21890</v>
      </c>
      <c r="K270" s="3">
        <v>45</v>
      </c>
      <c r="L270" s="7" t="s">
        <v>30</v>
      </c>
      <c r="M270" s="6" t="s">
        <v>25</v>
      </c>
    </row>
    <row r="271" spans="1:13" ht="14.25" customHeight="1" x14ac:dyDescent="0.35">
      <c r="A271" s="3" t="s">
        <v>521</v>
      </c>
      <c r="B271" s="3" t="s">
        <v>27</v>
      </c>
      <c r="C271" s="3" t="s">
        <v>414</v>
      </c>
      <c r="D271" s="3" t="s">
        <v>16</v>
      </c>
      <c r="E271" s="3" t="s">
        <v>29</v>
      </c>
      <c r="F271" s="3">
        <v>3774</v>
      </c>
      <c r="G271" s="3">
        <v>239</v>
      </c>
      <c r="H271" s="3">
        <v>39</v>
      </c>
      <c r="I271" s="3">
        <v>60384</v>
      </c>
      <c r="J271" s="3">
        <v>59490</v>
      </c>
      <c r="K271" s="3">
        <v>241</v>
      </c>
      <c r="L271" s="7" t="s">
        <v>30</v>
      </c>
      <c r="M271" s="6" t="s">
        <v>31</v>
      </c>
    </row>
    <row r="272" spans="1:13" ht="14.25" customHeight="1" x14ac:dyDescent="0.35">
      <c r="A272" s="3" t="s">
        <v>522</v>
      </c>
      <c r="B272" s="3" t="s">
        <v>33</v>
      </c>
      <c r="C272" s="3" t="s">
        <v>523</v>
      </c>
      <c r="D272" s="3" t="s">
        <v>74</v>
      </c>
      <c r="E272" s="3" t="s">
        <v>85</v>
      </c>
      <c r="F272" s="3">
        <v>3575</v>
      </c>
      <c r="G272" s="3">
        <v>749</v>
      </c>
      <c r="H272" s="3">
        <v>111</v>
      </c>
      <c r="I272" s="3">
        <v>21450</v>
      </c>
      <c r="J272" s="3">
        <v>20785</v>
      </c>
      <c r="K272" s="3">
        <v>195</v>
      </c>
      <c r="L272" s="7" t="s">
        <v>37</v>
      </c>
      <c r="M272" s="6" t="s">
        <v>25</v>
      </c>
    </row>
    <row r="273" spans="1:13" ht="14.25" customHeight="1" x14ac:dyDescent="0.35">
      <c r="A273" s="3" t="s">
        <v>524</v>
      </c>
      <c r="B273" s="3" t="s">
        <v>33</v>
      </c>
      <c r="C273" s="3" t="s">
        <v>490</v>
      </c>
      <c r="D273" s="3" t="s">
        <v>22</v>
      </c>
      <c r="E273" s="3" t="s">
        <v>113</v>
      </c>
      <c r="F273" s="3">
        <v>4941</v>
      </c>
      <c r="G273" s="3">
        <v>414</v>
      </c>
      <c r="H273" s="3">
        <v>266</v>
      </c>
      <c r="I273" s="3">
        <v>39528</v>
      </c>
      <c r="J273" s="3">
        <v>39154</v>
      </c>
      <c r="K273" s="3">
        <v>217</v>
      </c>
      <c r="L273" s="7" t="s">
        <v>30</v>
      </c>
      <c r="M273" s="6" t="s">
        <v>31</v>
      </c>
    </row>
    <row r="274" spans="1:13" ht="14.25" customHeight="1" x14ac:dyDescent="0.35">
      <c r="A274" s="3" t="s">
        <v>525</v>
      </c>
      <c r="B274" s="3" t="s">
        <v>27</v>
      </c>
      <c r="C274" s="3" t="s">
        <v>526</v>
      </c>
      <c r="D274" s="3" t="s">
        <v>35</v>
      </c>
      <c r="E274" s="3" t="s">
        <v>154</v>
      </c>
      <c r="F274" s="3">
        <v>3641</v>
      </c>
      <c r="G274" s="3">
        <v>226</v>
      </c>
      <c r="H274" s="3">
        <v>46</v>
      </c>
      <c r="I274" s="3">
        <v>40051</v>
      </c>
      <c r="J274" s="3">
        <v>39319</v>
      </c>
      <c r="K274" s="3">
        <v>296</v>
      </c>
      <c r="L274" s="7" t="s">
        <v>37</v>
      </c>
      <c r="M274" s="6" t="s">
        <v>38</v>
      </c>
    </row>
    <row r="275" spans="1:13" ht="14.25" customHeight="1" x14ac:dyDescent="0.35">
      <c r="A275" s="3" t="s">
        <v>527</v>
      </c>
      <c r="B275" s="3" t="s">
        <v>14</v>
      </c>
      <c r="C275" s="3" t="s">
        <v>336</v>
      </c>
      <c r="D275" s="3" t="s">
        <v>45</v>
      </c>
      <c r="E275" s="3" t="s">
        <v>49</v>
      </c>
      <c r="F275" s="3">
        <v>3535</v>
      </c>
      <c r="G275" s="3">
        <v>494</v>
      </c>
      <c r="H275" s="3">
        <v>152</v>
      </c>
      <c r="I275" s="3">
        <v>53025</v>
      </c>
      <c r="J275" s="3">
        <v>52791</v>
      </c>
      <c r="K275" s="3">
        <v>44</v>
      </c>
      <c r="L275" s="7" t="s">
        <v>30</v>
      </c>
      <c r="M275" s="6" t="s">
        <v>38</v>
      </c>
    </row>
    <row r="276" spans="1:13" ht="14.25" customHeight="1" x14ac:dyDescent="0.35">
      <c r="A276" s="3" t="s">
        <v>528</v>
      </c>
      <c r="B276" s="3" t="s">
        <v>43</v>
      </c>
      <c r="C276" s="3" t="s">
        <v>501</v>
      </c>
      <c r="D276" s="3" t="s">
        <v>16</v>
      </c>
      <c r="E276" s="3" t="s">
        <v>65</v>
      </c>
      <c r="F276" s="3">
        <v>1741</v>
      </c>
      <c r="G276" s="3">
        <v>831</v>
      </c>
      <c r="H276" s="3">
        <v>345</v>
      </c>
      <c r="I276" s="3">
        <v>17410</v>
      </c>
      <c r="J276" s="3">
        <v>16844</v>
      </c>
      <c r="K276" s="3">
        <v>58</v>
      </c>
      <c r="L276" s="7" t="s">
        <v>37</v>
      </c>
      <c r="M276" s="6" t="s">
        <v>31</v>
      </c>
    </row>
    <row r="277" spans="1:13" ht="14.25" customHeight="1" x14ac:dyDescent="0.35">
      <c r="A277" s="3" t="s">
        <v>529</v>
      </c>
      <c r="B277" s="3" t="s">
        <v>14</v>
      </c>
      <c r="C277" s="3" t="s">
        <v>530</v>
      </c>
      <c r="D277" s="3" t="s">
        <v>45</v>
      </c>
      <c r="E277" s="3" t="s">
        <v>49</v>
      </c>
      <c r="F277" s="3">
        <v>1556</v>
      </c>
      <c r="G277" s="3">
        <v>195</v>
      </c>
      <c r="H277" s="3">
        <v>131</v>
      </c>
      <c r="I277" s="3">
        <v>9336</v>
      </c>
      <c r="J277" s="3">
        <v>8875</v>
      </c>
      <c r="K277" s="3">
        <v>137</v>
      </c>
      <c r="L277" s="7" t="s">
        <v>30</v>
      </c>
      <c r="M277" s="6" t="s">
        <v>25</v>
      </c>
    </row>
    <row r="278" spans="1:13" ht="14.25" customHeight="1" x14ac:dyDescent="0.35">
      <c r="A278" s="3" t="s">
        <v>531</v>
      </c>
      <c r="B278" s="3" t="s">
        <v>43</v>
      </c>
      <c r="C278" s="3" t="s">
        <v>291</v>
      </c>
      <c r="D278" s="3" t="s">
        <v>52</v>
      </c>
      <c r="E278" s="3" t="s">
        <v>59</v>
      </c>
      <c r="F278" s="3">
        <v>4236</v>
      </c>
      <c r="G278" s="3">
        <v>711</v>
      </c>
      <c r="H278" s="3">
        <v>298</v>
      </c>
      <c r="I278" s="3">
        <v>21180</v>
      </c>
      <c r="J278" s="3">
        <v>20516</v>
      </c>
      <c r="K278" s="3">
        <v>238</v>
      </c>
      <c r="L278" s="7" t="s">
        <v>62</v>
      </c>
      <c r="M278" s="5" t="s">
        <v>19</v>
      </c>
    </row>
    <row r="279" spans="1:13" ht="14.25" customHeight="1" x14ac:dyDescent="0.35">
      <c r="A279" s="3" t="s">
        <v>532</v>
      </c>
      <c r="B279" s="3" t="s">
        <v>14</v>
      </c>
      <c r="C279" s="3" t="s">
        <v>533</v>
      </c>
      <c r="D279" s="3" t="s">
        <v>22</v>
      </c>
      <c r="E279" s="3" t="s">
        <v>23</v>
      </c>
      <c r="F279" s="3">
        <v>4516</v>
      </c>
      <c r="G279" s="3">
        <v>836</v>
      </c>
      <c r="H279" s="3">
        <v>169</v>
      </c>
      <c r="I279" s="3">
        <v>49676</v>
      </c>
      <c r="J279" s="3">
        <v>49257</v>
      </c>
      <c r="K279" s="3">
        <v>282</v>
      </c>
      <c r="L279" s="7" t="s">
        <v>37</v>
      </c>
      <c r="M279" s="6" t="s">
        <v>38</v>
      </c>
    </row>
    <row r="280" spans="1:13" ht="14.25" customHeight="1" x14ac:dyDescent="0.35">
      <c r="A280" s="3" t="s">
        <v>534</v>
      </c>
      <c r="B280" s="3" t="s">
        <v>27</v>
      </c>
      <c r="C280" s="3" t="s">
        <v>195</v>
      </c>
      <c r="D280" s="3" t="s">
        <v>52</v>
      </c>
      <c r="E280" s="3" t="s">
        <v>53</v>
      </c>
      <c r="F280" s="3">
        <v>4905</v>
      </c>
      <c r="G280" s="3">
        <v>845</v>
      </c>
      <c r="H280" s="3">
        <v>129</v>
      </c>
      <c r="I280" s="3">
        <v>98100</v>
      </c>
      <c r="J280" s="3">
        <v>97772</v>
      </c>
      <c r="K280" s="3">
        <v>279</v>
      </c>
      <c r="L280" s="7" t="s">
        <v>30</v>
      </c>
      <c r="M280" s="6" t="s">
        <v>25</v>
      </c>
    </row>
    <row r="281" spans="1:13" ht="14.25" customHeight="1" x14ac:dyDescent="0.35">
      <c r="A281" s="3" t="s">
        <v>535</v>
      </c>
      <c r="B281" s="3" t="s">
        <v>27</v>
      </c>
      <c r="C281" s="3" t="s">
        <v>168</v>
      </c>
      <c r="D281" s="3" t="s">
        <v>74</v>
      </c>
      <c r="E281" s="3" t="s">
        <v>219</v>
      </c>
      <c r="F281" s="3">
        <v>4275</v>
      </c>
      <c r="G281" s="3">
        <v>680</v>
      </c>
      <c r="H281" s="3">
        <v>385</v>
      </c>
      <c r="I281" s="3">
        <v>64125</v>
      </c>
      <c r="J281" s="3">
        <v>63650</v>
      </c>
      <c r="K281" s="3">
        <v>104</v>
      </c>
      <c r="L281" s="4" t="s">
        <v>175</v>
      </c>
      <c r="M281" s="6" t="s">
        <v>38</v>
      </c>
    </row>
    <row r="282" spans="1:13" ht="14.25" customHeight="1" x14ac:dyDescent="0.35">
      <c r="A282" s="3" t="s">
        <v>536</v>
      </c>
      <c r="B282" s="3" t="s">
        <v>27</v>
      </c>
      <c r="C282" s="3" t="s">
        <v>537</v>
      </c>
      <c r="D282" s="3" t="s">
        <v>52</v>
      </c>
      <c r="E282" s="3" t="s">
        <v>53</v>
      </c>
      <c r="F282" s="3">
        <v>3166</v>
      </c>
      <c r="G282" s="3">
        <v>90</v>
      </c>
      <c r="H282" s="3">
        <v>341</v>
      </c>
      <c r="I282" s="3">
        <v>56988</v>
      </c>
      <c r="J282" s="3">
        <v>56125</v>
      </c>
      <c r="K282" s="3">
        <v>135</v>
      </c>
      <c r="L282" s="7" t="s">
        <v>37</v>
      </c>
      <c r="M282" s="6" t="s">
        <v>25</v>
      </c>
    </row>
    <row r="283" spans="1:13" ht="14.25" customHeight="1" x14ac:dyDescent="0.35">
      <c r="A283" s="3" t="s">
        <v>538</v>
      </c>
      <c r="B283" s="3" t="s">
        <v>33</v>
      </c>
      <c r="C283" s="3" t="s">
        <v>539</v>
      </c>
      <c r="D283" s="3" t="s">
        <v>74</v>
      </c>
      <c r="E283" s="3" t="s">
        <v>85</v>
      </c>
      <c r="F283" s="3">
        <v>1488</v>
      </c>
      <c r="G283" s="3">
        <v>417</v>
      </c>
      <c r="H283" s="3">
        <v>168</v>
      </c>
      <c r="I283" s="3">
        <v>19344</v>
      </c>
      <c r="J283" s="3">
        <v>18395</v>
      </c>
      <c r="K283" s="3">
        <v>30</v>
      </c>
      <c r="L283" s="7" t="s">
        <v>62</v>
      </c>
      <c r="M283" s="6" t="s">
        <v>31</v>
      </c>
    </row>
    <row r="284" spans="1:13" ht="14.25" customHeight="1" x14ac:dyDescent="0.35">
      <c r="A284" s="3" t="s">
        <v>540</v>
      </c>
      <c r="B284" s="3" t="s">
        <v>14</v>
      </c>
      <c r="C284" s="3" t="s">
        <v>541</v>
      </c>
      <c r="D284" s="3" t="s">
        <v>16</v>
      </c>
      <c r="E284" s="3" t="s">
        <v>17</v>
      </c>
      <c r="F284" s="3">
        <v>3367</v>
      </c>
      <c r="G284" s="3">
        <v>302</v>
      </c>
      <c r="H284" s="3">
        <v>57</v>
      </c>
      <c r="I284" s="3">
        <v>63973</v>
      </c>
      <c r="J284" s="3">
        <v>63789</v>
      </c>
      <c r="K284" s="3">
        <v>157</v>
      </c>
      <c r="L284" s="7" t="s">
        <v>62</v>
      </c>
      <c r="M284" s="6" t="s">
        <v>25</v>
      </c>
    </row>
    <row r="285" spans="1:13" ht="14.25" customHeight="1" x14ac:dyDescent="0.35">
      <c r="A285" s="3" t="s">
        <v>542</v>
      </c>
      <c r="B285" s="3" t="s">
        <v>14</v>
      </c>
      <c r="C285" s="3" t="s">
        <v>103</v>
      </c>
      <c r="D285" s="3" t="s">
        <v>22</v>
      </c>
      <c r="E285" s="3" t="s">
        <v>23</v>
      </c>
      <c r="F285" s="3">
        <v>571</v>
      </c>
      <c r="G285" s="3">
        <v>190</v>
      </c>
      <c r="H285" s="3">
        <v>352</v>
      </c>
      <c r="I285" s="3">
        <v>9707</v>
      </c>
      <c r="J285" s="3">
        <v>9418</v>
      </c>
      <c r="K285" s="3">
        <v>231</v>
      </c>
      <c r="L285" s="7" t="s">
        <v>30</v>
      </c>
      <c r="M285" s="6" t="s">
        <v>38</v>
      </c>
    </row>
    <row r="286" spans="1:13" ht="14.25" customHeight="1" x14ac:dyDescent="0.35">
      <c r="A286" s="3" t="s">
        <v>543</v>
      </c>
      <c r="B286" s="3" t="s">
        <v>27</v>
      </c>
      <c r="C286" s="3" t="s">
        <v>430</v>
      </c>
      <c r="D286" s="3" t="s">
        <v>22</v>
      </c>
      <c r="E286" s="3" t="s">
        <v>104</v>
      </c>
      <c r="F286" s="3">
        <v>4021</v>
      </c>
      <c r="G286" s="3">
        <v>794</v>
      </c>
      <c r="H286" s="3">
        <v>77</v>
      </c>
      <c r="I286" s="3">
        <v>36189</v>
      </c>
      <c r="J286" s="3">
        <v>35505</v>
      </c>
      <c r="K286" s="3">
        <v>174</v>
      </c>
      <c r="L286" s="7" t="s">
        <v>37</v>
      </c>
      <c r="M286" s="6"/>
    </row>
    <row r="287" spans="1:13" ht="14.25" customHeight="1" x14ac:dyDescent="0.35">
      <c r="A287" s="3" t="s">
        <v>544</v>
      </c>
      <c r="B287" s="3" t="s">
        <v>27</v>
      </c>
      <c r="C287" s="3" t="s">
        <v>545</v>
      </c>
      <c r="D287" s="3" t="s">
        <v>74</v>
      </c>
      <c r="E287" s="3" t="s">
        <v>219</v>
      </c>
      <c r="F287" s="3">
        <v>3389</v>
      </c>
      <c r="G287" s="3">
        <v>344</v>
      </c>
      <c r="H287" s="3">
        <v>229</v>
      </c>
      <c r="I287" s="3">
        <v>20334</v>
      </c>
      <c r="J287" s="3">
        <v>19443</v>
      </c>
      <c r="K287" s="3">
        <v>228</v>
      </c>
      <c r="L287" s="7" t="s">
        <v>62</v>
      </c>
      <c r="M287" s="6" t="s">
        <v>31</v>
      </c>
    </row>
    <row r="288" spans="1:13" ht="14.25" customHeight="1" x14ac:dyDescent="0.35">
      <c r="A288" s="3" t="s">
        <v>546</v>
      </c>
      <c r="B288" s="3" t="s">
        <v>33</v>
      </c>
      <c r="C288" s="3" t="s">
        <v>404</v>
      </c>
      <c r="D288" s="3" t="s">
        <v>16</v>
      </c>
      <c r="E288" s="3" t="s">
        <v>82</v>
      </c>
      <c r="F288" s="3">
        <v>1164</v>
      </c>
      <c r="G288" s="3">
        <v>616</v>
      </c>
      <c r="H288" s="3">
        <v>324</v>
      </c>
      <c r="I288" s="3">
        <v>6984</v>
      </c>
      <c r="J288" s="3">
        <v>6636</v>
      </c>
      <c r="K288" s="3">
        <v>82</v>
      </c>
      <c r="L288" s="7" t="s">
        <v>37</v>
      </c>
      <c r="M288" s="5" t="s">
        <v>19</v>
      </c>
    </row>
    <row r="289" spans="1:13" ht="14.25" customHeight="1" x14ac:dyDescent="0.35">
      <c r="A289" s="3" t="s">
        <v>547</v>
      </c>
      <c r="B289" s="3" t="s">
        <v>27</v>
      </c>
      <c r="C289" s="3" t="s">
        <v>548</v>
      </c>
      <c r="D289" s="3" t="s">
        <v>45</v>
      </c>
      <c r="E289" s="3" t="s">
        <v>68</v>
      </c>
      <c r="F289" s="3">
        <v>4780</v>
      </c>
      <c r="G289" s="3">
        <v>691</v>
      </c>
      <c r="H289" s="3">
        <v>380</v>
      </c>
      <c r="I289" s="3">
        <v>86040</v>
      </c>
      <c r="J289" s="3">
        <v>85743</v>
      </c>
      <c r="K289" s="3">
        <v>262</v>
      </c>
      <c r="L289" s="7" t="s">
        <v>62</v>
      </c>
      <c r="M289" s="6" t="s">
        <v>31</v>
      </c>
    </row>
    <row r="290" spans="1:13" ht="14.25" customHeight="1" x14ac:dyDescent="0.35">
      <c r="A290" s="3" t="s">
        <v>549</v>
      </c>
      <c r="B290" s="3" t="s">
        <v>43</v>
      </c>
      <c r="C290" s="3" t="s">
        <v>307</v>
      </c>
      <c r="D290" s="3" t="s">
        <v>45</v>
      </c>
      <c r="E290" s="3" t="s">
        <v>46</v>
      </c>
      <c r="F290" s="3">
        <v>2751</v>
      </c>
      <c r="G290" s="3">
        <v>33</v>
      </c>
      <c r="H290" s="3">
        <v>430</v>
      </c>
      <c r="I290" s="3">
        <v>44016</v>
      </c>
      <c r="J290" s="3">
        <v>43415</v>
      </c>
      <c r="K290" s="3">
        <v>129</v>
      </c>
      <c r="L290" s="7" t="s">
        <v>62</v>
      </c>
      <c r="M290" s="6"/>
    </row>
    <row r="291" spans="1:13" ht="14.25" customHeight="1" x14ac:dyDescent="0.35">
      <c r="A291" s="3" t="s">
        <v>550</v>
      </c>
      <c r="B291" s="3" t="s">
        <v>33</v>
      </c>
      <c r="C291" s="3" t="s">
        <v>551</v>
      </c>
      <c r="D291" s="3" t="s">
        <v>45</v>
      </c>
      <c r="E291" s="3" t="s">
        <v>88</v>
      </c>
      <c r="F291" s="3">
        <v>2107</v>
      </c>
      <c r="G291" s="3">
        <v>550</v>
      </c>
      <c r="H291" s="3">
        <v>349</v>
      </c>
      <c r="I291" s="3">
        <v>35819</v>
      </c>
      <c r="J291" s="3">
        <v>35340</v>
      </c>
      <c r="K291" s="3">
        <v>191</v>
      </c>
      <c r="L291" s="7" t="s">
        <v>37</v>
      </c>
      <c r="M291" s="6" t="s">
        <v>38</v>
      </c>
    </row>
    <row r="292" spans="1:13" ht="14.25" customHeight="1" x14ac:dyDescent="0.35">
      <c r="A292" s="3" t="s">
        <v>552</v>
      </c>
      <c r="B292" s="3" t="s">
        <v>43</v>
      </c>
      <c r="C292" s="3" t="s">
        <v>94</v>
      </c>
      <c r="D292" s="3" t="s">
        <v>74</v>
      </c>
      <c r="E292" s="3" t="s">
        <v>75</v>
      </c>
      <c r="F292" s="3">
        <v>4663</v>
      </c>
      <c r="G292" s="3">
        <v>145</v>
      </c>
      <c r="H292" s="3">
        <v>225</v>
      </c>
      <c r="I292" s="3">
        <v>69945</v>
      </c>
      <c r="J292" s="3">
        <v>69596</v>
      </c>
      <c r="K292" s="3">
        <v>35</v>
      </c>
      <c r="L292" s="7" t="s">
        <v>37</v>
      </c>
      <c r="M292" s="6" t="s">
        <v>38</v>
      </c>
    </row>
    <row r="293" spans="1:13" ht="14.25" customHeight="1" x14ac:dyDescent="0.35">
      <c r="A293" s="3" t="s">
        <v>553</v>
      </c>
      <c r="B293" s="3" t="s">
        <v>43</v>
      </c>
      <c r="C293" s="3" t="s">
        <v>554</v>
      </c>
      <c r="D293" s="3" t="s">
        <v>22</v>
      </c>
      <c r="E293" s="3" t="s">
        <v>56</v>
      </c>
      <c r="F293" s="3">
        <v>880</v>
      </c>
      <c r="G293" s="3">
        <v>297</v>
      </c>
      <c r="H293" s="3">
        <v>345</v>
      </c>
      <c r="I293" s="3">
        <v>12320</v>
      </c>
      <c r="J293" s="3">
        <v>11978</v>
      </c>
      <c r="K293" s="3">
        <v>238</v>
      </c>
      <c r="L293" s="4" t="s">
        <v>95</v>
      </c>
      <c r="M293" s="6"/>
    </row>
    <row r="294" spans="1:13" ht="14.25" customHeight="1" x14ac:dyDescent="0.35">
      <c r="A294" s="3" t="s">
        <v>555</v>
      </c>
      <c r="B294" s="3" t="s">
        <v>43</v>
      </c>
      <c r="C294" s="3" t="s">
        <v>556</v>
      </c>
      <c r="D294" s="3" t="s">
        <v>22</v>
      </c>
      <c r="E294" s="3" t="s">
        <v>56</v>
      </c>
      <c r="F294" s="3">
        <v>2634</v>
      </c>
      <c r="G294" s="3">
        <v>726</v>
      </c>
      <c r="H294" s="3">
        <v>241</v>
      </c>
      <c r="I294" s="3">
        <v>28974</v>
      </c>
      <c r="J294" s="3">
        <v>28102</v>
      </c>
      <c r="K294" s="3">
        <v>277</v>
      </c>
      <c r="L294" s="7" t="s">
        <v>37</v>
      </c>
      <c r="M294" s="5" t="s">
        <v>19</v>
      </c>
    </row>
    <row r="295" spans="1:13" ht="14.25" customHeight="1" x14ac:dyDescent="0.35">
      <c r="A295" s="3" t="s">
        <v>557</v>
      </c>
      <c r="B295" s="3" t="s">
        <v>43</v>
      </c>
      <c r="C295" s="3" t="s">
        <v>558</v>
      </c>
      <c r="D295" s="3" t="s">
        <v>45</v>
      </c>
      <c r="E295" s="3" t="s">
        <v>46</v>
      </c>
      <c r="F295" s="3">
        <v>4731</v>
      </c>
      <c r="G295" s="3">
        <v>173</v>
      </c>
      <c r="H295" s="3">
        <v>276</v>
      </c>
      <c r="I295" s="3">
        <v>28386</v>
      </c>
      <c r="J295" s="3">
        <v>28185</v>
      </c>
      <c r="K295" s="3">
        <v>89</v>
      </c>
      <c r="L295" s="7" t="s">
        <v>37</v>
      </c>
      <c r="M295" s="6" t="s">
        <v>31</v>
      </c>
    </row>
    <row r="296" spans="1:13" ht="14.25" customHeight="1" x14ac:dyDescent="0.35">
      <c r="A296" s="3" t="s">
        <v>559</v>
      </c>
      <c r="B296" s="3" t="s">
        <v>14</v>
      </c>
      <c r="C296" s="3" t="s">
        <v>436</v>
      </c>
      <c r="D296" s="3" t="s">
        <v>52</v>
      </c>
      <c r="E296" s="3" t="s">
        <v>132</v>
      </c>
      <c r="F296" s="3">
        <v>1952</v>
      </c>
      <c r="G296" s="3">
        <v>344</v>
      </c>
      <c r="H296" s="3">
        <v>287</v>
      </c>
      <c r="I296" s="3">
        <v>15616</v>
      </c>
      <c r="J296" s="3">
        <v>15403</v>
      </c>
      <c r="K296" s="3">
        <v>235</v>
      </c>
      <c r="L296" s="4" t="s">
        <v>216</v>
      </c>
      <c r="M296" s="6" t="s">
        <v>25</v>
      </c>
    </row>
    <row r="297" spans="1:13" ht="14.25" customHeight="1" x14ac:dyDescent="0.35">
      <c r="A297" s="3" t="s">
        <v>560</v>
      </c>
      <c r="B297" s="3" t="s">
        <v>14</v>
      </c>
      <c r="C297" s="3" t="s">
        <v>561</v>
      </c>
      <c r="D297" s="3" t="s">
        <v>74</v>
      </c>
      <c r="E297" s="3" t="s">
        <v>145</v>
      </c>
      <c r="F297" s="3">
        <v>3440</v>
      </c>
      <c r="G297" s="3">
        <v>13</v>
      </c>
      <c r="H297" s="3">
        <v>20</v>
      </c>
      <c r="I297" s="3">
        <v>58480</v>
      </c>
      <c r="J297" s="3">
        <v>58146</v>
      </c>
      <c r="K297" s="3">
        <v>210</v>
      </c>
      <c r="L297" s="4" t="s">
        <v>421</v>
      </c>
      <c r="M297" s="6" t="s">
        <v>38</v>
      </c>
    </row>
    <row r="298" spans="1:13" ht="14.25" customHeight="1" x14ac:dyDescent="0.35">
      <c r="A298" s="3" t="s">
        <v>562</v>
      </c>
      <c r="B298" s="3" t="s">
        <v>14</v>
      </c>
      <c r="C298" s="3" t="s">
        <v>563</v>
      </c>
      <c r="D298" s="3" t="s">
        <v>22</v>
      </c>
      <c r="E298" s="3" t="s">
        <v>23</v>
      </c>
      <c r="F298" s="3">
        <v>2166</v>
      </c>
      <c r="G298" s="3">
        <v>354</v>
      </c>
      <c r="H298" s="3">
        <v>117</v>
      </c>
      <c r="I298" s="3">
        <v>10830</v>
      </c>
      <c r="J298" s="3">
        <v>10245</v>
      </c>
      <c r="K298" s="3">
        <v>24</v>
      </c>
      <c r="L298" s="7" t="s">
        <v>37</v>
      </c>
      <c r="M298" s="6" t="s">
        <v>38</v>
      </c>
    </row>
    <row r="299" spans="1:13" ht="14.25" customHeight="1" x14ac:dyDescent="0.35">
      <c r="A299" s="3" t="s">
        <v>564</v>
      </c>
      <c r="B299" s="3" t="s">
        <v>43</v>
      </c>
      <c r="C299" s="3" t="s">
        <v>73</v>
      </c>
      <c r="D299" s="3" t="s">
        <v>52</v>
      </c>
      <c r="E299" s="3" t="s">
        <v>59</v>
      </c>
      <c r="F299" s="3">
        <v>4303</v>
      </c>
      <c r="G299" s="3">
        <v>451</v>
      </c>
      <c r="H299" s="3">
        <v>286</v>
      </c>
      <c r="I299" s="3">
        <v>86060</v>
      </c>
      <c r="J299" s="3">
        <v>85823</v>
      </c>
      <c r="K299" s="3">
        <v>14</v>
      </c>
      <c r="L299" s="7" t="s">
        <v>30</v>
      </c>
      <c r="M299" s="6" t="s">
        <v>31</v>
      </c>
    </row>
    <row r="300" spans="1:13" ht="14.25" customHeight="1" x14ac:dyDescent="0.35">
      <c r="A300" s="3" t="s">
        <v>565</v>
      </c>
      <c r="B300" s="3" t="s">
        <v>43</v>
      </c>
      <c r="C300" s="3" t="s">
        <v>77</v>
      </c>
      <c r="D300" s="3" t="s">
        <v>52</v>
      </c>
      <c r="E300" s="3" t="s">
        <v>59</v>
      </c>
      <c r="F300" s="3">
        <v>2581</v>
      </c>
      <c r="G300" s="3">
        <v>517</v>
      </c>
      <c r="H300" s="3">
        <v>117</v>
      </c>
      <c r="I300" s="3">
        <v>23229</v>
      </c>
      <c r="J300" s="3">
        <v>22331</v>
      </c>
      <c r="K300" s="3">
        <v>70</v>
      </c>
      <c r="L300" s="7" t="s">
        <v>62</v>
      </c>
      <c r="M300" s="6" t="s">
        <v>31</v>
      </c>
    </row>
    <row r="301" spans="1:13" ht="14.25" customHeight="1" x14ac:dyDescent="0.35">
      <c r="A301" s="3" t="s">
        <v>566</v>
      </c>
      <c r="B301" s="3" t="s">
        <v>14</v>
      </c>
      <c r="C301" s="3" t="s">
        <v>318</v>
      </c>
      <c r="D301" s="3" t="s">
        <v>45</v>
      </c>
      <c r="E301" s="3" t="s">
        <v>49</v>
      </c>
      <c r="F301" s="3">
        <v>4494</v>
      </c>
      <c r="G301" s="3">
        <v>717</v>
      </c>
      <c r="H301" s="3">
        <v>45</v>
      </c>
      <c r="I301" s="3">
        <v>62916</v>
      </c>
      <c r="J301" s="3">
        <v>62688</v>
      </c>
      <c r="K301" s="3">
        <v>191</v>
      </c>
      <c r="L301" s="4" t="s">
        <v>505</v>
      </c>
      <c r="M301" s="5" t="s">
        <v>19</v>
      </c>
    </row>
    <row r="302" spans="1:13" ht="14.25" customHeight="1" x14ac:dyDescent="0.35"/>
    <row r="303" spans="1:13" ht="14.25" customHeight="1" x14ac:dyDescent="0.35"/>
    <row r="304" spans="1:13"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Z30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97B5-83A1-434F-BF6A-71DA3B980B70}">
  <dimension ref="A1:J1000"/>
  <sheetViews>
    <sheetView workbookViewId="0">
      <selection activeCell="G1" sqref="G1:H201"/>
    </sheetView>
  </sheetViews>
  <sheetFormatPr defaultColWidth="14.453125" defaultRowHeight="14.5" x14ac:dyDescent="0.35"/>
  <cols>
    <col min="1" max="1" width="22.54296875" style="31" customWidth="1"/>
    <col min="2" max="2" width="15.26953125" style="31" customWidth="1"/>
    <col min="3" max="5" width="8.7265625" style="31" customWidth="1"/>
    <col min="6" max="6" width="17.81640625" style="31" customWidth="1"/>
    <col min="7" max="7" width="15.26953125" style="41" customWidth="1"/>
    <col min="8" max="9" width="8.7265625" style="31" customWidth="1"/>
    <col min="10" max="10" width="40.6328125" style="31" customWidth="1"/>
    <col min="11" max="26" width="8.7265625" style="31" customWidth="1"/>
    <col min="27" max="16384" width="14.453125" style="31"/>
  </cols>
  <sheetData>
    <row r="1" spans="1:10" ht="14.25" customHeight="1" x14ac:dyDescent="0.35">
      <c r="A1" s="29" t="s">
        <v>567</v>
      </c>
      <c r="B1" s="29" t="s">
        <v>1</v>
      </c>
      <c r="C1" s="30" t="s">
        <v>568</v>
      </c>
      <c r="D1" s="29" t="s">
        <v>569</v>
      </c>
      <c r="E1" s="30" t="s">
        <v>570</v>
      </c>
      <c r="F1" s="30" t="s">
        <v>571</v>
      </c>
      <c r="G1" s="39" t="s">
        <v>572</v>
      </c>
      <c r="H1" s="33" t="s">
        <v>591</v>
      </c>
    </row>
    <row r="2" spans="1:10" ht="14.25" customHeight="1" x14ac:dyDescent="0.35">
      <c r="A2" s="32" t="s">
        <v>232</v>
      </c>
      <c r="B2" s="32" t="s">
        <v>33</v>
      </c>
      <c r="C2" s="32">
        <v>1135</v>
      </c>
      <c r="D2" s="32">
        <v>88</v>
      </c>
      <c r="E2" s="32">
        <v>344084</v>
      </c>
      <c r="F2" s="32">
        <v>8.06</v>
      </c>
      <c r="G2" s="40">
        <v>5904</v>
      </c>
      <c r="H2" s="31">
        <f>C2-D2</f>
        <v>1047</v>
      </c>
    </row>
    <row r="3" spans="1:10" ht="14.25" customHeight="1" x14ac:dyDescent="0.35">
      <c r="A3" s="32" t="s">
        <v>232</v>
      </c>
      <c r="B3" s="32" t="s">
        <v>43</v>
      </c>
      <c r="C3" s="32">
        <v>1312</v>
      </c>
      <c r="D3" s="32">
        <v>310</v>
      </c>
      <c r="E3" s="32">
        <v>42654</v>
      </c>
      <c r="F3" s="32">
        <v>4.9800000000000004</v>
      </c>
      <c r="G3" s="40">
        <v>9566</v>
      </c>
      <c r="H3" s="31">
        <f t="shared" ref="H3:H66" si="0">C3-D3</f>
        <v>1002</v>
      </c>
    </row>
    <row r="4" spans="1:10" ht="14.25" customHeight="1" x14ac:dyDescent="0.35">
      <c r="A4" s="32" t="s">
        <v>232</v>
      </c>
      <c r="B4" s="32" t="s">
        <v>14</v>
      </c>
      <c r="C4" s="32">
        <v>584</v>
      </c>
      <c r="D4" s="32">
        <v>169</v>
      </c>
      <c r="E4" s="32">
        <v>146834</v>
      </c>
      <c r="F4" s="32">
        <v>8.31</v>
      </c>
      <c r="G4" s="40">
        <v>26752</v>
      </c>
      <c r="H4" s="31">
        <f t="shared" si="0"/>
        <v>415</v>
      </c>
    </row>
    <row r="5" spans="1:10" ht="14.25" customHeight="1" x14ac:dyDescent="0.35">
      <c r="A5" s="32" t="s">
        <v>232</v>
      </c>
      <c r="B5" s="32" t="s">
        <v>27</v>
      </c>
      <c r="C5" s="32">
        <v>1535</v>
      </c>
      <c r="D5" s="32">
        <v>445</v>
      </c>
      <c r="E5" s="32">
        <v>395536</v>
      </c>
      <c r="F5" s="32">
        <v>4.1100000000000003</v>
      </c>
      <c r="G5" s="40">
        <v>30671</v>
      </c>
      <c r="H5" s="31">
        <f t="shared" si="0"/>
        <v>1090</v>
      </c>
    </row>
    <row r="6" spans="1:10" ht="14.25" customHeight="1" x14ac:dyDescent="0.35">
      <c r="A6" s="32" t="s">
        <v>151</v>
      </c>
      <c r="B6" s="32" t="s">
        <v>33</v>
      </c>
      <c r="C6" s="32">
        <v>656</v>
      </c>
      <c r="D6" s="32">
        <v>139</v>
      </c>
      <c r="E6" s="32">
        <v>49157</v>
      </c>
      <c r="F6" s="32">
        <v>9.0500000000000007</v>
      </c>
      <c r="G6" s="40">
        <v>9920</v>
      </c>
      <c r="H6" s="31">
        <f t="shared" si="0"/>
        <v>517</v>
      </c>
      <c r="J6" s="34" t="s">
        <v>810</v>
      </c>
    </row>
    <row r="7" spans="1:10" ht="14.25" customHeight="1" x14ac:dyDescent="0.35">
      <c r="A7" s="32" t="s">
        <v>151</v>
      </c>
      <c r="B7" s="32" t="s">
        <v>43</v>
      </c>
      <c r="C7" s="32">
        <v>1697</v>
      </c>
      <c r="D7" s="32">
        <v>414</v>
      </c>
      <c r="E7" s="32">
        <v>316555</v>
      </c>
      <c r="F7" s="32">
        <v>2.37</v>
      </c>
      <c r="G7" s="40">
        <v>7924</v>
      </c>
      <c r="H7" s="31">
        <f t="shared" si="0"/>
        <v>1283</v>
      </c>
      <c r="J7" s="35">
        <f>CORREL(G:G, H:H)</f>
        <v>8.5932221904422137E-2</v>
      </c>
    </row>
    <row r="8" spans="1:10" ht="14.25" customHeight="1" x14ac:dyDescent="0.35">
      <c r="A8" s="32" t="s">
        <v>151</v>
      </c>
      <c r="B8" s="32" t="s">
        <v>14</v>
      </c>
      <c r="C8" s="32">
        <v>436</v>
      </c>
      <c r="D8" s="32">
        <v>250</v>
      </c>
      <c r="E8" s="32">
        <v>254347</v>
      </c>
      <c r="F8" s="32">
        <v>4.01</v>
      </c>
      <c r="G8" s="40">
        <v>8912</v>
      </c>
      <c r="H8" s="31">
        <f t="shared" si="0"/>
        <v>186</v>
      </c>
    </row>
    <row r="9" spans="1:10" ht="14.25" customHeight="1" x14ac:dyDescent="0.35">
      <c r="A9" s="32" t="s">
        <v>151</v>
      </c>
      <c r="B9" s="32" t="s">
        <v>27</v>
      </c>
      <c r="C9" s="32">
        <v>1197</v>
      </c>
      <c r="D9" s="32">
        <v>203</v>
      </c>
      <c r="E9" s="32">
        <v>413878</v>
      </c>
      <c r="F9" s="32">
        <v>3.16</v>
      </c>
      <c r="G9" s="40">
        <v>21205</v>
      </c>
      <c r="H9" s="31">
        <f t="shared" si="0"/>
        <v>994</v>
      </c>
    </row>
    <row r="10" spans="1:10" ht="14.25" customHeight="1" x14ac:dyDescent="0.35">
      <c r="A10" s="32" t="s">
        <v>164</v>
      </c>
      <c r="B10" s="32" t="s">
        <v>33</v>
      </c>
      <c r="C10" s="32">
        <v>1048</v>
      </c>
      <c r="D10" s="32">
        <v>155</v>
      </c>
      <c r="E10" s="32">
        <v>456946</v>
      </c>
      <c r="F10" s="32">
        <v>2.46</v>
      </c>
      <c r="G10" s="40">
        <v>11329</v>
      </c>
      <c r="H10" s="31">
        <f t="shared" si="0"/>
        <v>893</v>
      </c>
    </row>
    <row r="11" spans="1:10" ht="14.25" customHeight="1" x14ac:dyDescent="0.35">
      <c r="A11" s="32" t="s">
        <v>164</v>
      </c>
      <c r="B11" s="32" t="s">
        <v>43</v>
      </c>
      <c r="C11" s="32">
        <v>1753</v>
      </c>
      <c r="D11" s="32">
        <v>371</v>
      </c>
      <c r="E11" s="32">
        <v>169496</v>
      </c>
      <c r="F11" s="32">
        <v>8.11</v>
      </c>
      <c r="G11" s="40">
        <v>46670</v>
      </c>
      <c r="H11" s="31">
        <f t="shared" si="0"/>
        <v>1382</v>
      </c>
    </row>
    <row r="12" spans="1:10" ht="14.25" customHeight="1" x14ac:dyDescent="0.35">
      <c r="A12" s="32" t="s">
        <v>164</v>
      </c>
      <c r="B12" s="32" t="s">
        <v>14</v>
      </c>
      <c r="C12" s="32">
        <v>1335</v>
      </c>
      <c r="D12" s="32">
        <v>40</v>
      </c>
      <c r="E12" s="32">
        <v>122732</v>
      </c>
      <c r="F12" s="32">
        <v>8.19</v>
      </c>
      <c r="G12" s="40">
        <v>22482</v>
      </c>
      <c r="H12" s="31">
        <f t="shared" si="0"/>
        <v>1295</v>
      </c>
    </row>
    <row r="13" spans="1:10" ht="14.25" customHeight="1" x14ac:dyDescent="0.35">
      <c r="A13" s="32" t="s">
        <v>164</v>
      </c>
      <c r="B13" s="32" t="s">
        <v>27</v>
      </c>
      <c r="C13" s="32">
        <v>403</v>
      </c>
      <c r="D13" s="32">
        <v>66</v>
      </c>
      <c r="E13" s="32">
        <v>382851</v>
      </c>
      <c r="F13" s="32">
        <v>3.49</v>
      </c>
      <c r="G13" s="40">
        <v>24313</v>
      </c>
      <c r="H13" s="31">
        <f t="shared" si="0"/>
        <v>337</v>
      </c>
    </row>
    <row r="14" spans="1:10" ht="14.25" customHeight="1" x14ac:dyDescent="0.35">
      <c r="A14" s="32" t="s">
        <v>48</v>
      </c>
      <c r="B14" s="32" t="s">
        <v>33</v>
      </c>
      <c r="C14" s="32">
        <v>911</v>
      </c>
      <c r="D14" s="32">
        <v>282</v>
      </c>
      <c r="E14" s="32">
        <v>35664</v>
      </c>
      <c r="F14" s="32">
        <v>6.92</v>
      </c>
      <c r="G14" s="40">
        <v>18050</v>
      </c>
      <c r="H14" s="31">
        <f t="shared" si="0"/>
        <v>629</v>
      </c>
    </row>
    <row r="15" spans="1:10" ht="14.25" customHeight="1" x14ac:dyDescent="0.35">
      <c r="A15" s="32" t="s">
        <v>48</v>
      </c>
      <c r="B15" s="32" t="s">
        <v>43</v>
      </c>
      <c r="C15" s="32">
        <v>1779</v>
      </c>
      <c r="D15" s="32">
        <v>109</v>
      </c>
      <c r="E15" s="32">
        <v>26295</v>
      </c>
      <c r="F15" s="32">
        <v>9.1199999999999992</v>
      </c>
      <c r="G15" s="40">
        <v>30635</v>
      </c>
      <c r="H15" s="31">
        <f t="shared" si="0"/>
        <v>1670</v>
      </c>
    </row>
    <row r="16" spans="1:10" ht="14.25" customHeight="1" x14ac:dyDescent="0.35">
      <c r="A16" s="32" t="s">
        <v>48</v>
      </c>
      <c r="B16" s="32" t="s">
        <v>14</v>
      </c>
      <c r="C16" s="32">
        <v>1238</v>
      </c>
      <c r="D16" s="32">
        <v>403</v>
      </c>
      <c r="E16" s="32">
        <v>298421</v>
      </c>
      <c r="F16" s="32">
        <v>3.5</v>
      </c>
      <c r="G16" s="40">
        <v>31280</v>
      </c>
      <c r="H16" s="31">
        <f t="shared" si="0"/>
        <v>835</v>
      </c>
    </row>
    <row r="17" spans="1:8" ht="14.25" customHeight="1" x14ac:dyDescent="0.35">
      <c r="A17" s="32" t="s">
        <v>48</v>
      </c>
      <c r="B17" s="32" t="s">
        <v>27</v>
      </c>
      <c r="C17" s="32">
        <v>308</v>
      </c>
      <c r="D17" s="32">
        <v>431</v>
      </c>
      <c r="E17" s="32">
        <v>426184</v>
      </c>
      <c r="F17" s="32">
        <v>2.62</v>
      </c>
      <c r="G17" s="40">
        <v>1783</v>
      </c>
      <c r="H17" s="31">
        <f t="shared" si="0"/>
        <v>-123</v>
      </c>
    </row>
    <row r="18" spans="1:8" ht="14.25" customHeight="1" x14ac:dyDescent="0.35">
      <c r="A18" s="32" t="s">
        <v>455</v>
      </c>
      <c r="B18" s="32" t="s">
        <v>33</v>
      </c>
      <c r="C18" s="32">
        <v>226</v>
      </c>
      <c r="D18" s="32">
        <v>445</v>
      </c>
      <c r="E18" s="32">
        <v>419447</v>
      </c>
      <c r="F18" s="32">
        <v>9.36</v>
      </c>
      <c r="G18" s="40">
        <v>9566</v>
      </c>
      <c r="H18" s="31">
        <f t="shared" si="0"/>
        <v>-219</v>
      </c>
    </row>
    <row r="19" spans="1:8" ht="14.25" customHeight="1" x14ac:dyDescent="0.35">
      <c r="A19" s="32" t="s">
        <v>455</v>
      </c>
      <c r="B19" s="32" t="s">
        <v>43</v>
      </c>
      <c r="C19" s="32">
        <v>505</v>
      </c>
      <c r="D19" s="32">
        <v>441</v>
      </c>
      <c r="E19" s="32">
        <v>220020</v>
      </c>
      <c r="F19" s="32">
        <v>4.4800000000000004</v>
      </c>
      <c r="G19" s="40">
        <v>42307</v>
      </c>
      <c r="H19" s="31">
        <f t="shared" si="0"/>
        <v>64</v>
      </c>
    </row>
    <row r="20" spans="1:8" ht="14.25" customHeight="1" x14ac:dyDescent="0.35">
      <c r="A20" s="32" t="s">
        <v>455</v>
      </c>
      <c r="B20" s="32" t="s">
        <v>14</v>
      </c>
      <c r="C20" s="32">
        <v>1420</v>
      </c>
      <c r="D20" s="32">
        <v>63</v>
      </c>
      <c r="E20" s="32">
        <v>315305</v>
      </c>
      <c r="F20" s="32">
        <v>6.19</v>
      </c>
      <c r="G20" s="40">
        <v>5914</v>
      </c>
      <c r="H20" s="31">
        <f t="shared" si="0"/>
        <v>1357</v>
      </c>
    </row>
    <row r="21" spans="1:8" ht="14.25" customHeight="1" x14ac:dyDescent="0.35">
      <c r="A21" s="32" t="s">
        <v>455</v>
      </c>
      <c r="B21" s="32" t="s">
        <v>27</v>
      </c>
      <c r="C21" s="32">
        <v>144</v>
      </c>
      <c r="D21" s="32">
        <v>53</v>
      </c>
      <c r="E21" s="32">
        <v>113678</v>
      </c>
      <c r="F21" s="32">
        <v>8.7200000000000006</v>
      </c>
      <c r="G21" s="40">
        <v>30060</v>
      </c>
      <c r="H21" s="31">
        <f t="shared" si="0"/>
        <v>91</v>
      </c>
    </row>
    <row r="22" spans="1:8" ht="14.25" customHeight="1" x14ac:dyDescent="0.35">
      <c r="A22" s="32" t="s">
        <v>573</v>
      </c>
      <c r="B22" s="32" t="s">
        <v>33</v>
      </c>
      <c r="C22" s="32">
        <v>1757</v>
      </c>
      <c r="D22" s="32">
        <v>85</v>
      </c>
      <c r="E22" s="32">
        <v>58223</v>
      </c>
      <c r="F22" s="32">
        <v>8.74</v>
      </c>
      <c r="G22" s="40">
        <v>22728</v>
      </c>
      <c r="H22" s="31">
        <f t="shared" si="0"/>
        <v>1672</v>
      </c>
    </row>
    <row r="23" spans="1:8" ht="14.25" customHeight="1" x14ac:dyDescent="0.35">
      <c r="A23" s="32" t="s">
        <v>573</v>
      </c>
      <c r="B23" s="32" t="s">
        <v>43</v>
      </c>
      <c r="C23" s="32">
        <v>350</v>
      </c>
      <c r="D23" s="32">
        <v>41</v>
      </c>
      <c r="E23" s="32">
        <v>251694</v>
      </c>
      <c r="F23" s="32">
        <v>1.91</v>
      </c>
      <c r="G23" s="40">
        <v>38610</v>
      </c>
      <c r="H23" s="31">
        <f t="shared" si="0"/>
        <v>309</v>
      </c>
    </row>
    <row r="24" spans="1:8" ht="14.25" customHeight="1" x14ac:dyDescent="0.35">
      <c r="A24" s="32" t="s">
        <v>573</v>
      </c>
      <c r="B24" s="32" t="s">
        <v>14</v>
      </c>
      <c r="C24" s="32">
        <v>987</v>
      </c>
      <c r="D24" s="32">
        <v>440</v>
      </c>
      <c r="E24" s="32">
        <v>389810</v>
      </c>
      <c r="F24" s="32">
        <v>4.66</v>
      </c>
      <c r="G24" s="40">
        <v>2932</v>
      </c>
      <c r="H24" s="31">
        <f t="shared" si="0"/>
        <v>547</v>
      </c>
    </row>
    <row r="25" spans="1:8" ht="14.25" customHeight="1" x14ac:dyDescent="0.35">
      <c r="A25" s="32" t="s">
        <v>573</v>
      </c>
      <c r="B25" s="32" t="s">
        <v>27</v>
      </c>
      <c r="C25" s="32">
        <v>883</v>
      </c>
      <c r="D25" s="32">
        <v>369</v>
      </c>
      <c r="E25" s="32">
        <v>233694</v>
      </c>
      <c r="F25" s="32">
        <v>2.88</v>
      </c>
      <c r="G25" s="40">
        <v>15071</v>
      </c>
      <c r="H25" s="31">
        <f t="shared" si="0"/>
        <v>514</v>
      </c>
    </row>
    <row r="26" spans="1:8" ht="14.25" customHeight="1" x14ac:dyDescent="0.35">
      <c r="A26" s="32" t="s">
        <v>315</v>
      </c>
      <c r="B26" s="32" t="s">
        <v>33</v>
      </c>
      <c r="C26" s="32">
        <v>1960</v>
      </c>
      <c r="D26" s="32">
        <v>115</v>
      </c>
      <c r="E26" s="32">
        <v>154169</v>
      </c>
      <c r="F26" s="32">
        <v>3.74</v>
      </c>
      <c r="G26" s="40">
        <v>10740</v>
      </c>
      <c r="H26" s="31">
        <f t="shared" si="0"/>
        <v>1845</v>
      </c>
    </row>
    <row r="27" spans="1:8" ht="14.25" customHeight="1" x14ac:dyDescent="0.35">
      <c r="A27" s="32" t="s">
        <v>315</v>
      </c>
      <c r="B27" s="32" t="s">
        <v>43</v>
      </c>
      <c r="C27" s="32">
        <v>170</v>
      </c>
      <c r="D27" s="32">
        <v>334</v>
      </c>
      <c r="E27" s="32">
        <v>334626</v>
      </c>
      <c r="F27" s="32">
        <v>6.44</v>
      </c>
      <c r="G27" s="40">
        <v>43420</v>
      </c>
      <c r="H27" s="31">
        <f t="shared" si="0"/>
        <v>-164</v>
      </c>
    </row>
    <row r="28" spans="1:8" ht="14.25" customHeight="1" x14ac:dyDescent="0.35">
      <c r="A28" s="32" t="s">
        <v>315</v>
      </c>
      <c r="B28" s="32" t="s">
        <v>14</v>
      </c>
      <c r="C28" s="32">
        <v>704</v>
      </c>
      <c r="D28" s="32">
        <v>275</v>
      </c>
      <c r="E28" s="32">
        <v>226002</v>
      </c>
      <c r="F28" s="32">
        <v>8.56</v>
      </c>
      <c r="G28" s="40">
        <v>32393</v>
      </c>
      <c r="H28" s="31">
        <f t="shared" si="0"/>
        <v>429</v>
      </c>
    </row>
    <row r="29" spans="1:8" ht="14.25" customHeight="1" x14ac:dyDescent="0.35">
      <c r="A29" s="32" t="s">
        <v>315</v>
      </c>
      <c r="B29" s="32" t="s">
        <v>27</v>
      </c>
      <c r="C29" s="32">
        <v>224</v>
      </c>
      <c r="D29" s="32">
        <v>64</v>
      </c>
      <c r="E29" s="32">
        <v>156683</v>
      </c>
      <c r="F29" s="32">
        <v>4.5599999999999996</v>
      </c>
      <c r="G29" s="40">
        <v>28474</v>
      </c>
      <c r="H29" s="31">
        <f t="shared" si="0"/>
        <v>160</v>
      </c>
    </row>
    <row r="30" spans="1:8" ht="14.25" customHeight="1" x14ac:dyDescent="0.35">
      <c r="A30" s="32" t="s">
        <v>574</v>
      </c>
      <c r="B30" s="32" t="s">
        <v>33</v>
      </c>
      <c r="C30" s="32">
        <v>508</v>
      </c>
      <c r="D30" s="32">
        <v>349</v>
      </c>
      <c r="E30" s="32">
        <v>473812</v>
      </c>
      <c r="F30" s="32">
        <v>7.88</v>
      </c>
      <c r="G30" s="40">
        <v>17328</v>
      </c>
      <c r="H30" s="31">
        <f t="shared" si="0"/>
        <v>159</v>
      </c>
    </row>
    <row r="31" spans="1:8" ht="14.25" customHeight="1" x14ac:dyDescent="0.35">
      <c r="A31" s="32" t="s">
        <v>574</v>
      </c>
      <c r="B31" s="32" t="s">
        <v>43</v>
      </c>
      <c r="C31" s="32">
        <v>1391</v>
      </c>
      <c r="D31" s="32">
        <v>430</v>
      </c>
      <c r="E31" s="32">
        <v>295032</v>
      </c>
      <c r="F31" s="32">
        <v>7.86</v>
      </c>
      <c r="G31" s="40">
        <v>26067</v>
      </c>
      <c r="H31" s="31">
        <f t="shared" si="0"/>
        <v>961</v>
      </c>
    </row>
    <row r="32" spans="1:8" ht="14.25" customHeight="1" x14ac:dyDescent="0.35">
      <c r="A32" s="32" t="s">
        <v>574</v>
      </c>
      <c r="B32" s="32" t="s">
        <v>14</v>
      </c>
      <c r="C32" s="32">
        <v>1701</v>
      </c>
      <c r="D32" s="32">
        <v>385</v>
      </c>
      <c r="E32" s="32">
        <v>198278</v>
      </c>
      <c r="F32" s="32">
        <v>5.34</v>
      </c>
      <c r="G32" s="40">
        <v>32763</v>
      </c>
      <c r="H32" s="31">
        <f t="shared" si="0"/>
        <v>1316</v>
      </c>
    </row>
    <row r="33" spans="1:8" ht="14.25" customHeight="1" x14ac:dyDescent="0.35">
      <c r="A33" s="32" t="s">
        <v>574</v>
      </c>
      <c r="B33" s="32" t="s">
        <v>27</v>
      </c>
      <c r="C33" s="32">
        <v>804</v>
      </c>
      <c r="D33" s="32">
        <v>487</v>
      </c>
      <c r="E33" s="32">
        <v>306564</v>
      </c>
      <c r="F33" s="32">
        <v>5.52</v>
      </c>
      <c r="G33" s="40">
        <v>26452</v>
      </c>
      <c r="H33" s="31">
        <f t="shared" si="0"/>
        <v>317</v>
      </c>
    </row>
    <row r="34" spans="1:8" ht="14.25" customHeight="1" x14ac:dyDescent="0.35">
      <c r="A34" s="32" t="s">
        <v>268</v>
      </c>
      <c r="B34" s="32" t="s">
        <v>33</v>
      </c>
      <c r="C34" s="32">
        <v>653</v>
      </c>
      <c r="D34" s="32">
        <v>112</v>
      </c>
      <c r="E34" s="32">
        <v>23664</v>
      </c>
      <c r="F34" s="32">
        <v>4.05</v>
      </c>
      <c r="G34" s="40">
        <v>15353</v>
      </c>
      <c r="H34" s="31">
        <f t="shared" si="0"/>
        <v>541</v>
      </c>
    </row>
    <row r="35" spans="1:8" ht="14.25" customHeight="1" x14ac:dyDescent="0.35">
      <c r="A35" s="32" t="s">
        <v>268</v>
      </c>
      <c r="B35" s="32" t="s">
        <v>43</v>
      </c>
      <c r="C35" s="32">
        <v>160</v>
      </c>
      <c r="D35" s="32">
        <v>478</v>
      </c>
      <c r="E35" s="32">
        <v>435034</v>
      </c>
      <c r="F35" s="32">
        <v>7.73</v>
      </c>
      <c r="G35" s="40">
        <v>4839</v>
      </c>
      <c r="H35" s="31">
        <f t="shared" si="0"/>
        <v>-318</v>
      </c>
    </row>
    <row r="36" spans="1:8" ht="14.25" customHeight="1" x14ac:dyDescent="0.35">
      <c r="A36" s="32" t="s">
        <v>268</v>
      </c>
      <c r="B36" s="32" t="s">
        <v>14</v>
      </c>
      <c r="C36" s="32">
        <v>1756</v>
      </c>
      <c r="D36" s="32">
        <v>261</v>
      </c>
      <c r="E36" s="32">
        <v>287574</v>
      </c>
      <c r="F36" s="32">
        <v>4.3600000000000003</v>
      </c>
      <c r="G36" s="40">
        <v>39272</v>
      </c>
      <c r="H36" s="31">
        <f t="shared" si="0"/>
        <v>1495</v>
      </c>
    </row>
    <row r="37" spans="1:8" ht="14.25" customHeight="1" x14ac:dyDescent="0.35">
      <c r="A37" s="32" t="s">
        <v>268</v>
      </c>
      <c r="B37" s="32" t="s">
        <v>27</v>
      </c>
      <c r="C37" s="32">
        <v>576</v>
      </c>
      <c r="D37" s="32">
        <v>101</v>
      </c>
      <c r="E37" s="32">
        <v>62499</v>
      </c>
      <c r="F37" s="32">
        <v>3.48</v>
      </c>
      <c r="G37" s="40">
        <v>16804</v>
      </c>
      <c r="H37" s="31">
        <f t="shared" si="0"/>
        <v>475</v>
      </c>
    </row>
    <row r="38" spans="1:8" ht="14.25" customHeight="1" x14ac:dyDescent="0.35">
      <c r="A38" s="32" t="s">
        <v>501</v>
      </c>
      <c r="B38" s="32" t="s">
        <v>33</v>
      </c>
      <c r="C38" s="32">
        <v>645</v>
      </c>
      <c r="D38" s="32">
        <v>293</v>
      </c>
      <c r="E38" s="32">
        <v>437968</v>
      </c>
      <c r="F38" s="32">
        <v>7.83</v>
      </c>
      <c r="G38" s="40">
        <v>49303</v>
      </c>
      <c r="H38" s="31">
        <f t="shared" si="0"/>
        <v>352</v>
      </c>
    </row>
    <row r="39" spans="1:8" ht="14.25" customHeight="1" x14ac:dyDescent="0.35">
      <c r="A39" s="32" t="s">
        <v>501</v>
      </c>
      <c r="B39" s="32" t="s">
        <v>43</v>
      </c>
      <c r="C39" s="32">
        <v>214</v>
      </c>
      <c r="D39" s="32">
        <v>411</v>
      </c>
      <c r="E39" s="32">
        <v>125034</v>
      </c>
      <c r="F39" s="32">
        <v>6.11</v>
      </c>
      <c r="G39" s="40">
        <v>26455</v>
      </c>
      <c r="H39" s="31">
        <f t="shared" si="0"/>
        <v>-197</v>
      </c>
    </row>
    <row r="40" spans="1:8" ht="14.25" customHeight="1" x14ac:dyDescent="0.35">
      <c r="A40" s="32" t="s">
        <v>501</v>
      </c>
      <c r="B40" s="32" t="s">
        <v>14</v>
      </c>
      <c r="C40" s="32">
        <v>826</v>
      </c>
      <c r="D40" s="32">
        <v>498</v>
      </c>
      <c r="E40" s="32">
        <v>449994</v>
      </c>
      <c r="F40" s="32">
        <v>9.43</v>
      </c>
      <c r="G40" s="40">
        <v>12384</v>
      </c>
      <c r="H40" s="31">
        <f t="shared" si="0"/>
        <v>328</v>
      </c>
    </row>
    <row r="41" spans="1:8" ht="14.25" customHeight="1" x14ac:dyDescent="0.35">
      <c r="A41" s="32" t="s">
        <v>501</v>
      </c>
      <c r="B41" s="32" t="s">
        <v>27</v>
      </c>
      <c r="C41" s="32">
        <v>460</v>
      </c>
      <c r="D41" s="32">
        <v>141</v>
      </c>
      <c r="E41" s="32">
        <v>320650</v>
      </c>
      <c r="F41" s="32">
        <v>4.04</v>
      </c>
      <c r="G41" s="40">
        <v>49372</v>
      </c>
      <c r="H41" s="31">
        <f t="shared" si="0"/>
        <v>319</v>
      </c>
    </row>
    <row r="42" spans="1:8" ht="14.25" customHeight="1" x14ac:dyDescent="0.35">
      <c r="A42" s="32" t="s">
        <v>34</v>
      </c>
      <c r="B42" s="32" t="s">
        <v>33</v>
      </c>
      <c r="C42" s="32">
        <v>1528</v>
      </c>
      <c r="D42" s="32">
        <v>203</v>
      </c>
      <c r="E42" s="32">
        <v>489188</v>
      </c>
      <c r="F42" s="32">
        <v>6.23</v>
      </c>
      <c r="G42" s="40">
        <v>47101</v>
      </c>
      <c r="H42" s="31">
        <f t="shared" si="0"/>
        <v>1325</v>
      </c>
    </row>
    <row r="43" spans="1:8" ht="14.25" customHeight="1" x14ac:dyDescent="0.35">
      <c r="A43" s="32" t="s">
        <v>34</v>
      </c>
      <c r="B43" s="32" t="s">
        <v>43</v>
      </c>
      <c r="C43" s="32">
        <v>1534</v>
      </c>
      <c r="D43" s="32">
        <v>200</v>
      </c>
      <c r="E43" s="32">
        <v>307612</v>
      </c>
      <c r="F43" s="32">
        <v>6.01</v>
      </c>
      <c r="G43" s="40">
        <v>37903</v>
      </c>
      <c r="H43" s="31">
        <f t="shared" si="0"/>
        <v>1334</v>
      </c>
    </row>
    <row r="44" spans="1:8" ht="14.25" customHeight="1" x14ac:dyDescent="0.35">
      <c r="A44" s="32" t="s">
        <v>34</v>
      </c>
      <c r="B44" s="32" t="s">
        <v>14</v>
      </c>
      <c r="C44" s="32">
        <v>485</v>
      </c>
      <c r="D44" s="32">
        <v>448</v>
      </c>
      <c r="E44" s="32">
        <v>434883</v>
      </c>
      <c r="F44" s="32">
        <v>8.5500000000000007</v>
      </c>
      <c r="G44" s="40">
        <v>33258</v>
      </c>
      <c r="H44" s="31">
        <f t="shared" si="0"/>
        <v>37</v>
      </c>
    </row>
    <row r="45" spans="1:8" ht="14.25" customHeight="1" x14ac:dyDescent="0.35">
      <c r="A45" s="32" t="s">
        <v>34</v>
      </c>
      <c r="B45" s="32" t="s">
        <v>27</v>
      </c>
      <c r="C45" s="32">
        <v>1210</v>
      </c>
      <c r="D45" s="32">
        <v>178</v>
      </c>
      <c r="E45" s="32">
        <v>102042</v>
      </c>
      <c r="F45" s="32">
        <v>5.42</v>
      </c>
      <c r="G45" s="40">
        <v>6915</v>
      </c>
      <c r="H45" s="31">
        <f t="shared" si="0"/>
        <v>1032</v>
      </c>
    </row>
    <row r="46" spans="1:8" ht="14.25" customHeight="1" x14ac:dyDescent="0.35">
      <c r="A46" s="32" t="s">
        <v>81</v>
      </c>
      <c r="B46" s="32" t="s">
        <v>33</v>
      </c>
      <c r="C46" s="32">
        <v>215</v>
      </c>
      <c r="D46" s="32">
        <v>139</v>
      </c>
      <c r="E46" s="32">
        <v>325444</v>
      </c>
      <c r="F46" s="32">
        <v>3.25</v>
      </c>
      <c r="G46" s="40">
        <v>35501</v>
      </c>
      <c r="H46" s="31">
        <f t="shared" si="0"/>
        <v>76</v>
      </c>
    </row>
    <row r="47" spans="1:8" ht="14.25" customHeight="1" x14ac:dyDescent="0.35">
      <c r="A47" s="32" t="s">
        <v>81</v>
      </c>
      <c r="B47" s="32" t="s">
        <v>43</v>
      </c>
      <c r="C47" s="32">
        <v>1078</v>
      </c>
      <c r="D47" s="32">
        <v>20</v>
      </c>
      <c r="E47" s="32">
        <v>183924</v>
      </c>
      <c r="F47" s="32">
        <v>8.84</v>
      </c>
      <c r="G47" s="40">
        <v>14203</v>
      </c>
      <c r="H47" s="31">
        <f t="shared" si="0"/>
        <v>1058</v>
      </c>
    </row>
    <row r="48" spans="1:8" ht="14.25" customHeight="1" x14ac:dyDescent="0.35">
      <c r="A48" s="32" t="s">
        <v>81</v>
      </c>
      <c r="B48" s="32" t="s">
        <v>14</v>
      </c>
      <c r="C48" s="32">
        <v>1751</v>
      </c>
      <c r="D48" s="32">
        <v>86</v>
      </c>
      <c r="E48" s="32">
        <v>188655</v>
      </c>
      <c r="F48" s="32">
        <v>7.24</v>
      </c>
      <c r="G48" s="40">
        <v>22206</v>
      </c>
      <c r="H48" s="31">
        <f t="shared" si="0"/>
        <v>1665</v>
      </c>
    </row>
    <row r="49" spans="1:8" ht="14.25" customHeight="1" x14ac:dyDescent="0.35">
      <c r="A49" s="32" t="s">
        <v>81</v>
      </c>
      <c r="B49" s="32" t="s">
        <v>27</v>
      </c>
      <c r="C49" s="32">
        <v>221</v>
      </c>
      <c r="D49" s="32">
        <v>31</v>
      </c>
      <c r="E49" s="32">
        <v>87443</v>
      </c>
      <c r="F49" s="32">
        <v>6.19</v>
      </c>
      <c r="G49" s="40">
        <v>10283</v>
      </c>
      <c r="H49" s="31">
        <f t="shared" si="0"/>
        <v>190</v>
      </c>
    </row>
    <row r="50" spans="1:8" ht="14.25" customHeight="1" x14ac:dyDescent="0.35">
      <c r="A50" s="32" t="s">
        <v>77</v>
      </c>
      <c r="B50" s="32" t="s">
        <v>33</v>
      </c>
      <c r="C50" s="32">
        <v>1685</v>
      </c>
      <c r="D50" s="32">
        <v>76</v>
      </c>
      <c r="E50" s="32">
        <v>453799</v>
      </c>
      <c r="F50" s="32">
        <v>5.71</v>
      </c>
      <c r="G50" s="40">
        <v>24913</v>
      </c>
      <c r="H50" s="31">
        <f t="shared" si="0"/>
        <v>1609</v>
      </c>
    </row>
    <row r="51" spans="1:8" ht="14.25" customHeight="1" x14ac:dyDescent="0.35">
      <c r="A51" s="32" t="s">
        <v>77</v>
      </c>
      <c r="B51" s="32" t="s">
        <v>43</v>
      </c>
      <c r="C51" s="32">
        <v>248</v>
      </c>
      <c r="D51" s="32">
        <v>211</v>
      </c>
      <c r="E51" s="32">
        <v>379380</v>
      </c>
      <c r="F51" s="32">
        <v>9.0399999999999991</v>
      </c>
      <c r="G51" s="40">
        <v>26925</v>
      </c>
      <c r="H51" s="31">
        <f t="shared" si="0"/>
        <v>37</v>
      </c>
    </row>
    <row r="52" spans="1:8" ht="14.25" customHeight="1" x14ac:dyDescent="0.35">
      <c r="A52" s="32" t="s">
        <v>77</v>
      </c>
      <c r="B52" s="32" t="s">
        <v>14</v>
      </c>
      <c r="C52" s="32">
        <v>1300</v>
      </c>
      <c r="D52" s="32">
        <v>71</v>
      </c>
      <c r="E52" s="32">
        <v>186454</v>
      </c>
      <c r="F52" s="32">
        <v>3.91</v>
      </c>
      <c r="G52" s="40">
        <v>9942</v>
      </c>
      <c r="H52" s="31">
        <f t="shared" si="0"/>
        <v>1229</v>
      </c>
    </row>
    <row r="53" spans="1:8" ht="14.25" customHeight="1" x14ac:dyDescent="0.35">
      <c r="A53" s="32" t="s">
        <v>77</v>
      </c>
      <c r="B53" s="32" t="s">
        <v>27</v>
      </c>
      <c r="C53" s="32">
        <v>422</v>
      </c>
      <c r="D53" s="32">
        <v>394</v>
      </c>
      <c r="E53" s="32">
        <v>239044</v>
      </c>
      <c r="F53" s="32">
        <v>7.83</v>
      </c>
      <c r="G53" s="40">
        <v>32929</v>
      </c>
      <c r="H53" s="31">
        <f t="shared" si="0"/>
        <v>28</v>
      </c>
    </row>
    <row r="54" spans="1:8" ht="14.25" customHeight="1" x14ac:dyDescent="0.35">
      <c r="A54" s="32" t="s">
        <v>195</v>
      </c>
      <c r="B54" s="32" t="s">
        <v>33</v>
      </c>
      <c r="C54" s="32">
        <v>1429</v>
      </c>
      <c r="D54" s="32">
        <v>182</v>
      </c>
      <c r="E54" s="32">
        <v>101332</v>
      </c>
      <c r="F54" s="32">
        <v>7.16</v>
      </c>
      <c r="G54" s="40">
        <v>37829</v>
      </c>
      <c r="H54" s="31">
        <f t="shared" si="0"/>
        <v>1247</v>
      </c>
    </row>
    <row r="55" spans="1:8" ht="14.25" customHeight="1" x14ac:dyDescent="0.35">
      <c r="A55" s="32" t="s">
        <v>195</v>
      </c>
      <c r="B55" s="32" t="s">
        <v>43</v>
      </c>
      <c r="C55" s="32">
        <v>1520</v>
      </c>
      <c r="D55" s="32">
        <v>475</v>
      </c>
      <c r="E55" s="32">
        <v>496982</v>
      </c>
      <c r="F55" s="32">
        <v>6.41</v>
      </c>
      <c r="G55" s="40">
        <v>24384</v>
      </c>
      <c r="H55" s="31">
        <f t="shared" si="0"/>
        <v>1045</v>
      </c>
    </row>
    <row r="56" spans="1:8" ht="14.25" customHeight="1" x14ac:dyDescent="0.35">
      <c r="A56" s="32" t="s">
        <v>195</v>
      </c>
      <c r="B56" s="32" t="s">
        <v>14</v>
      </c>
      <c r="C56" s="32">
        <v>557</v>
      </c>
      <c r="D56" s="32">
        <v>360</v>
      </c>
      <c r="E56" s="32">
        <v>318779</v>
      </c>
      <c r="F56" s="32">
        <v>8.02</v>
      </c>
      <c r="G56" s="40">
        <v>25797</v>
      </c>
      <c r="H56" s="31">
        <f t="shared" si="0"/>
        <v>197</v>
      </c>
    </row>
    <row r="57" spans="1:8" ht="14.25" customHeight="1" x14ac:dyDescent="0.35">
      <c r="A57" s="32" t="s">
        <v>195</v>
      </c>
      <c r="B57" s="32" t="s">
        <v>27</v>
      </c>
      <c r="C57" s="32">
        <v>728</v>
      </c>
      <c r="D57" s="32">
        <v>395</v>
      </c>
      <c r="E57" s="32">
        <v>370971</v>
      </c>
      <c r="F57" s="32">
        <v>3.86</v>
      </c>
      <c r="G57" s="40">
        <v>12646</v>
      </c>
      <c r="H57" s="31">
        <f t="shared" si="0"/>
        <v>333</v>
      </c>
    </row>
    <row r="58" spans="1:8" ht="14.25" customHeight="1" x14ac:dyDescent="0.35">
      <c r="A58" s="32" t="s">
        <v>87</v>
      </c>
      <c r="B58" s="32" t="s">
        <v>33</v>
      </c>
      <c r="C58" s="32">
        <v>1592</v>
      </c>
      <c r="D58" s="32">
        <v>20</v>
      </c>
      <c r="E58" s="32">
        <v>378054</v>
      </c>
      <c r="F58" s="32">
        <v>9.09</v>
      </c>
      <c r="G58" s="40">
        <v>26663</v>
      </c>
      <c r="H58" s="31">
        <f t="shared" si="0"/>
        <v>1572</v>
      </c>
    </row>
    <row r="59" spans="1:8" ht="14.25" customHeight="1" x14ac:dyDescent="0.35">
      <c r="A59" s="32" t="s">
        <v>87</v>
      </c>
      <c r="B59" s="32" t="s">
        <v>43</v>
      </c>
      <c r="C59" s="32">
        <v>1842</v>
      </c>
      <c r="D59" s="32">
        <v>414</v>
      </c>
      <c r="E59" s="32">
        <v>307524</v>
      </c>
      <c r="F59" s="32">
        <v>1.76</v>
      </c>
      <c r="G59" s="40">
        <v>40478</v>
      </c>
      <c r="H59" s="31">
        <f t="shared" si="0"/>
        <v>1428</v>
      </c>
    </row>
    <row r="60" spans="1:8" ht="14.25" customHeight="1" x14ac:dyDescent="0.35">
      <c r="A60" s="32" t="s">
        <v>87</v>
      </c>
      <c r="B60" s="32" t="s">
        <v>14</v>
      </c>
      <c r="C60" s="32">
        <v>751</v>
      </c>
      <c r="D60" s="32">
        <v>491</v>
      </c>
      <c r="E60" s="32">
        <v>434047</v>
      </c>
      <c r="F60" s="32">
        <v>9.24</v>
      </c>
      <c r="G60" s="40">
        <v>15476</v>
      </c>
      <c r="H60" s="31">
        <f t="shared" si="0"/>
        <v>260</v>
      </c>
    </row>
    <row r="61" spans="1:8" ht="14.25" customHeight="1" x14ac:dyDescent="0.35">
      <c r="A61" s="32" t="s">
        <v>87</v>
      </c>
      <c r="B61" s="32" t="s">
        <v>27</v>
      </c>
      <c r="C61" s="32">
        <v>1409</v>
      </c>
      <c r="D61" s="32">
        <v>309</v>
      </c>
      <c r="E61" s="32">
        <v>64583</v>
      </c>
      <c r="F61" s="32">
        <v>8.99</v>
      </c>
      <c r="G61" s="40">
        <v>10217</v>
      </c>
      <c r="H61" s="31">
        <f t="shared" si="0"/>
        <v>1100</v>
      </c>
    </row>
    <row r="62" spans="1:8" ht="14.25" customHeight="1" x14ac:dyDescent="0.35">
      <c r="A62" s="32" t="s">
        <v>575</v>
      </c>
      <c r="B62" s="32" t="s">
        <v>33</v>
      </c>
      <c r="C62" s="32">
        <v>778</v>
      </c>
      <c r="D62" s="32">
        <v>401</v>
      </c>
      <c r="E62" s="32">
        <v>50793</v>
      </c>
      <c r="F62" s="32">
        <v>3.4</v>
      </c>
      <c r="G62" s="40">
        <v>21939</v>
      </c>
      <c r="H62" s="31">
        <f t="shared" si="0"/>
        <v>377</v>
      </c>
    </row>
    <row r="63" spans="1:8" ht="14.25" customHeight="1" x14ac:dyDescent="0.35">
      <c r="A63" s="32" t="s">
        <v>575</v>
      </c>
      <c r="B63" s="32" t="s">
        <v>43</v>
      </c>
      <c r="C63" s="32">
        <v>443</v>
      </c>
      <c r="D63" s="32">
        <v>345</v>
      </c>
      <c r="E63" s="32">
        <v>474162</v>
      </c>
      <c r="F63" s="32">
        <v>9.1999999999999993</v>
      </c>
      <c r="G63" s="40">
        <v>47462</v>
      </c>
      <c r="H63" s="31">
        <f t="shared" si="0"/>
        <v>98</v>
      </c>
    </row>
    <row r="64" spans="1:8" ht="14.25" customHeight="1" x14ac:dyDescent="0.35">
      <c r="A64" s="32" t="s">
        <v>575</v>
      </c>
      <c r="B64" s="32" t="s">
        <v>14</v>
      </c>
      <c r="C64" s="32">
        <v>1472</v>
      </c>
      <c r="D64" s="32">
        <v>347</v>
      </c>
      <c r="E64" s="32">
        <v>392355</v>
      </c>
      <c r="F64" s="32">
        <v>8.59</v>
      </c>
      <c r="G64" s="40">
        <v>30270</v>
      </c>
      <c r="H64" s="31">
        <f t="shared" si="0"/>
        <v>1125</v>
      </c>
    </row>
    <row r="65" spans="1:8" ht="14.25" customHeight="1" x14ac:dyDescent="0.35">
      <c r="A65" s="32" t="s">
        <v>575</v>
      </c>
      <c r="B65" s="32" t="s">
        <v>27</v>
      </c>
      <c r="C65" s="32">
        <v>123</v>
      </c>
      <c r="D65" s="32">
        <v>155</v>
      </c>
      <c r="E65" s="32">
        <v>119934</v>
      </c>
      <c r="F65" s="32">
        <v>3.5</v>
      </c>
      <c r="G65" s="40">
        <v>5442</v>
      </c>
      <c r="H65" s="31">
        <f t="shared" si="0"/>
        <v>-32</v>
      </c>
    </row>
    <row r="66" spans="1:8" ht="14.25" customHeight="1" x14ac:dyDescent="0.35">
      <c r="A66" s="32" t="s">
        <v>576</v>
      </c>
      <c r="B66" s="32" t="s">
        <v>33</v>
      </c>
      <c r="C66" s="32">
        <v>817</v>
      </c>
      <c r="D66" s="32">
        <v>151</v>
      </c>
      <c r="E66" s="32">
        <v>422625</v>
      </c>
      <c r="F66" s="32">
        <v>2.36</v>
      </c>
      <c r="G66" s="40">
        <v>1083</v>
      </c>
      <c r="H66" s="31">
        <f t="shared" si="0"/>
        <v>666</v>
      </c>
    </row>
    <row r="67" spans="1:8" ht="14.25" customHeight="1" x14ac:dyDescent="0.35">
      <c r="A67" s="32" t="s">
        <v>576</v>
      </c>
      <c r="B67" s="32" t="s">
        <v>43</v>
      </c>
      <c r="C67" s="32">
        <v>198</v>
      </c>
      <c r="D67" s="32">
        <v>217</v>
      </c>
      <c r="E67" s="32">
        <v>239753</v>
      </c>
      <c r="F67" s="32">
        <v>7.36</v>
      </c>
      <c r="G67" s="40">
        <v>11901</v>
      </c>
      <c r="H67" s="31">
        <f t="shared" ref="H67:H130" si="1">C67-D67</f>
        <v>-19</v>
      </c>
    </row>
    <row r="68" spans="1:8" ht="14.25" customHeight="1" x14ac:dyDescent="0.35">
      <c r="A68" s="32" t="s">
        <v>576</v>
      </c>
      <c r="B68" s="32" t="s">
        <v>14</v>
      </c>
      <c r="C68" s="32">
        <v>1911</v>
      </c>
      <c r="D68" s="32">
        <v>231</v>
      </c>
      <c r="E68" s="32">
        <v>268516</v>
      </c>
      <c r="F68" s="32">
        <v>8.5500000000000007</v>
      </c>
      <c r="G68" s="40">
        <v>24018</v>
      </c>
      <c r="H68" s="31">
        <f t="shared" si="1"/>
        <v>1680</v>
      </c>
    </row>
    <row r="69" spans="1:8" ht="14.25" customHeight="1" x14ac:dyDescent="0.35">
      <c r="A69" s="32" t="s">
        <v>576</v>
      </c>
      <c r="B69" s="32" t="s">
        <v>27</v>
      </c>
      <c r="C69" s="32">
        <v>1218</v>
      </c>
      <c r="D69" s="32">
        <v>212</v>
      </c>
      <c r="E69" s="32">
        <v>63177</v>
      </c>
      <c r="F69" s="32">
        <v>8.1300000000000008</v>
      </c>
      <c r="G69" s="40">
        <v>38883</v>
      </c>
      <c r="H69" s="31">
        <f t="shared" si="1"/>
        <v>1006</v>
      </c>
    </row>
    <row r="70" spans="1:8" ht="14.25" customHeight="1" x14ac:dyDescent="0.35">
      <c r="A70" s="32" t="s">
        <v>577</v>
      </c>
      <c r="B70" s="32" t="s">
        <v>33</v>
      </c>
      <c r="C70" s="32">
        <v>1433</v>
      </c>
      <c r="D70" s="32">
        <v>408</v>
      </c>
      <c r="E70" s="32">
        <v>370269</v>
      </c>
      <c r="F70" s="32">
        <v>3.3</v>
      </c>
      <c r="G70" s="40">
        <v>30575</v>
      </c>
      <c r="H70" s="31">
        <f t="shared" si="1"/>
        <v>1025</v>
      </c>
    </row>
    <row r="71" spans="1:8" ht="14.25" customHeight="1" x14ac:dyDescent="0.35">
      <c r="A71" s="32" t="s">
        <v>577</v>
      </c>
      <c r="B71" s="32" t="s">
        <v>43</v>
      </c>
      <c r="C71" s="32">
        <v>250</v>
      </c>
      <c r="D71" s="32">
        <v>429</v>
      </c>
      <c r="E71" s="32">
        <v>453423</v>
      </c>
      <c r="F71" s="32">
        <v>1.77</v>
      </c>
      <c r="G71" s="40">
        <v>2315</v>
      </c>
      <c r="H71" s="31">
        <f t="shared" si="1"/>
        <v>-179</v>
      </c>
    </row>
    <row r="72" spans="1:8" ht="14.25" customHeight="1" x14ac:dyDescent="0.35">
      <c r="A72" s="32" t="s">
        <v>577</v>
      </c>
      <c r="B72" s="32" t="s">
        <v>14</v>
      </c>
      <c r="C72" s="32">
        <v>752</v>
      </c>
      <c r="D72" s="32">
        <v>153</v>
      </c>
      <c r="E72" s="32">
        <v>64906</v>
      </c>
      <c r="F72" s="32">
        <v>2.09</v>
      </c>
      <c r="G72" s="40">
        <v>12148</v>
      </c>
      <c r="H72" s="31">
        <f t="shared" si="1"/>
        <v>599</v>
      </c>
    </row>
    <row r="73" spans="1:8" ht="14.25" customHeight="1" x14ac:dyDescent="0.35">
      <c r="A73" s="32" t="s">
        <v>577</v>
      </c>
      <c r="B73" s="32" t="s">
        <v>27</v>
      </c>
      <c r="C73" s="32">
        <v>1918</v>
      </c>
      <c r="D73" s="32">
        <v>212</v>
      </c>
      <c r="E73" s="32">
        <v>94360</v>
      </c>
      <c r="F73" s="32">
        <v>7.36</v>
      </c>
      <c r="G73" s="40">
        <v>36851</v>
      </c>
      <c r="H73" s="31">
        <f t="shared" si="1"/>
        <v>1706</v>
      </c>
    </row>
    <row r="74" spans="1:8" ht="14.25" customHeight="1" x14ac:dyDescent="0.35">
      <c r="A74" s="32" t="s">
        <v>578</v>
      </c>
      <c r="B74" s="32" t="s">
        <v>33</v>
      </c>
      <c r="C74" s="32">
        <v>1939</v>
      </c>
      <c r="D74" s="32">
        <v>67</v>
      </c>
      <c r="E74" s="32">
        <v>187183</v>
      </c>
      <c r="F74" s="32">
        <v>6.25</v>
      </c>
      <c r="G74" s="40">
        <v>41215</v>
      </c>
      <c r="H74" s="31">
        <f t="shared" si="1"/>
        <v>1872</v>
      </c>
    </row>
    <row r="75" spans="1:8" ht="14.25" customHeight="1" x14ac:dyDescent="0.35">
      <c r="A75" s="32" t="s">
        <v>578</v>
      </c>
      <c r="B75" s="32" t="s">
        <v>43</v>
      </c>
      <c r="C75" s="32">
        <v>1929</v>
      </c>
      <c r="D75" s="32">
        <v>267</v>
      </c>
      <c r="E75" s="32">
        <v>379363</v>
      </c>
      <c r="F75" s="32">
        <v>1.75</v>
      </c>
      <c r="G75" s="40">
        <v>43836</v>
      </c>
      <c r="H75" s="31">
        <f t="shared" si="1"/>
        <v>1662</v>
      </c>
    </row>
    <row r="76" spans="1:8" ht="14.25" customHeight="1" x14ac:dyDescent="0.35">
      <c r="A76" s="32" t="s">
        <v>578</v>
      </c>
      <c r="B76" s="32" t="s">
        <v>14</v>
      </c>
      <c r="C76" s="32">
        <v>437</v>
      </c>
      <c r="D76" s="32">
        <v>330</v>
      </c>
      <c r="E76" s="32">
        <v>476486</v>
      </c>
      <c r="F76" s="32">
        <v>4.97</v>
      </c>
      <c r="G76" s="40">
        <v>4509</v>
      </c>
      <c r="H76" s="31">
        <f t="shared" si="1"/>
        <v>107</v>
      </c>
    </row>
    <row r="77" spans="1:8" ht="14.25" customHeight="1" x14ac:dyDescent="0.35">
      <c r="A77" s="32" t="s">
        <v>578</v>
      </c>
      <c r="B77" s="32" t="s">
        <v>27</v>
      </c>
      <c r="C77" s="32">
        <v>307</v>
      </c>
      <c r="D77" s="32">
        <v>189</v>
      </c>
      <c r="E77" s="32">
        <v>117767</v>
      </c>
      <c r="F77" s="32">
        <v>9.3000000000000007</v>
      </c>
      <c r="G77" s="40">
        <v>27822</v>
      </c>
      <c r="H77" s="31">
        <f t="shared" si="1"/>
        <v>118</v>
      </c>
    </row>
    <row r="78" spans="1:8" ht="14.25" customHeight="1" x14ac:dyDescent="0.35">
      <c r="A78" s="32" t="s">
        <v>579</v>
      </c>
      <c r="B78" s="32" t="s">
        <v>33</v>
      </c>
      <c r="C78" s="32">
        <v>1527</v>
      </c>
      <c r="D78" s="32">
        <v>303</v>
      </c>
      <c r="E78" s="32">
        <v>388555</v>
      </c>
      <c r="F78" s="32">
        <v>8.9</v>
      </c>
      <c r="G78" s="40">
        <v>36397</v>
      </c>
      <c r="H78" s="31">
        <f t="shared" si="1"/>
        <v>1224</v>
      </c>
    </row>
    <row r="79" spans="1:8" ht="14.25" customHeight="1" x14ac:dyDescent="0.35">
      <c r="A79" s="32" t="s">
        <v>579</v>
      </c>
      <c r="B79" s="32" t="s">
        <v>43</v>
      </c>
      <c r="C79" s="32">
        <v>643</v>
      </c>
      <c r="D79" s="32">
        <v>358</v>
      </c>
      <c r="E79" s="32">
        <v>157599</v>
      </c>
      <c r="F79" s="32">
        <v>3.88</v>
      </c>
      <c r="G79" s="40">
        <v>7285</v>
      </c>
      <c r="H79" s="31">
        <f t="shared" si="1"/>
        <v>285</v>
      </c>
    </row>
    <row r="80" spans="1:8" ht="14.25" customHeight="1" x14ac:dyDescent="0.35">
      <c r="A80" s="32" t="s">
        <v>579</v>
      </c>
      <c r="B80" s="32" t="s">
        <v>14</v>
      </c>
      <c r="C80" s="32">
        <v>201</v>
      </c>
      <c r="D80" s="32">
        <v>221</v>
      </c>
      <c r="E80" s="32">
        <v>309772</v>
      </c>
      <c r="F80" s="32">
        <v>5.9</v>
      </c>
      <c r="G80" s="40">
        <v>33174</v>
      </c>
      <c r="H80" s="31">
        <f t="shared" si="1"/>
        <v>-20</v>
      </c>
    </row>
    <row r="81" spans="1:8" ht="14.25" customHeight="1" x14ac:dyDescent="0.35">
      <c r="A81" s="32" t="s">
        <v>579</v>
      </c>
      <c r="B81" s="32" t="s">
        <v>27</v>
      </c>
      <c r="C81" s="32">
        <v>414</v>
      </c>
      <c r="D81" s="32">
        <v>47</v>
      </c>
      <c r="E81" s="32">
        <v>199178</v>
      </c>
      <c r="F81" s="32">
        <v>1.53</v>
      </c>
      <c r="G81" s="40">
        <v>6742</v>
      </c>
      <c r="H81" s="31">
        <f t="shared" si="1"/>
        <v>367</v>
      </c>
    </row>
    <row r="82" spans="1:8" ht="14.25" customHeight="1" x14ac:dyDescent="0.35">
      <c r="A82" s="32" t="s">
        <v>168</v>
      </c>
      <c r="B82" s="32" t="s">
        <v>33</v>
      </c>
      <c r="C82" s="32">
        <v>703</v>
      </c>
      <c r="D82" s="32">
        <v>441</v>
      </c>
      <c r="E82" s="32">
        <v>357089</v>
      </c>
      <c r="F82" s="32">
        <v>6.5</v>
      </c>
      <c r="G82" s="40">
        <v>32478</v>
      </c>
      <c r="H82" s="31">
        <f t="shared" si="1"/>
        <v>262</v>
      </c>
    </row>
    <row r="83" spans="1:8" ht="14.25" customHeight="1" x14ac:dyDescent="0.35">
      <c r="A83" s="32" t="s">
        <v>168</v>
      </c>
      <c r="B83" s="32" t="s">
        <v>43</v>
      </c>
      <c r="C83" s="32">
        <v>508</v>
      </c>
      <c r="D83" s="32">
        <v>69</v>
      </c>
      <c r="E83" s="32">
        <v>23492</v>
      </c>
      <c r="F83" s="32">
        <v>3.16</v>
      </c>
      <c r="G83" s="40">
        <v>42824</v>
      </c>
      <c r="H83" s="31">
        <f t="shared" si="1"/>
        <v>439</v>
      </c>
    </row>
    <row r="84" spans="1:8" ht="14.25" customHeight="1" x14ac:dyDescent="0.35">
      <c r="A84" s="32" t="s">
        <v>168</v>
      </c>
      <c r="B84" s="32" t="s">
        <v>14</v>
      </c>
      <c r="C84" s="32">
        <v>697</v>
      </c>
      <c r="D84" s="32">
        <v>61</v>
      </c>
      <c r="E84" s="32">
        <v>258287</v>
      </c>
      <c r="F84" s="32">
        <v>8.25</v>
      </c>
      <c r="G84" s="40">
        <v>21208</v>
      </c>
      <c r="H84" s="31">
        <f t="shared" si="1"/>
        <v>636</v>
      </c>
    </row>
    <row r="85" spans="1:8" ht="14.25" customHeight="1" x14ac:dyDescent="0.35">
      <c r="A85" s="32" t="s">
        <v>168</v>
      </c>
      <c r="B85" s="32" t="s">
        <v>27</v>
      </c>
      <c r="C85" s="32">
        <v>1707</v>
      </c>
      <c r="D85" s="32">
        <v>223</v>
      </c>
      <c r="E85" s="32">
        <v>256910</v>
      </c>
      <c r="F85" s="32">
        <v>5.41</v>
      </c>
      <c r="G85" s="40">
        <v>44321</v>
      </c>
      <c r="H85" s="31">
        <f t="shared" si="1"/>
        <v>1484</v>
      </c>
    </row>
    <row r="86" spans="1:8" ht="14.25" customHeight="1" x14ac:dyDescent="0.35">
      <c r="A86" s="32" t="s">
        <v>201</v>
      </c>
      <c r="B86" s="32" t="s">
        <v>33</v>
      </c>
      <c r="C86" s="32">
        <v>642</v>
      </c>
      <c r="D86" s="32">
        <v>66</v>
      </c>
      <c r="E86" s="32">
        <v>346522</v>
      </c>
      <c r="F86" s="32">
        <v>5.85</v>
      </c>
      <c r="G86" s="40">
        <v>13116</v>
      </c>
      <c r="H86" s="31">
        <f t="shared" si="1"/>
        <v>576</v>
      </c>
    </row>
    <row r="87" spans="1:8" ht="14.25" customHeight="1" x14ac:dyDescent="0.35">
      <c r="A87" s="32" t="s">
        <v>201</v>
      </c>
      <c r="B87" s="32" t="s">
        <v>43</v>
      </c>
      <c r="C87" s="32">
        <v>859</v>
      </c>
      <c r="D87" s="32">
        <v>473</v>
      </c>
      <c r="E87" s="32">
        <v>209987</v>
      </c>
      <c r="F87" s="32">
        <v>4.46</v>
      </c>
      <c r="G87" s="40">
        <v>30214</v>
      </c>
      <c r="H87" s="31">
        <f t="shared" si="1"/>
        <v>386</v>
      </c>
    </row>
    <row r="88" spans="1:8" ht="14.25" customHeight="1" x14ac:dyDescent="0.35">
      <c r="A88" s="32" t="s">
        <v>201</v>
      </c>
      <c r="B88" s="32" t="s">
        <v>14</v>
      </c>
      <c r="C88" s="32">
        <v>191</v>
      </c>
      <c r="D88" s="32">
        <v>154</v>
      </c>
      <c r="E88" s="32">
        <v>240550</v>
      </c>
      <c r="F88" s="32">
        <v>5.22</v>
      </c>
      <c r="G88" s="40">
        <v>15827</v>
      </c>
      <c r="H88" s="31">
        <f t="shared" si="1"/>
        <v>37</v>
      </c>
    </row>
    <row r="89" spans="1:8" ht="14.25" customHeight="1" x14ac:dyDescent="0.35">
      <c r="A89" s="32" t="s">
        <v>201</v>
      </c>
      <c r="B89" s="32" t="s">
        <v>27</v>
      </c>
      <c r="C89" s="32">
        <v>1814</v>
      </c>
      <c r="D89" s="32">
        <v>157</v>
      </c>
      <c r="E89" s="32">
        <v>305827</v>
      </c>
      <c r="F89" s="32">
        <v>1.99</v>
      </c>
      <c r="G89" s="40">
        <v>46643</v>
      </c>
      <c r="H89" s="31">
        <f t="shared" si="1"/>
        <v>1657</v>
      </c>
    </row>
    <row r="90" spans="1:8" ht="14.25" customHeight="1" x14ac:dyDescent="0.35">
      <c r="A90" s="32" t="s">
        <v>282</v>
      </c>
      <c r="B90" s="32" t="s">
        <v>33</v>
      </c>
      <c r="C90" s="32">
        <v>1466</v>
      </c>
      <c r="D90" s="32">
        <v>69</v>
      </c>
      <c r="E90" s="32">
        <v>54935</v>
      </c>
      <c r="F90" s="32">
        <v>6.85</v>
      </c>
      <c r="G90" s="40">
        <v>36484</v>
      </c>
      <c r="H90" s="31">
        <f t="shared" si="1"/>
        <v>1397</v>
      </c>
    </row>
    <row r="91" spans="1:8" ht="14.25" customHeight="1" x14ac:dyDescent="0.35">
      <c r="A91" s="32" t="s">
        <v>282</v>
      </c>
      <c r="B91" s="32" t="s">
        <v>43</v>
      </c>
      <c r="C91" s="32">
        <v>947</v>
      </c>
      <c r="D91" s="32">
        <v>407</v>
      </c>
      <c r="E91" s="32">
        <v>319186</v>
      </c>
      <c r="F91" s="32">
        <v>3.32</v>
      </c>
      <c r="G91" s="40">
        <v>4996</v>
      </c>
      <c r="H91" s="31">
        <f t="shared" si="1"/>
        <v>540</v>
      </c>
    </row>
    <row r="92" spans="1:8" ht="14.25" customHeight="1" x14ac:dyDescent="0.35">
      <c r="A92" s="32" t="s">
        <v>282</v>
      </c>
      <c r="B92" s="32" t="s">
        <v>14</v>
      </c>
      <c r="C92" s="32">
        <v>1821</v>
      </c>
      <c r="D92" s="32">
        <v>218</v>
      </c>
      <c r="E92" s="32">
        <v>439080</v>
      </c>
      <c r="F92" s="32">
        <v>5.68</v>
      </c>
      <c r="G92" s="40">
        <v>36095</v>
      </c>
      <c r="H92" s="31">
        <f t="shared" si="1"/>
        <v>1603</v>
      </c>
    </row>
    <row r="93" spans="1:8" ht="14.25" customHeight="1" x14ac:dyDescent="0.35">
      <c r="A93" s="32" t="s">
        <v>282</v>
      </c>
      <c r="B93" s="32" t="s">
        <v>27</v>
      </c>
      <c r="C93" s="32">
        <v>1507</v>
      </c>
      <c r="D93" s="32">
        <v>463</v>
      </c>
      <c r="E93" s="32">
        <v>258944</v>
      </c>
      <c r="F93" s="32">
        <v>6.08</v>
      </c>
      <c r="G93" s="40">
        <v>16443</v>
      </c>
      <c r="H93" s="31">
        <f t="shared" si="1"/>
        <v>1044</v>
      </c>
    </row>
    <row r="94" spans="1:8" ht="14.25" customHeight="1" x14ac:dyDescent="0.35">
      <c r="A94" s="32" t="s">
        <v>580</v>
      </c>
      <c r="B94" s="32" t="s">
        <v>33</v>
      </c>
      <c r="C94" s="32">
        <v>1075</v>
      </c>
      <c r="D94" s="32">
        <v>173</v>
      </c>
      <c r="E94" s="32">
        <v>51395</v>
      </c>
      <c r="F94" s="32">
        <v>4.66</v>
      </c>
      <c r="G94" s="40">
        <v>47812</v>
      </c>
      <c r="H94" s="31">
        <f t="shared" si="1"/>
        <v>902</v>
      </c>
    </row>
    <row r="95" spans="1:8" ht="14.25" customHeight="1" x14ac:dyDescent="0.35">
      <c r="A95" s="32" t="s">
        <v>580</v>
      </c>
      <c r="B95" s="32" t="s">
        <v>43</v>
      </c>
      <c r="C95" s="32">
        <v>171</v>
      </c>
      <c r="D95" s="32">
        <v>277</v>
      </c>
      <c r="E95" s="32">
        <v>309483</v>
      </c>
      <c r="F95" s="32">
        <v>8.6999999999999993</v>
      </c>
      <c r="G95" s="40">
        <v>38452</v>
      </c>
      <c r="H95" s="31">
        <f t="shared" si="1"/>
        <v>-106</v>
      </c>
    </row>
    <row r="96" spans="1:8" ht="14.25" customHeight="1" x14ac:dyDescent="0.35">
      <c r="A96" s="32" t="s">
        <v>580</v>
      </c>
      <c r="B96" s="32" t="s">
        <v>14</v>
      </c>
      <c r="C96" s="32">
        <v>1487</v>
      </c>
      <c r="D96" s="32">
        <v>337</v>
      </c>
      <c r="E96" s="32">
        <v>87305</v>
      </c>
      <c r="F96" s="32">
        <v>2.46</v>
      </c>
      <c r="G96" s="40">
        <v>30428</v>
      </c>
      <c r="H96" s="31">
        <f t="shared" si="1"/>
        <v>1150</v>
      </c>
    </row>
    <row r="97" spans="1:8" ht="14.25" customHeight="1" x14ac:dyDescent="0.35">
      <c r="A97" s="32" t="s">
        <v>580</v>
      </c>
      <c r="B97" s="32" t="s">
        <v>27</v>
      </c>
      <c r="C97" s="32">
        <v>454</v>
      </c>
      <c r="D97" s="32">
        <v>105</v>
      </c>
      <c r="E97" s="32">
        <v>121091</v>
      </c>
      <c r="F97" s="32">
        <v>7.97</v>
      </c>
      <c r="G97" s="40">
        <v>9269</v>
      </c>
      <c r="H97" s="31">
        <f t="shared" si="1"/>
        <v>349</v>
      </c>
    </row>
    <row r="98" spans="1:8" ht="14.25" customHeight="1" x14ac:dyDescent="0.35">
      <c r="A98" s="32" t="s">
        <v>67</v>
      </c>
      <c r="B98" s="32" t="s">
        <v>33</v>
      </c>
      <c r="C98" s="32">
        <v>187</v>
      </c>
      <c r="D98" s="32">
        <v>236</v>
      </c>
      <c r="E98" s="32">
        <v>51087</v>
      </c>
      <c r="F98" s="32">
        <v>9.41</v>
      </c>
      <c r="G98" s="40">
        <v>29533</v>
      </c>
      <c r="H98" s="31">
        <f t="shared" si="1"/>
        <v>-49</v>
      </c>
    </row>
    <row r="99" spans="1:8" ht="14.25" customHeight="1" x14ac:dyDescent="0.35">
      <c r="A99" s="32" t="s">
        <v>67</v>
      </c>
      <c r="B99" s="32" t="s">
        <v>43</v>
      </c>
      <c r="C99" s="32">
        <v>513</v>
      </c>
      <c r="D99" s="32">
        <v>441</v>
      </c>
      <c r="E99" s="32">
        <v>338847</v>
      </c>
      <c r="F99" s="32">
        <v>2.68</v>
      </c>
      <c r="G99" s="40">
        <v>39997</v>
      </c>
      <c r="H99" s="31">
        <f t="shared" si="1"/>
        <v>72</v>
      </c>
    </row>
    <row r="100" spans="1:8" ht="14.25" customHeight="1" x14ac:dyDescent="0.35">
      <c r="A100" s="32" t="s">
        <v>67</v>
      </c>
      <c r="B100" s="32" t="s">
        <v>14</v>
      </c>
      <c r="C100" s="32">
        <v>628</v>
      </c>
      <c r="D100" s="32">
        <v>183</v>
      </c>
      <c r="E100" s="32">
        <v>487523</v>
      </c>
      <c r="F100" s="32">
        <v>7.32</v>
      </c>
      <c r="G100" s="40">
        <v>5391</v>
      </c>
      <c r="H100" s="31">
        <f t="shared" si="1"/>
        <v>445</v>
      </c>
    </row>
    <row r="101" spans="1:8" ht="14.25" customHeight="1" x14ac:dyDescent="0.35">
      <c r="A101" s="32" t="s">
        <v>67</v>
      </c>
      <c r="B101" s="32" t="s">
        <v>27</v>
      </c>
      <c r="C101" s="32">
        <v>278</v>
      </c>
      <c r="D101" s="32">
        <v>218</v>
      </c>
      <c r="E101" s="32">
        <v>301695</v>
      </c>
      <c r="F101" s="32">
        <v>4.68</v>
      </c>
      <c r="G101" s="40">
        <v>22373</v>
      </c>
      <c r="H101" s="31">
        <f t="shared" si="1"/>
        <v>60</v>
      </c>
    </row>
    <row r="102" spans="1:8" ht="14.25" customHeight="1" x14ac:dyDescent="0.35">
      <c r="A102" s="32" t="s">
        <v>129</v>
      </c>
      <c r="B102" s="32" t="s">
        <v>33</v>
      </c>
      <c r="C102" s="32">
        <v>1854</v>
      </c>
      <c r="D102" s="32">
        <v>161</v>
      </c>
      <c r="E102" s="32">
        <v>282466</v>
      </c>
      <c r="F102" s="32">
        <v>5.17</v>
      </c>
      <c r="G102" s="40">
        <v>1810</v>
      </c>
      <c r="H102" s="31">
        <f t="shared" si="1"/>
        <v>1693</v>
      </c>
    </row>
    <row r="103" spans="1:8" ht="14.25" customHeight="1" x14ac:dyDescent="0.35">
      <c r="A103" s="32" t="s">
        <v>129</v>
      </c>
      <c r="B103" s="32" t="s">
        <v>43</v>
      </c>
      <c r="C103" s="32">
        <v>1710</v>
      </c>
      <c r="D103" s="32">
        <v>378</v>
      </c>
      <c r="E103" s="32">
        <v>336661</v>
      </c>
      <c r="F103" s="32">
        <v>6.2</v>
      </c>
      <c r="G103" s="40">
        <v>28498</v>
      </c>
      <c r="H103" s="31">
        <f t="shared" si="1"/>
        <v>1332</v>
      </c>
    </row>
    <row r="104" spans="1:8" ht="14.25" customHeight="1" x14ac:dyDescent="0.35">
      <c r="A104" s="32" t="s">
        <v>129</v>
      </c>
      <c r="B104" s="32" t="s">
        <v>14</v>
      </c>
      <c r="C104" s="32">
        <v>330</v>
      </c>
      <c r="D104" s="32">
        <v>232</v>
      </c>
      <c r="E104" s="32">
        <v>88455</v>
      </c>
      <c r="F104" s="32">
        <v>2.69</v>
      </c>
      <c r="G104" s="40">
        <v>39530</v>
      </c>
      <c r="H104" s="31">
        <f t="shared" si="1"/>
        <v>98</v>
      </c>
    </row>
    <row r="105" spans="1:8" ht="14.25" customHeight="1" x14ac:dyDescent="0.35">
      <c r="A105" s="32" t="s">
        <v>129</v>
      </c>
      <c r="B105" s="32" t="s">
        <v>27</v>
      </c>
      <c r="C105" s="32">
        <v>1293</v>
      </c>
      <c r="D105" s="32">
        <v>408</v>
      </c>
      <c r="E105" s="32">
        <v>62535</v>
      </c>
      <c r="F105" s="32">
        <v>8.9</v>
      </c>
      <c r="G105" s="40">
        <v>37876</v>
      </c>
      <c r="H105" s="31">
        <f t="shared" si="1"/>
        <v>885</v>
      </c>
    </row>
    <row r="106" spans="1:8" ht="14.25" customHeight="1" x14ac:dyDescent="0.35">
      <c r="A106" s="32" t="s">
        <v>581</v>
      </c>
      <c r="B106" s="32" t="s">
        <v>33</v>
      </c>
      <c r="C106" s="32">
        <v>1696</v>
      </c>
      <c r="D106" s="32">
        <v>71</v>
      </c>
      <c r="E106" s="32">
        <v>421957</v>
      </c>
      <c r="F106" s="32">
        <v>3.79</v>
      </c>
      <c r="G106" s="40">
        <v>36103</v>
      </c>
      <c r="H106" s="31">
        <f t="shared" si="1"/>
        <v>1625</v>
      </c>
    </row>
    <row r="107" spans="1:8" ht="14.25" customHeight="1" x14ac:dyDescent="0.35">
      <c r="A107" s="32" t="s">
        <v>581</v>
      </c>
      <c r="B107" s="32" t="s">
        <v>43</v>
      </c>
      <c r="C107" s="32">
        <v>1902</v>
      </c>
      <c r="D107" s="32">
        <v>196</v>
      </c>
      <c r="E107" s="32">
        <v>470269</v>
      </c>
      <c r="F107" s="32">
        <v>4.79</v>
      </c>
      <c r="G107" s="40">
        <v>26103</v>
      </c>
      <c r="H107" s="31">
        <f t="shared" si="1"/>
        <v>1706</v>
      </c>
    </row>
    <row r="108" spans="1:8" ht="14.25" customHeight="1" x14ac:dyDescent="0.35">
      <c r="A108" s="32" t="s">
        <v>581</v>
      </c>
      <c r="B108" s="32" t="s">
        <v>14</v>
      </c>
      <c r="C108" s="32">
        <v>1441</v>
      </c>
      <c r="D108" s="32">
        <v>268</v>
      </c>
      <c r="E108" s="32">
        <v>309904</v>
      </c>
      <c r="F108" s="32">
        <v>6.37</v>
      </c>
      <c r="G108" s="40">
        <v>3455</v>
      </c>
      <c r="H108" s="31">
        <f t="shared" si="1"/>
        <v>1173</v>
      </c>
    </row>
    <row r="109" spans="1:8" ht="14.25" customHeight="1" x14ac:dyDescent="0.35">
      <c r="A109" s="32" t="s">
        <v>581</v>
      </c>
      <c r="B109" s="32" t="s">
        <v>27</v>
      </c>
      <c r="C109" s="32">
        <v>452</v>
      </c>
      <c r="D109" s="32">
        <v>161</v>
      </c>
      <c r="E109" s="32">
        <v>221274</v>
      </c>
      <c r="F109" s="32">
        <v>2.65</v>
      </c>
      <c r="G109" s="40">
        <v>40888</v>
      </c>
      <c r="H109" s="31">
        <f t="shared" si="1"/>
        <v>291</v>
      </c>
    </row>
    <row r="110" spans="1:8" ht="14.25" customHeight="1" x14ac:dyDescent="0.35">
      <c r="A110" s="32" t="s">
        <v>221</v>
      </c>
      <c r="B110" s="32" t="s">
        <v>33</v>
      </c>
      <c r="C110" s="32">
        <v>1494</v>
      </c>
      <c r="D110" s="32">
        <v>375</v>
      </c>
      <c r="E110" s="32">
        <v>220616</v>
      </c>
      <c r="F110" s="32">
        <v>1.81</v>
      </c>
      <c r="G110" s="40">
        <v>22724</v>
      </c>
      <c r="H110" s="31">
        <f t="shared" si="1"/>
        <v>1119</v>
      </c>
    </row>
    <row r="111" spans="1:8" ht="14.25" customHeight="1" x14ac:dyDescent="0.35">
      <c r="A111" s="32" t="s">
        <v>221</v>
      </c>
      <c r="B111" s="32" t="s">
        <v>43</v>
      </c>
      <c r="C111" s="32">
        <v>1514</v>
      </c>
      <c r="D111" s="32">
        <v>141</v>
      </c>
      <c r="E111" s="32">
        <v>35842</v>
      </c>
      <c r="F111" s="32">
        <v>7.47</v>
      </c>
      <c r="G111" s="40">
        <v>18601</v>
      </c>
      <c r="H111" s="31">
        <f t="shared" si="1"/>
        <v>1373</v>
      </c>
    </row>
    <row r="112" spans="1:8" ht="14.25" customHeight="1" x14ac:dyDescent="0.35">
      <c r="A112" s="32" t="s">
        <v>221</v>
      </c>
      <c r="B112" s="32" t="s">
        <v>14</v>
      </c>
      <c r="C112" s="32">
        <v>1937</v>
      </c>
      <c r="D112" s="32">
        <v>210</v>
      </c>
      <c r="E112" s="32">
        <v>20607</v>
      </c>
      <c r="F112" s="32">
        <v>4.2</v>
      </c>
      <c r="G112" s="40">
        <v>20861</v>
      </c>
      <c r="H112" s="31">
        <f t="shared" si="1"/>
        <v>1727</v>
      </c>
    </row>
    <row r="113" spans="1:8" ht="14.25" customHeight="1" x14ac:dyDescent="0.35">
      <c r="A113" s="32" t="s">
        <v>221</v>
      </c>
      <c r="B113" s="32" t="s">
        <v>27</v>
      </c>
      <c r="C113" s="32">
        <v>736</v>
      </c>
      <c r="D113" s="32">
        <v>163</v>
      </c>
      <c r="E113" s="32">
        <v>451894</v>
      </c>
      <c r="F113" s="32">
        <v>5.43</v>
      </c>
      <c r="G113" s="40">
        <v>46625</v>
      </c>
      <c r="H113" s="31">
        <f t="shared" si="1"/>
        <v>573</v>
      </c>
    </row>
    <row r="114" spans="1:8" ht="14.25" customHeight="1" x14ac:dyDescent="0.35">
      <c r="A114" s="32" t="s">
        <v>112</v>
      </c>
      <c r="B114" s="32" t="s">
        <v>33</v>
      </c>
      <c r="C114" s="32">
        <v>1502</v>
      </c>
      <c r="D114" s="32">
        <v>70</v>
      </c>
      <c r="E114" s="32">
        <v>465553</v>
      </c>
      <c r="F114" s="32">
        <v>3.32</v>
      </c>
      <c r="G114" s="40">
        <v>20692</v>
      </c>
      <c r="H114" s="31">
        <f t="shared" si="1"/>
        <v>1432</v>
      </c>
    </row>
    <row r="115" spans="1:8" ht="14.25" customHeight="1" x14ac:dyDescent="0.35">
      <c r="A115" s="32" t="s">
        <v>112</v>
      </c>
      <c r="B115" s="32" t="s">
        <v>43</v>
      </c>
      <c r="C115" s="32">
        <v>1623</v>
      </c>
      <c r="D115" s="32">
        <v>246</v>
      </c>
      <c r="E115" s="32">
        <v>415815</v>
      </c>
      <c r="F115" s="32">
        <v>8.11</v>
      </c>
      <c r="G115" s="40">
        <v>18656</v>
      </c>
      <c r="H115" s="31">
        <f t="shared" si="1"/>
        <v>1377</v>
      </c>
    </row>
    <row r="116" spans="1:8" ht="14.25" customHeight="1" x14ac:dyDescent="0.35">
      <c r="A116" s="32" t="s">
        <v>112</v>
      </c>
      <c r="B116" s="32" t="s">
        <v>14</v>
      </c>
      <c r="C116" s="32">
        <v>1592</v>
      </c>
      <c r="D116" s="32">
        <v>233</v>
      </c>
      <c r="E116" s="32">
        <v>327183</v>
      </c>
      <c r="F116" s="32">
        <v>6.66</v>
      </c>
      <c r="G116" s="40">
        <v>13316</v>
      </c>
      <c r="H116" s="31">
        <f t="shared" si="1"/>
        <v>1359</v>
      </c>
    </row>
    <row r="117" spans="1:8" ht="14.25" customHeight="1" x14ac:dyDescent="0.35">
      <c r="A117" s="32" t="s">
        <v>112</v>
      </c>
      <c r="B117" s="32" t="s">
        <v>27</v>
      </c>
      <c r="C117" s="32">
        <v>1004</v>
      </c>
      <c r="D117" s="32">
        <v>128</v>
      </c>
      <c r="E117" s="32">
        <v>488901</v>
      </c>
      <c r="F117" s="32">
        <v>8.09</v>
      </c>
      <c r="G117" s="40">
        <v>49558</v>
      </c>
      <c r="H117" s="31">
        <f t="shared" si="1"/>
        <v>876</v>
      </c>
    </row>
    <row r="118" spans="1:8" ht="14.25" customHeight="1" x14ac:dyDescent="0.35">
      <c r="A118" s="32" t="s">
        <v>15</v>
      </c>
      <c r="B118" s="32" t="s">
        <v>33</v>
      </c>
      <c r="C118" s="32">
        <v>1092</v>
      </c>
      <c r="D118" s="32">
        <v>408</v>
      </c>
      <c r="E118" s="32">
        <v>280795</v>
      </c>
      <c r="F118" s="32">
        <v>8.44</v>
      </c>
      <c r="G118" s="40">
        <v>4683</v>
      </c>
      <c r="H118" s="31">
        <f t="shared" si="1"/>
        <v>684</v>
      </c>
    </row>
    <row r="119" spans="1:8" ht="14.25" customHeight="1" x14ac:dyDescent="0.35">
      <c r="A119" s="32" t="s">
        <v>15</v>
      </c>
      <c r="B119" s="32" t="s">
        <v>43</v>
      </c>
      <c r="C119" s="32">
        <v>1155</v>
      </c>
      <c r="D119" s="32">
        <v>425</v>
      </c>
      <c r="E119" s="32">
        <v>93347</v>
      </c>
      <c r="F119" s="32">
        <v>2.02</v>
      </c>
      <c r="G119" s="40">
        <v>47502</v>
      </c>
      <c r="H119" s="31">
        <f t="shared" si="1"/>
        <v>730</v>
      </c>
    </row>
    <row r="120" spans="1:8" ht="14.25" customHeight="1" x14ac:dyDescent="0.35">
      <c r="A120" s="32" t="s">
        <v>15</v>
      </c>
      <c r="B120" s="32" t="s">
        <v>14</v>
      </c>
      <c r="C120" s="32">
        <v>1137</v>
      </c>
      <c r="D120" s="32">
        <v>226</v>
      </c>
      <c r="E120" s="32">
        <v>81119</v>
      </c>
      <c r="F120" s="32">
        <v>7.74</v>
      </c>
      <c r="G120" s="40">
        <v>35359</v>
      </c>
      <c r="H120" s="31">
        <f t="shared" si="1"/>
        <v>911</v>
      </c>
    </row>
    <row r="121" spans="1:8" ht="14.25" customHeight="1" x14ac:dyDescent="0.35">
      <c r="A121" s="32" t="s">
        <v>15</v>
      </c>
      <c r="B121" s="32" t="s">
        <v>27</v>
      </c>
      <c r="C121" s="32">
        <v>1900</v>
      </c>
      <c r="D121" s="32">
        <v>311</v>
      </c>
      <c r="E121" s="32">
        <v>25177</v>
      </c>
      <c r="F121" s="32">
        <v>2.89</v>
      </c>
      <c r="G121" s="40">
        <v>14154</v>
      </c>
      <c r="H121" s="31">
        <f t="shared" si="1"/>
        <v>1589</v>
      </c>
    </row>
    <row r="122" spans="1:8" ht="14.25" customHeight="1" x14ac:dyDescent="0.35">
      <c r="A122" s="32" t="s">
        <v>582</v>
      </c>
      <c r="B122" s="32" t="s">
        <v>33</v>
      </c>
      <c r="C122" s="32">
        <v>1814</v>
      </c>
      <c r="D122" s="32">
        <v>49</v>
      </c>
      <c r="E122" s="32">
        <v>140804</v>
      </c>
      <c r="F122" s="32">
        <v>1.76</v>
      </c>
      <c r="G122" s="40">
        <v>4313</v>
      </c>
      <c r="H122" s="31">
        <f t="shared" si="1"/>
        <v>1765</v>
      </c>
    </row>
    <row r="123" spans="1:8" ht="14.25" customHeight="1" x14ac:dyDescent="0.35">
      <c r="A123" s="32" t="s">
        <v>582</v>
      </c>
      <c r="B123" s="32" t="s">
        <v>43</v>
      </c>
      <c r="C123" s="32">
        <v>1980</v>
      </c>
      <c r="D123" s="32">
        <v>204</v>
      </c>
      <c r="E123" s="32">
        <v>379431</v>
      </c>
      <c r="F123" s="32">
        <v>3.09</v>
      </c>
      <c r="G123" s="40">
        <v>25140</v>
      </c>
      <c r="H123" s="31">
        <f t="shared" si="1"/>
        <v>1776</v>
      </c>
    </row>
    <row r="124" spans="1:8" ht="14.25" customHeight="1" x14ac:dyDescent="0.35">
      <c r="A124" s="32" t="s">
        <v>582</v>
      </c>
      <c r="B124" s="32" t="s">
        <v>14</v>
      </c>
      <c r="C124" s="32">
        <v>1786</v>
      </c>
      <c r="D124" s="32">
        <v>257</v>
      </c>
      <c r="E124" s="32">
        <v>274831</v>
      </c>
      <c r="F124" s="32">
        <v>4.68</v>
      </c>
      <c r="G124" s="40">
        <v>9118</v>
      </c>
      <c r="H124" s="31">
        <f t="shared" si="1"/>
        <v>1529</v>
      </c>
    </row>
    <row r="125" spans="1:8" ht="14.25" customHeight="1" x14ac:dyDescent="0.35">
      <c r="A125" s="32" t="s">
        <v>582</v>
      </c>
      <c r="B125" s="32" t="s">
        <v>27</v>
      </c>
      <c r="C125" s="32">
        <v>1495</v>
      </c>
      <c r="D125" s="32">
        <v>35</v>
      </c>
      <c r="E125" s="32">
        <v>136845</v>
      </c>
      <c r="F125" s="32">
        <v>4.4800000000000004</v>
      </c>
      <c r="G125" s="40">
        <v>39931</v>
      </c>
      <c r="H125" s="31">
        <f t="shared" si="1"/>
        <v>1460</v>
      </c>
    </row>
    <row r="126" spans="1:8" ht="14.25" customHeight="1" x14ac:dyDescent="0.35">
      <c r="A126" s="32" t="s">
        <v>125</v>
      </c>
      <c r="B126" s="32" t="s">
        <v>33</v>
      </c>
      <c r="C126" s="32">
        <v>1013</v>
      </c>
      <c r="D126" s="32">
        <v>110</v>
      </c>
      <c r="E126" s="32">
        <v>466382</v>
      </c>
      <c r="F126" s="32">
        <v>5.3</v>
      </c>
      <c r="G126" s="40">
        <v>37132</v>
      </c>
      <c r="H126" s="31">
        <f t="shared" si="1"/>
        <v>903</v>
      </c>
    </row>
    <row r="127" spans="1:8" ht="14.25" customHeight="1" x14ac:dyDescent="0.35">
      <c r="A127" s="32" t="s">
        <v>125</v>
      </c>
      <c r="B127" s="32" t="s">
        <v>43</v>
      </c>
      <c r="C127" s="32">
        <v>816</v>
      </c>
      <c r="D127" s="32">
        <v>196</v>
      </c>
      <c r="E127" s="32">
        <v>95728</v>
      </c>
      <c r="F127" s="32">
        <v>8.1999999999999993</v>
      </c>
      <c r="G127" s="40">
        <v>17951</v>
      </c>
      <c r="H127" s="31">
        <f t="shared" si="1"/>
        <v>620</v>
      </c>
    </row>
    <row r="128" spans="1:8" ht="14.25" customHeight="1" x14ac:dyDescent="0.35">
      <c r="A128" s="32" t="s">
        <v>125</v>
      </c>
      <c r="B128" s="32" t="s">
        <v>14</v>
      </c>
      <c r="C128" s="32">
        <v>1633</v>
      </c>
      <c r="D128" s="32">
        <v>445</v>
      </c>
      <c r="E128" s="32">
        <v>371156</v>
      </c>
      <c r="F128" s="32">
        <v>2.2200000000000002</v>
      </c>
      <c r="G128" s="40">
        <v>2798</v>
      </c>
      <c r="H128" s="31">
        <f t="shared" si="1"/>
        <v>1188</v>
      </c>
    </row>
    <row r="129" spans="1:8" ht="14.25" customHeight="1" x14ac:dyDescent="0.35">
      <c r="A129" s="32" t="s">
        <v>125</v>
      </c>
      <c r="B129" s="32" t="s">
        <v>27</v>
      </c>
      <c r="C129" s="32">
        <v>891</v>
      </c>
      <c r="D129" s="32">
        <v>45</v>
      </c>
      <c r="E129" s="32">
        <v>95410</v>
      </c>
      <c r="F129" s="32">
        <v>8.33</v>
      </c>
      <c r="G129" s="40">
        <v>15045</v>
      </c>
      <c r="H129" s="31">
        <f t="shared" si="1"/>
        <v>846</v>
      </c>
    </row>
    <row r="130" spans="1:8" ht="14.25" customHeight="1" x14ac:dyDescent="0.35">
      <c r="A130" s="32" t="s">
        <v>583</v>
      </c>
      <c r="B130" s="32" t="s">
        <v>33</v>
      </c>
      <c r="C130" s="32">
        <v>1855</v>
      </c>
      <c r="D130" s="32">
        <v>133</v>
      </c>
      <c r="E130" s="32">
        <v>349413</v>
      </c>
      <c r="F130" s="32">
        <v>3.3</v>
      </c>
      <c r="G130" s="40">
        <v>14548</v>
      </c>
      <c r="H130" s="31">
        <f t="shared" si="1"/>
        <v>1722</v>
      </c>
    </row>
    <row r="131" spans="1:8" ht="14.25" customHeight="1" x14ac:dyDescent="0.35">
      <c r="A131" s="32" t="s">
        <v>583</v>
      </c>
      <c r="B131" s="32" t="s">
        <v>43</v>
      </c>
      <c r="C131" s="32">
        <v>651</v>
      </c>
      <c r="D131" s="32">
        <v>353</v>
      </c>
      <c r="E131" s="32">
        <v>224699</v>
      </c>
      <c r="F131" s="32">
        <v>5.61</v>
      </c>
      <c r="G131" s="40">
        <v>45708</v>
      </c>
      <c r="H131" s="31">
        <f t="shared" ref="H131:H194" si="2">C131-D131</f>
        <v>298</v>
      </c>
    </row>
    <row r="132" spans="1:8" ht="14.25" customHeight="1" x14ac:dyDescent="0.35">
      <c r="A132" s="32" t="s">
        <v>583</v>
      </c>
      <c r="B132" s="32" t="s">
        <v>14</v>
      </c>
      <c r="C132" s="32">
        <v>118</v>
      </c>
      <c r="D132" s="32">
        <v>262</v>
      </c>
      <c r="E132" s="32">
        <v>487896</v>
      </c>
      <c r="F132" s="32">
        <v>2.56</v>
      </c>
      <c r="G132" s="40">
        <v>12350</v>
      </c>
      <c r="H132" s="31">
        <f t="shared" si="2"/>
        <v>-144</v>
      </c>
    </row>
    <row r="133" spans="1:8" ht="14.25" customHeight="1" x14ac:dyDescent="0.35">
      <c r="A133" s="32" t="s">
        <v>583</v>
      </c>
      <c r="B133" s="32" t="s">
        <v>27</v>
      </c>
      <c r="C133" s="32">
        <v>1331</v>
      </c>
      <c r="D133" s="32">
        <v>430</v>
      </c>
      <c r="E133" s="32">
        <v>14437</v>
      </c>
      <c r="F133" s="32">
        <v>3.29</v>
      </c>
      <c r="G133" s="40">
        <v>40868</v>
      </c>
      <c r="H133" s="31">
        <f t="shared" si="2"/>
        <v>901</v>
      </c>
    </row>
    <row r="134" spans="1:8" ht="14.25" customHeight="1" x14ac:dyDescent="0.35">
      <c r="A134" s="32" t="s">
        <v>584</v>
      </c>
      <c r="B134" s="32" t="s">
        <v>33</v>
      </c>
      <c r="C134" s="32">
        <v>1748</v>
      </c>
      <c r="D134" s="32">
        <v>176</v>
      </c>
      <c r="E134" s="32">
        <v>383681</v>
      </c>
      <c r="F134" s="32">
        <v>9.24</v>
      </c>
      <c r="G134" s="40">
        <v>43122</v>
      </c>
      <c r="H134" s="31">
        <f t="shared" si="2"/>
        <v>1572</v>
      </c>
    </row>
    <row r="135" spans="1:8" ht="14.25" customHeight="1" x14ac:dyDescent="0.35">
      <c r="A135" s="32" t="s">
        <v>584</v>
      </c>
      <c r="B135" s="32" t="s">
        <v>43</v>
      </c>
      <c r="C135" s="32">
        <v>663</v>
      </c>
      <c r="D135" s="32">
        <v>236</v>
      </c>
      <c r="E135" s="32">
        <v>479490</v>
      </c>
      <c r="F135" s="32">
        <v>4.51</v>
      </c>
      <c r="G135" s="40">
        <v>23853</v>
      </c>
      <c r="H135" s="31">
        <f t="shared" si="2"/>
        <v>427</v>
      </c>
    </row>
    <row r="136" spans="1:8" ht="14.25" customHeight="1" x14ac:dyDescent="0.35">
      <c r="A136" s="32" t="s">
        <v>584</v>
      </c>
      <c r="B136" s="32" t="s">
        <v>14</v>
      </c>
      <c r="C136" s="32">
        <v>1040</v>
      </c>
      <c r="D136" s="32">
        <v>149</v>
      </c>
      <c r="E136" s="32">
        <v>124404</v>
      </c>
      <c r="F136" s="32">
        <v>5.23</v>
      </c>
      <c r="G136" s="40">
        <v>45380</v>
      </c>
      <c r="H136" s="31">
        <f t="shared" si="2"/>
        <v>891</v>
      </c>
    </row>
    <row r="137" spans="1:8" ht="14.25" customHeight="1" x14ac:dyDescent="0.35">
      <c r="A137" s="32" t="s">
        <v>584</v>
      </c>
      <c r="B137" s="32" t="s">
        <v>27</v>
      </c>
      <c r="C137" s="32">
        <v>1166</v>
      </c>
      <c r="D137" s="32">
        <v>442</v>
      </c>
      <c r="E137" s="32">
        <v>336949</v>
      </c>
      <c r="F137" s="32">
        <v>4.68</v>
      </c>
      <c r="G137" s="40">
        <v>7705</v>
      </c>
      <c r="H137" s="31">
        <f t="shared" si="2"/>
        <v>724</v>
      </c>
    </row>
    <row r="138" spans="1:8" ht="14.25" customHeight="1" x14ac:dyDescent="0.35">
      <c r="A138" s="32" t="s">
        <v>224</v>
      </c>
      <c r="B138" s="32" t="s">
        <v>33</v>
      </c>
      <c r="C138" s="32">
        <v>115</v>
      </c>
      <c r="D138" s="32">
        <v>281</v>
      </c>
      <c r="E138" s="32">
        <v>357265</v>
      </c>
      <c r="F138" s="32">
        <v>9.23</v>
      </c>
      <c r="G138" s="40">
        <v>25525</v>
      </c>
      <c r="H138" s="31">
        <f t="shared" si="2"/>
        <v>-166</v>
      </c>
    </row>
    <row r="139" spans="1:8" ht="14.25" customHeight="1" x14ac:dyDescent="0.35">
      <c r="A139" s="32" t="s">
        <v>224</v>
      </c>
      <c r="B139" s="32" t="s">
        <v>43</v>
      </c>
      <c r="C139" s="32">
        <v>1249</v>
      </c>
      <c r="D139" s="32">
        <v>351</v>
      </c>
      <c r="E139" s="32">
        <v>321307</v>
      </c>
      <c r="F139" s="32">
        <v>6.37</v>
      </c>
      <c r="G139" s="40">
        <v>20560</v>
      </c>
      <c r="H139" s="31">
        <f t="shared" si="2"/>
        <v>898</v>
      </c>
    </row>
    <row r="140" spans="1:8" ht="14.25" customHeight="1" x14ac:dyDescent="0.35">
      <c r="A140" s="32" t="s">
        <v>224</v>
      </c>
      <c r="B140" s="32" t="s">
        <v>14</v>
      </c>
      <c r="C140" s="32">
        <v>1501</v>
      </c>
      <c r="D140" s="32">
        <v>75</v>
      </c>
      <c r="E140" s="32">
        <v>262569</v>
      </c>
      <c r="F140" s="32">
        <v>2.0099999999999998</v>
      </c>
      <c r="G140" s="40">
        <v>19119</v>
      </c>
      <c r="H140" s="31">
        <f t="shared" si="2"/>
        <v>1426</v>
      </c>
    </row>
    <row r="141" spans="1:8" ht="14.25" customHeight="1" x14ac:dyDescent="0.35">
      <c r="A141" s="32" t="s">
        <v>224</v>
      </c>
      <c r="B141" s="32" t="s">
        <v>27</v>
      </c>
      <c r="C141" s="32">
        <v>1411</v>
      </c>
      <c r="D141" s="32">
        <v>186</v>
      </c>
      <c r="E141" s="32">
        <v>461669</v>
      </c>
      <c r="F141" s="32">
        <v>3.72</v>
      </c>
      <c r="G141" s="40">
        <v>43999</v>
      </c>
      <c r="H141" s="31">
        <f t="shared" si="2"/>
        <v>1225</v>
      </c>
    </row>
    <row r="142" spans="1:8" ht="14.25" customHeight="1" x14ac:dyDescent="0.35">
      <c r="A142" s="32" t="s">
        <v>585</v>
      </c>
      <c r="B142" s="32" t="s">
        <v>33</v>
      </c>
      <c r="C142" s="32">
        <v>1556</v>
      </c>
      <c r="D142" s="32">
        <v>476</v>
      </c>
      <c r="E142" s="32">
        <v>351556</v>
      </c>
      <c r="F142" s="32">
        <v>3.89</v>
      </c>
      <c r="G142" s="40">
        <v>10825</v>
      </c>
      <c r="H142" s="31">
        <f t="shared" si="2"/>
        <v>1080</v>
      </c>
    </row>
    <row r="143" spans="1:8" ht="14.25" customHeight="1" x14ac:dyDescent="0.35">
      <c r="A143" s="32" t="s">
        <v>585</v>
      </c>
      <c r="B143" s="32" t="s">
        <v>43</v>
      </c>
      <c r="C143" s="32">
        <v>1159</v>
      </c>
      <c r="D143" s="32">
        <v>411</v>
      </c>
      <c r="E143" s="32">
        <v>135987</v>
      </c>
      <c r="F143" s="32">
        <v>8.6999999999999993</v>
      </c>
      <c r="G143" s="40">
        <v>40323</v>
      </c>
      <c r="H143" s="31">
        <f t="shared" si="2"/>
        <v>748</v>
      </c>
    </row>
    <row r="144" spans="1:8" ht="14.25" customHeight="1" x14ac:dyDescent="0.35">
      <c r="A144" s="32" t="s">
        <v>585</v>
      </c>
      <c r="B144" s="32" t="s">
        <v>14</v>
      </c>
      <c r="C144" s="32">
        <v>927</v>
      </c>
      <c r="D144" s="32">
        <v>358</v>
      </c>
      <c r="E144" s="32">
        <v>177554</v>
      </c>
      <c r="F144" s="32">
        <v>6.95</v>
      </c>
      <c r="G144" s="40">
        <v>48270</v>
      </c>
      <c r="H144" s="31">
        <f t="shared" si="2"/>
        <v>569</v>
      </c>
    </row>
    <row r="145" spans="1:8" ht="14.25" customHeight="1" x14ac:dyDescent="0.35">
      <c r="A145" s="32" t="s">
        <v>585</v>
      </c>
      <c r="B145" s="32" t="s">
        <v>27</v>
      </c>
      <c r="C145" s="32">
        <v>152</v>
      </c>
      <c r="D145" s="32">
        <v>355</v>
      </c>
      <c r="E145" s="32">
        <v>270766</v>
      </c>
      <c r="F145" s="32">
        <v>9.48</v>
      </c>
      <c r="G145" s="40">
        <v>18001</v>
      </c>
      <c r="H145" s="31">
        <f t="shared" si="2"/>
        <v>-203</v>
      </c>
    </row>
    <row r="146" spans="1:8" ht="14.25" customHeight="1" x14ac:dyDescent="0.35">
      <c r="A146" s="32" t="s">
        <v>249</v>
      </c>
      <c r="B146" s="32" t="s">
        <v>33</v>
      </c>
      <c r="C146" s="32">
        <v>1957</v>
      </c>
      <c r="D146" s="32">
        <v>234</v>
      </c>
      <c r="E146" s="32">
        <v>222126</v>
      </c>
      <c r="F146" s="32">
        <v>4.6100000000000003</v>
      </c>
      <c r="G146" s="40">
        <v>3314</v>
      </c>
      <c r="H146" s="31">
        <f t="shared" si="2"/>
        <v>1723</v>
      </c>
    </row>
    <row r="147" spans="1:8" ht="14.25" customHeight="1" x14ac:dyDescent="0.35">
      <c r="A147" s="32" t="s">
        <v>249</v>
      </c>
      <c r="B147" s="32" t="s">
        <v>43</v>
      </c>
      <c r="C147" s="32">
        <v>1294</v>
      </c>
      <c r="D147" s="32">
        <v>382</v>
      </c>
      <c r="E147" s="32">
        <v>309914</v>
      </c>
      <c r="F147" s="32">
        <v>8.0299999999999994</v>
      </c>
      <c r="G147" s="40">
        <v>23489</v>
      </c>
      <c r="H147" s="31">
        <f t="shared" si="2"/>
        <v>912</v>
      </c>
    </row>
    <row r="148" spans="1:8" ht="14.25" customHeight="1" x14ac:dyDescent="0.35">
      <c r="A148" s="32" t="s">
        <v>249</v>
      </c>
      <c r="B148" s="32" t="s">
        <v>14</v>
      </c>
      <c r="C148" s="32">
        <v>1587</v>
      </c>
      <c r="D148" s="32">
        <v>385</v>
      </c>
      <c r="E148" s="32">
        <v>126582</v>
      </c>
      <c r="F148" s="32">
        <v>6.99</v>
      </c>
      <c r="G148" s="40">
        <v>42832</v>
      </c>
      <c r="H148" s="31">
        <f t="shared" si="2"/>
        <v>1202</v>
      </c>
    </row>
    <row r="149" spans="1:8" ht="14.25" customHeight="1" x14ac:dyDescent="0.35">
      <c r="A149" s="32" t="s">
        <v>249</v>
      </c>
      <c r="B149" s="32" t="s">
        <v>27</v>
      </c>
      <c r="C149" s="32">
        <v>1707</v>
      </c>
      <c r="D149" s="32">
        <v>263</v>
      </c>
      <c r="E149" s="32">
        <v>485280</v>
      </c>
      <c r="F149" s="32">
        <v>9.0299999999999994</v>
      </c>
      <c r="G149" s="40">
        <v>24494</v>
      </c>
      <c r="H149" s="31">
        <f t="shared" si="2"/>
        <v>1444</v>
      </c>
    </row>
    <row r="150" spans="1:8" ht="14.25" customHeight="1" x14ac:dyDescent="0.35">
      <c r="A150" s="32" t="s">
        <v>127</v>
      </c>
      <c r="B150" s="32" t="s">
        <v>33</v>
      </c>
      <c r="C150" s="32">
        <v>1138</v>
      </c>
      <c r="D150" s="32">
        <v>173</v>
      </c>
      <c r="E150" s="32">
        <v>453243</v>
      </c>
      <c r="F150" s="32">
        <v>2.86</v>
      </c>
      <c r="G150" s="40">
        <v>44097</v>
      </c>
      <c r="H150" s="31">
        <f t="shared" si="2"/>
        <v>965</v>
      </c>
    </row>
    <row r="151" spans="1:8" ht="14.25" customHeight="1" x14ac:dyDescent="0.35">
      <c r="A151" s="32" t="s">
        <v>127</v>
      </c>
      <c r="B151" s="32" t="s">
        <v>43</v>
      </c>
      <c r="C151" s="32">
        <v>1895</v>
      </c>
      <c r="D151" s="32">
        <v>305</v>
      </c>
      <c r="E151" s="32">
        <v>104967</v>
      </c>
      <c r="F151" s="32">
        <v>3.85</v>
      </c>
      <c r="G151" s="40">
        <v>31853</v>
      </c>
      <c r="H151" s="31">
        <f t="shared" si="2"/>
        <v>1590</v>
      </c>
    </row>
    <row r="152" spans="1:8" ht="14.25" customHeight="1" x14ac:dyDescent="0.35">
      <c r="A152" s="32" t="s">
        <v>127</v>
      </c>
      <c r="B152" s="32" t="s">
        <v>14</v>
      </c>
      <c r="C152" s="32">
        <v>362</v>
      </c>
      <c r="D152" s="32">
        <v>399</v>
      </c>
      <c r="E152" s="32">
        <v>145608</v>
      </c>
      <c r="F152" s="32">
        <v>7.3</v>
      </c>
      <c r="G152" s="40">
        <v>37636</v>
      </c>
      <c r="H152" s="31">
        <f t="shared" si="2"/>
        <v>-37</v>
      </c>
    </row>
    <row r="153" spans="1:8" ht="14.25" customHeight="1" x14ac:dyDescent="0.35">
      <c r="A153" s="32" t="s">
        <v>127</v>
      </c>
      <c r="B153" s="32" t="s">
        <v>27</v>
      </c>
      <c r="C153" s="32">
        <v>1662</v>
      </c>
      <c r="D153" s="32">
        <v>487</v>
      </c>
      <c r="E153" s="32">
        <v>105980</v>
      </c>
      <c r="F153" s="32">
        <v>9.08</v>
      </c>
      <c r="G153" s="40">
        <v>22996</v>
      </c>
      <c r="H153" s="31">
        <f t="shared" si="2"/>
        <v>1175</v>
      </c>
    </row>
    <row r="154" spans="1:8" ht="14.25" customHeight="1" x14ac:dyDescent="0.35">
      <c r="A154" s="32" t="s">
        <v>147</v>
      </c>
      <c r="B154" s="32" t="s">
        <v>33</v>
      </c>
      <c r="C154" s="32">
        <v>1440</v>
      </c>
      <c r="D154" s="32">
        <v>65</v>
      </c>
      <c r="E154" s="32">
        <v>126524</v>
      </c>
      <c r="F154" s="32">
        <v>4.34</v>
      </c>
      <c r="G154" s="40">
        <v>49772</v>
      </c>
      <c r="H154" s="31">
        <f t="shared" si="2"/>
        <v>1375</v>
      </c>
    </row>
    <row r="155" spans="1:8" ht="14.25" customHeight="1" x14ac:dyDescent="0.35">
      <c r="A155" s="32" t="s">
        <v>147</v>
      </c>
      <c r="B155" s="32" t="s">
        <v>43</v>
      </c>
      <c r="C155" s="32">
        <v>1884</v>
      </c>
      <c r="D155" s="32">
        <v>177</v>
      </c>
      <c r="E155" s="32">
        <v>230448</v>
      </c>
      <c r="F155" s="32">
        <v>7.8</v>
      </c>
      <c r="G155" s="40">
        <v>22713</v>
      </c>
      <c r="H155" s="31">
        <f t="shared" si="2"/>
        <v>1707</v>
      </c>
    </row>
    <row r="156" spans="1:8" ht="14.25" customHeight="1" x14ac:dyDescent="0.35">
      <c r="A156" s="32" t="s">
        <v>147</v>
      </c>
      <c r="B156" s="32" t="s">
        <v>14</v>
      </c>
      <c r="C156" s="32">
        <v>861</v>
      </c>
      <c r="D156" s="32">
        <v>153</v>
      </c>
      <c r="E156" s="32">
        <v>317007</v>
      </c>
      <c r="F156" s="32">
        <v>3.85</v>
      </c>
      <c r="G156" s="40">
        <v>8718</v>
      </c>
      <c r="H156" s="31">
        <f t="shared" si="2"/>
        <v>708</v>
      </c>
    </row>
    <row r="157" spans="1:8" ht="14.25" customHeight="1" x14ac:dyDescent="0.35">
      <c r="A157" s="32" t="s">
        <v>147</v>
      </c>
      <c r="B157" s="32" t="s">
        <v>27</v>
      </c>
      <c r="C157" s="32">
        <v>1063</v>
      </c>
      <c r="D157" s="32">
        <v>47</v>
      </c>
      <c r="E157" s="32">
        <v>464239</v>
      </c>
      <c r="F157" s="32">
        <v>6.58</v>
      </c>
      <c r="G157" s="40">
        <v>39031</v>
      </c>
      <c r="H157" s="31">
        <f t="shared" si="2"/>
        <v>1016</v>
      </c>
    </row>
    <row r="158" spans="1:8" ht="14.25" customHeight="1" x14ac:dyDescent="0.35">
      <c r="A158" s="32" t="s">
        <v>197</v>
      </c>
      <c r="B158" s="32" t="s">
        <v>33</v>
      </c>
      <c r="C158" s="32">
        <v>1371</v>
      </c>
      <c r="D158" s="32">
        <v>56</v>
      </c>
      <c r="E158" s="32">
        <v>257579</v>
      </c>
      <c r="F158" s="32">
        <v>8.6199999999999992</v>
      </c>
      <c r="G158" s="40">
        <v>33799</v>
      </c>
      <c r="H158" s="31">
        <f t="shared" si="2"/>
        <v>1315</v>
      </c>
    </row>
    <row r="159" spans="1:8" ht="14.25" customHeight="1" x14ac:dyDescent="0.35">
      <c r="A159" s="32" t="s">
        <v>197</v>
      </c>
      <c r="B159" s="32" t="s">
        <v>43</v>
      </c>
      <c r="C159" s="32">
        <v>345</v>
      </c>
      <c r="D159" s="32">
        <v>464</v>
      </c>
      <c r="E159" s="32">
        <v>366881</v>
      </c>
      <c r="F159" s="32">
        <v>4.55</v>
      </c>
      <c r="G159" s="40">
        <v>20553</v>
      </c>
      <c r="H159" s="31">
        <f t="shared" si="2"/>
        <v>-119</v>
      </c>
    </row>
    <row r="160" spans="1:8" ht="14.25" customHeight="1" x14ac:dyDescent="0.35">
      <c r="A160" s="32" t="s">
        <v>197</v>
      </c>
      <c r="B160" s="32" t="s">
        <v>14</v>
      </c>
      <c r="C160" s="32">
        <v>946</v>
      </c>
      <c r="D160" s="32">
        <v>47</v>
      </c>
      <c r="E160" s="32">
        <v>466575</v>
      </c>
      <c r="F160" s="32">
        <v>8.33</v>
      </c>
      <c r="G160" s="40">
        <v>10002</v>
      </c>
      <c r="H160" s="31">
        <f t="shared" si="2"/>
        <v>899</v>
      </c>
    </row>
    <row r="161" spans="1:8" ht="14.25" customHeight="1" x14ac:dyDescent="0.35">
      <c r="A161" s="32" t="s">
        <v>197</v>
      </c>
      <c r="B161" s="32" t="s">
        <v>27</v>
      </c>
      <c r="C161" s="32">
        <v>510</v>
      </c>
      <c r="D161" s="32">
        <v>195</v>
      </c>
      <c r="E161" s="32">
        <v>224534</v>
      </c>
      <c r="F161" s="32">
        <v>9.4</v>
      </c>
      <c r="G161" s="40">
        <v>30987</v>
      </c>
      <c r="H161" s="31">
        <f t="shared" si="2"/>
        <v>315</v>
      </c>
    </row>
    <row r="162" spans="1:8" ht="14.25" customHeight="1" x14ac:dyDescent="0.35">
      <c r="A162" s="32" t="s">
        <v>586</v>
      </c>
      <c r="B162" s="32" t="s">
        <v>33</v>
      </c>
      <c r="C162" s="32">
        <v>393</v>
      </c>
      <c r="D162" s="32">
        <v>181</v>
      </c>
      <c r="E162" s="32">
        <v>462142</v>
      </c>
      <c r="F162" s="32">
        <v>7.23</v>
      </c>
      <c r="G162" s="40">
        <v>6296</v>
      </c>
      <c r="H162" s="31">
        <f t="shared" si="2"/>
        <v>212</v>
      </c>
    </row>
    <row r="163" spans="1:8" ht="14.25" customHeight="1" x14ac:dyDescent="0.35">
      <c r="A163" s="32" t="s">
        <v>586</v>
      </c>
      <c r="B163" s="32" t="s">
        <v>43</v>
      </c>
      <c r="C163" s="32">
        <v>1098</v>
      </c>
      <c r="D163" s="32">
        <v>190</v>
      </c>
      <c r="E163" s="32">
        <v>340842</v>
      </c>
      <c r="F163" s="32">
        <v>9.39</v>
      </c>
      <c r="G163" s="40">
        <v>21539</v>
      </c>
      <c r="H163" s="31">
        <f t="shared" si="2"/>
        <v>908</v>
      </c>
    </row>
    <row r="164" spans="1:8" ht="14.25" customHeight="1" x14ac:dyDescent="0.35">
      <c r="A164" s="32" t="s">
        <v>586</v>
      </c>
      <c r="B164" s="32" t="s">
        <v>14</v>
      </c>
      <c r="C164" s="32">
        <v>1399</v>
      </c>
      <c r="D164" s="32">
        <v>49</v>
      </c>
      <c r="E164" s="32">
        <v>12471</v>
      </c>
      <c r="F164" s="32">
        <v>5.12</v>
      </c>
      <c r="G164" s="40">
        <v>14722</v>
      </c>
      <c r="H164" s="31">
        <f t="shared" si="2"/>
        <v>1350</v>
      </c>
    </row>
    <row r="165" spans="1:8" ht="14.25" customHeight="1" x14ac:dyDescent="0.35">
      <c r="A165" s="32" t="s">
        <v>586</v>
      </c>
      <c r="B165" s="32" t="s">
        <v>27</v>
      </c>
      <c r="C165" s="32">
        <v>1658</v>
      </c>
      <c r="D165" s="32">
        <v>416</v>
      </c>
      <c r="E165" s="32">
        <v>98397</v>
      </c>
      <c r="F165" s="32">
        <v>6.11</v>
      </c>
      <c r="G165" s="40">
        <v>11383</v>
      </c>
      <c r="H165" s="31">
        <f t="shared" si="2"/>
        <v>1242</v>
      </c>
    </row>
    <row r="166" spans="1:8" ht="14.25" customHeight="1" x14ac:dyDescent="0.35">
      <c r="A166" s="32" t="s">
        <v>587</v>
      </c>
      <c r="B166" s="32" t="s">
        <v>33</v>
      </c>
      <c r="C166" s="32">
        <v>1102</v>
      </c>
      <c r="D166" s="32">
        <v>422</v>
      </c>
      <c r="E166" s="32">
        <v>410330</v>
      </c>
      <c r="F166" s="32">
        <v>7.74</v>
      </c>
      <c r="G166" s="40">
        <v>9480</v>
      </c>
      <c r="H166" s="31">
        <f t="shared" si="2"/>
        <v>680</v>
      </c>
    </row>
    <row r="167" spans="1:8" ht="14.25" customHeight="1" x14ac:dyDescent="0.35">
      <c r="A167" s="32" t="s">
        <v>587</v>
      </c>
      <c r="B167" s="32" t="s">
        <v>43</v>
      </c>
      <c r="C167" s="32">
        <v>1358</v>
      </c>
      <c r="D167" s="32">
        <v>242</v>
      </c>
      <c r="E167" s="32">
        <v>342129</v>
      </c>
      <c r="F167" s="32">
        <v>4.9400000000000004</v>
      </c>
      <c r="G167" s="40">
        <v>29116</v>
      </c>
      <c r="H167" s="31">
        <f t="shared" si="2"/>
        <v>1116</v>
      </c>
    </row>
    <row r="168" spans="1:8" ht="14.25" customHeight="1" x14ac:dyDescent="0.35">
      <c r="A168" s="32" t="s">
        <v>587</v>
      </c>
      <c r="B168" s="32" t="s">
        <v>14</v>
      </c>
      <c r="C168" s="32">
        <v>1077</v>
      </c>
      <c r="D168" s="32">
        <v>216</v>
      </c>
      <c r="E168" s="32">
        <v>12447</v>
      </c>
      <c r="F168" s="32">
        <v>1.8</v>
      </c>
      <c r="G168" s="40">
        <v>14068</v>
      </c>
      <c r="H168" s="31">
        <f t="shared" si="2"/>
        <v>861</v>
      </c>
    </row>
    <row r="169" spans="1:8" ht="14.25" customHeight="1" x14ac:dyDescent="0.35">
      <c r="A169" s="32" t="s">
        <v>587</v>
      </c>
      <c r="B169" s="32" t="s">
        <v>27</v>
      </c>
      <c r="C169" s="32">
        <v>1596</v>
      </c>
      <c r="D169" s="32">
        <v>211</v>
      </c>
      <c r="E169" s="32">
        <v>17380</v>
      </c>
      <c r="F169" s="32">
        <v>8.64</v>
      </c>
      <c r="G169" s="40">
        <v>35801</v>
      </c>
      <c r="H169" s="31">
        <f t="shared" si="2"/>
        <v>1385</v>
      </c>
    </row>
    <row r="170" spans="1:8" ht="14.25" customHeight="1" x14ac:dyDescent="0.35">
      <c r="A170" s="32" t="s">
        <v>234</v>
      </c>
      <c r="B170" s="32" t="s">
        <v>33</v>
      </c>
      <c r="C170" s="32">
        <v>490</v>
      </c>
      <c r="D170" s="32">
        <v>29</v>
      </c>
      <c r="E170" s="32">
        <v>364810</v>
      </c>
      <c r="F170" s="32">
        <v>1.53</v>
      </c>
      <c r="G170" s="40">
        <v>49077</v>
      </c>
      <c r="H170" s="31">
        <f t="shared" si="2"/>
        <v>461</v>
      </c>
    </row>
    <row r="171" spans="1:8" ht="14.25" customHeight="1" x14ac:dyDescent="0.35">
      <c r="A171" s="32" t="s">
        <v>234</v>
      </c>
      <c r="B171" s="32" t="s">
        <v>43</v>
      </c>
      <c r="C171" s="32">
        <v>609</v>
      </c>
      <c r="D171" s="32">
        <v>135</v>
      </c>
      <c r="E171" s="32">
        <v>373606</v>
      </c>
      <c r="F171" s="32">
        <v>8.52</v>
      </c>
      <c r="G171" s="40">
        <v>21453</v>
      </c>
      <c r="H171" s="31">
        <f t="shared" si="2"/>
        <v>474</v>
      </c>
    </row>
    <row r="172" spans="1:8" ht="14.25" customHeight="1" x14ac:dyDescent="0.35">
      <c r="A172" s="32" t="s">
        <v>234</v>
      </c>
      <c r="B172" s="32" t="s">
        <v>14</v>
      </c>
      <c r="C172" s="32">
        <v>364</v>
      </c>
      <c r="D172" s="32">
        <v>72</v>
      </c>
      <c r="E172" s="32">
        <v>211090</v>
      </c>
      <c r="F172" s="32">
        <v>5.53</v>
      </c>
      <c r="G172" s="40">
        <v>21061</v>
      </c>
      <c r="H172" s="31">
        <f t="shared" si="2"/>
        <v>292</v>
      </c>
    </row>
    <row r="173" spans="1:8" ht="14.25" customHeight="1" x14ac:dyDescent="0.35">
      <c r="A173" s="32" t="s">
        <v>234</v>
      </c>
      <c r="B173" s="32" t="s">
        <v>27</v>
      </c>
      <c r="C173" s="32">
        <v>442</v>
      </c>
      <c r="D173" s="32">
        <v>53</v>
      </c>
      <c r="E173" s="32">
        <v>441931</v>
      </c>
      <c r="F173" s="32">
        <v>1.87</v>
      </c>
      <c r="G173" s="40">
        <v>20059</v>
      </c>
      <c r="H173" s="31">
        <f t="shared" si="2"/>
        <v>389</v>
      </c>
    </row>
    <row r="174" spans="1:8" ht="14.25" customHeight="1" x14ac:dyDescent="0.35">
      <c r="A174" s="32" t="s">
        <v>588</v>
      </c>
      <c r="B174" s="32" t="s">
        <v>33</v>
      </c>
      <c r="C174" s="32">
        <v>1033</v>
      </c>
      <c r="D174" s="32">
        <v>392</v>
      </c>
      <c r="E174" s="32">
        <v>282780</v>
      </c>
      <c r="F174" s="32">
        <v>6.27</v>
      </c>
      <c r="G174" s="40">
        <v>23140</v>
      </c>
      <c r="H174" s="31">
        <f t="shared" si="2"/>
        <v>641</v>
      </c>
    </row>
    <row r="175" spans="1:8" ht="14.25" customHeight="1" x14ac:dyDescent="0.35">
      <c r="A175" s="32" t="s">
        <v>588</v>
      </c>
      <c r="B175" s="32" t="s">
        <v>43</v>
      </c>
      <c r="C175" s="32">
        <v>988</v>
      </c>
      <c r="D175" s="32">
        <v>474</v>
      </c>
      <c r="E175" s="32">
        <v>370070</v>
      </c>
      <c r="F175" s="32">
        <v>9.4600000000000009</v>
      </c>
      <c r="G175" s="40">
        <v>23461</v>
      </c>
      <c r="H175" s="31">
        <f t="shared" si="2"/>
        <v>514</v>
      </c>
    </row>
    <row r="176" spans="1:8" ht="14.25" customHeight="1" x14ac:dyDescent="0.35">
      <c r="A176" s="32" t="s">
        <v>588</v>
      </c>
      <c r="B176" s="32" t="s">
        <v>14</v>
      </c>
      <c r="C176" s="32">
        <v>1946</v>
      </c>
      <c r="D176" s="32">
        <v>270</v>
      </c>
      <c r="E176" s="32">
        <v>198350</v>
      </c>
      <c r="F176" s="32">
        <v>7.5</v>
      </c>
      <c r="G176" s="40">
        <v>11805</v>
      </c>
      <c r="H176" s="31">
        <f t="shared" si="2"/>
        <v>1676</v>
      </c>
    </row>
    <row r="177" spans="1:8" ht="14.25" customHeight="1" x14ac:dyDescent="0.35">
      <c r="A177" s="32" t="s">
        <v>588</v>
      </c>
      <c r="B177" s="32" t="s">
        <v>27</v>
      </c>
      <c r="C177" s="32">
        <v>1957</v>
      </c>
      <c r="D177" s="32">
        <v>490</v>
      </c>
      <c r="E177" s="32">
        <v>435726</v>
      </c>
      <c r="F177" s="32">
        <v>4.7300000000000004</v>
      </c>
      <c r="G177" s="40">
        <v>15969</v>
      </c>
      <c r="H177" s="31">
        <f t="shared" si="2"/>
        <v>1467</v>
      </c>
    </row>
    <row r="178" spans="1:8" ht="14.25" customHeight="1" x14ac:dyDescent="0.35">
      <c r="A178" s="32" t="s">
        <v>412</v>
      </c>
      <c r="B178" s="32" t="s">
        <v>33</v>
      </c>
      <c r="C178" s="32">
        <v>559</v>
      </c>
      <c r="D178" s="32">
        <v>392</v>
      </c>
      <c r="E178" s="32">
        <v>78789</v>
      </c>
      <c r="F178" s="32">
        <v>3.19</v>
      </c>
      <c r="G178" s="40">
        <v>2436</v>
      </c>
      <c r="H178" s="31">
        <f t="shared" si="2"/>
        <v>167</v>
      </c>
    </row>
    <row r="179" spans="1:8" ht="14.25" customHeight="1" x14ac:dyDescent="0.35">
      <c r="A179" s="32" t="s">
        <v>412</v>
      </c>
      <c r="B179" s="32" t="s">
        <v>43</v>
      </c>
      <c r="C179" s="32">
        <v>1307</v>
      </c>
      <c r="D179" s="32">
        <v>278</v>
      </c>
      <c r="E179" s="32">
        <v>98596</v>
      </c>
      <c r="F179" s="32">
        <v>2.4900000000000002</v>
      </c>
      <c r="G179" s="40">
        <v>47603</v>
      </c>
      <c r="H179" s="31">
        <f t="shared" si="2"/>
        <v>1029</v>
      </c>
    </row>
    <row r="180" spans="1:8" ht="14.25" customHeight="1" x14ac:dyDescent="0.35">
      <c r="A180" s="32" t="s">
        <v>412</v>
      </c>
      <c r="B180" s="32" t="s">
        <v>14</v>
      </c>
      <c r="C180" s="32">
        <v>1432</v>
      </c>
      <c r="D180" s="32">
        <v>425</v>
      </c>
      <c r="E180" s="32">
        <v>29589</v>
      </c>
      <c r="F180" s="32">
        <v>4.5</v>
      </c>
      <c r="G180" s="40">
        <v>42964</v>
      </c>
      <c r="H180" s="31">
        <f t="shared" si="2"/>
        <v>1007</v>
      </c>
    </row>
    <row r="181" spans="1:8" ht="14.25" customHeight="1" x14ac:dyDescent="0.35">
      <c r="A181" s="32" t="s">
        <v>412</v>
      </c>
      <c r="B181" s="32" t="s">
        <v>27</v>
      </c>
      <c r="C181" s="32">
        <v>623</v>
      </c>
      <c r="D181" s="32">
        <v>414</v>
      </c>
      <c r="E181" s="32">
        <v>290354</v>
      </c>
      <c r="F181" s="32">
        <v>6.49</v>
      </c>
      <c r="G181" s="40">
        <v>39923</v>
      </c>
      <c r="H181" s="31">
        <f t="shared" si="2"/>
        <v>209</v>
      </c>
    </row>
    <row r="182" spans="1:8" ht="14.25" customHeight="1" x14ac:dyDescent="0.35">
      <c r="A182" s="32" t="s">
        <v>589</v>
      </c>
      <c r="B182" s="32" t="s">
        <v>33</v>
      </c>
      <c r="C182" s="32">
        <v>198</v>
      </c>
      <c r="D182" s="32">
        <v>358</v>
      </c>
      <c r="E182" s="32">
        <v>66682</v>
      </c>
      <c r="F182" s="32">
        <v>6.73</v>
      </c>
      <c r="G182" s="40">
        <v>2293</v>
      </c>
      <c r="H182" s="31">
        <f t="shared" si="2"/>
        <v>-160</v>
      </c>
    </row>
    <row r="183" spans="1:8" ht="14.25" customHeight="1" x14ac:dyDescent="0.35">
      <c r="A183" s="32" t="s">
        <v>589</v>
      </c>
      <c r="B183" s="32" t="s">
        <v>43</v>
      </c>
      <c r="C183" s="32">
        <v>198</v>
      </c>
      <c r="D183" s="32">
        <v>373</v>
      </c>
      <c r="E183" s="32">
        <v>70707</v>
      </c>
      <c r="F183" s="32">
        <v>4.83</v>
      </c>
      <c r="G183" s="40">
        <v>25920</v>
      </c>
      <c r="H183" s="31">
        <f t="shared" si="2"/>
        <v>-175</v>
      </c>
    </row>
    <row r="184" spans="1:8" ht="14.25" customHeight="1" x14ac:dyDescent="0.35">
      <c r="A184" s="32" t="s">
        <v>589</v>
      </c>
      <c r="B184" s="32" t="s">
        <v>14</v>
      </c>
      <c r="C184" s="32">
        <v>353</v>
      </c>
      <c r="D184" s="32">
        <v>300</v>
      </c>
      <c r="E184" s="32">
        <v>142507</v>
      </c>
      <c r="F184" s="32">
        <v>5.3</v>
      </c>
      <c r="G184" s="40">
        <v>11035</v>
      </c>
      <c r="H184" s="31">
        <f t="shared" si="2"/>
        <v>53</v>
      </c>
    </row>
    <row r="185" spans="1:8" ht="14.25" customHeight="1" x14ac:dyDescent="0.35">
      <c r="A185" s="32" t="s">
        <v>589</v>
      </c>
      <c r="B185" s="32" t="s">
        <v>27</v>
      </c>
      <c r="C185" s="32">
        <v>520</v>
      </c>
      <c r="D185" s="32">
        <v>375</v>
      </c>
      <c r="E185" s="32">
        <v>369525</v>
      </c>
      <c r="F185" s="32">
        <v>6.54</v>
      </c>
      <c r="G185" s="40">
        <v>20733</v>
      </c>
      <c r="H185" s="31">
        <f t="shared" si="2"/>
        <v>145</v>
      </c>
    </row>
    <row r="186" spans="1:8" ht="14.25" customHeight="1" x14ac:dyDescent="0.35">
      <c r="A186" s="32" t="s">
        <v>590</v>
      </c>
      <c r="B186" s="32" t="s">
        <v>33</v>
      </c>
      <c r="C186" s="32">
        <v>961</v>
      </c>
      <c r="D186" s="32">
        <v>358</v>
      </c>
      <c r="E186" s="32">
        <v>62942</v>
      </c>
      <c r="F186" s="32">
        <v>6.8</v>
      </c>
      <c r="G186" s="40">
        <v>18693</v>
      </c>
      <c r="H186" s="31">
        <f t="shared" si="2"/>
        <v>603</v>
      </c>
    </row>
    <row r="187" spans="1:8" ht="14.25" customHeight="1" x14ac:dyDescent="0.35">
      <c r="A187" s="32" t="s">
        <v>590</v>
      </c>
      <c r="B187" s="32" t="s">
        <v>43</v>
      </c>
      <c r="C187" s="32">
        <v>1375</v>
      </c>
      <c r="D187" s="32">
        <v>330</v>
      </c>
      <c r="E187" s="32">
        <v>377382</v>
      </c>
      <c r="F187" s="32">
        <v>2.6</v>
      </c>
      <c r="G187" s="40">
        <v>7875</v>
      </c>
      <c r="H187" s="31">
        <f t="shared" si="2"/>
        <v>1045</v>
      </c>
    </row>
    <row r="188" spans="1:8" ht="14.25" customHeight="1" x14ac:dyDescent="0.35">
      <c r="A188" s="32" t="s">
        <v>590</v>
      </c>
      <c r="B188" s="32" t="s">
        <v>14</v>
      </c>
      <c r="C188" s="32">
        <v>1147</v>
      </c>
      <c r="D188" s="32">
        <v>388</v>
      </c>
      <c r="E188" s="32">
        <v>333851</v>
      </c>
      <c r="F188" s="32">
        <v>2.44</v>
      </c>
      <c r="G188" s="40">
        <v>8471</v>
      </c>
      <c r="H188" s="31">
        <f t="shared" si="2"/>
        <v>759</v>
      </c>
    </row>
    <row r="189" spans="1:8" ht="14.25" customHeight="1" x14ac:dyDescent="0.35">
      <c r="A189" s="32" t="s">
        <v>590</v>
      </c>
      <c r="B189" s="32" t="s">
        <v>27</v>
      </c>
      <c r="C189" s="32">
        <v>1707</v>
      </c>
      <c r="D189" s="32">
        <v>74</v>
      </c>
      <c r="E189" s="32">
        <v>270958</v>
      </c>
      <c r="F189" s="32">
        <v>3.09</v>
      </c>
      <c r="G189" s="40">
        <v>14090</v>
      </c>
      <c r="H189" s="31">
        <f t="shared" si="2"/>
        <v>1633</v>
      </c>
    </row>
    <row r="190" spans="1:8" ht="14.25" customHeight="1" x14ac:dyDescent="0.35">
      <c r="A190" s="32" t="s">
        <v>364</v>
      </c>
      <c r="B190" s="32" t="s">
        <v>33</v>
      </c>
      <c r="C190" s="32">
        <v>1693</v>
      </c>
      <c r="D190" s="32">
        <v>154</v>
      </c>
      <c r="E190" s="32">
        <v>445944</v>
      </c>
      <c r="F190" s="32">
        <v>5.69</v>
      </c>
      <c r="G190" s="40">
        <v>14216</v>
      </c>
      <c r="H190" s="31">
        <f t="shared" si="2"/>
        <v>1539</v>
      </c>
    </row>
    <row r="191" spans="1:8" ht="14.25" customHeight="1" x14ac:dyDescent="0.35">
      <c r="A191" s="32" t="s">
        <v>364</v>
      </c>
      <c r="B191" s="32" t="s">
        <v>43</v>
      </c>
      <c r="C191" s="32">
        <v>833</v>
      </c>
      <c r="D191" s="32">
        <v>380</v>
      </c>
      <c r="E191" s="32">
        <v>224830</v>
      </c>
      <c r="F191" s="32">
        <v>3.86</v>
      </c>
      <c r="G191" s="40">
        <v>3582</v>
      </c>
      <c r="H191" s="31">
        <f t="shared" si="2"/>
        <v>453</v>
      </c>
    </row>
    <row r="192" spans="1:8" ht="14.25" customHeight="1" x14ac:dyDescent="0.35">
      <c r="A192" s="32" t="s">
        <v>364</v>
      </c>
      <c r="B192" s="32" t="s">
        <v>14</v>
      </c>
      <c r="C192" s="32">
        <v>1222</v>
      </c>
      <c r="D192" s="32">
        <v>274</v>
      </c>
      <c r="E192" s="32">
        <v>487289</v>
      </c>
      <c r="F192" s="32">
        <v>3.16</v>
      </c>
      <c r="G192" s="40">
        <v>32500</v>
      </c>
      <c r="H192" s="31">
        <f t="shared" si="2"/>
        <v>948</v>
      </c>
    </row>
    <row r="193" spans="1:8" ht="14.25" customHeight="1" x14ac:dyDescent="0.35">
      <c r="A193" s="32" t="s">
        <v>364</v>
      </c>
      <c r="B193" s="32" t="s">
        <v>27</v>
      </c>
      <c r="C193" s="32">
        <v>777</v>
      </c>
      <c r="D193" s="32">
        <v>140</v>
      </c>
      <c r="E193" s="32">
        <v>11435</v>
      </c>
      <c r="F193" s="32">
        <v>1.6</v>
      </c>
      <c r="G193" s="40">
        <v>6832</v>
      </c>
      <c r="H193" s="31">
        <f t="shared" si="2"/>
        <v>637</v>
      </c>
    </row>
    <row r="194" spans="1:8" ht="14.25" customHeight="1" x14ac:dyDescent="0.35">
      <c r="A194" s="32" t="s">
        <v>79</v>
      </c>
      <c r="B194" s="32" t="s">
        <v>33</v>
      </c>
      <c r="C194" s="32">
        <v>1957</v>
      </c>
      <c r="D194" s="32">
        <v>76</v>
      </c>
      <c r="E194" s="32">
        <v>447902</v>
      </c>
      <c r="F194" s="32">
        <v>6.09</v>
      </c>
      <c r="G194" s="40">
        <v>33381</v>
      </c>
      <c r="H194" s="31">
        <f t="shared" si="2"/>
        <v>1881</v>
      </c>
    </row>
    <row r="195" spans="1:8" ht="14.25" customHeight="1" x14ac:dyDescent="0.35">
      <c r="A195" s="32" t="s">
        <v>79</v>
      </c>
      <c r="B195" s="32" t="s">
        <v>43</v>
      </c>
      <c r="C195" s="32">
        <v>405</v>
      </c>
      <c r="D195" s="32">
        <v>66</v>
      </c>
      <c r="E195" s="32">
        <v>418696</v>
      </c>
      <c r="F195" s="32">
        <v>5.59</v>
      </c>
      <c r="G195" s="40">
        <v>48419</v>
      </c>
      <c r="H195" s="31">
        <f t="shared" ref="H195:H201" si="3">C195-D195</f>
        <v>339</v>
      </c>
    </row>
    <row r="196" spans="1:8" ht="14.25" customHeight="1" x14ac:dyDescent="0.35">
      <c r="A196" s="32" t="s">
        <v>79</v>
      </c>
      <c r="B196" s="32" t="s">
        <v>14</v>
      </c>
      <c r="C196" s="32">
        <v>1581</v>
      </c>
      <c r="D196" s="32">
        <v>71</v>
      </c>
      <c r="E196" s="32">
        <v>484364</v>
      </c>
      <c r="F196" s="32">
        <v>3.55</v>
      </c>
      <c r="G196" s="40">
        <v>16149</v>
      </c>
      <c r="H196" s="31">
        <f t="shared" si="3"/>
        <v>1510</v>
      </c>
    </row>
    <row r="197" spans="1:8" ht="14.25" customHeight="1" x14ac:dyDescent="0.35">
      <c r="A197" s="32" t="s">
        <v>79</v>
      </c>
      <c r="B197" s="32" t="s">
        <v>27</v>
      </c>
      <c r="C197" s="32">
        <v>1035</v>
      </c>
      <c r="D197" s="32">
        <v>171</v>
      </c>
      <c r="E197" s="32">
        <v>148477</v>
      </c>
      <c r="F197" s="32">
        <v>5.21</v>
      </c>
      <c r="G197" s="40">
        <v>7541</v>
      </c>
      <c r="H197" s="31">
        <f t="shared" si="3"/>
        <v>864</v>
      </c>
    </row>
    <row r="198" spans="1:8" ht="14.25" customHeight="1" x14ac:dyDescent="0.35">
      <c r="A198" s="32" t="s">
        <v>28</v>
      </c>
      <c r="B198" s="32" t="s">
        <v>33</v>
      </c>
      <c r="C198" s="32">
        <v>1765</v>
      </c>
      <c r="D198" s="32">
        <v>109</v>
      </c>
      <c r="E198" s="32">
        <v>468301</v>
      </c>
      <c r="F198" s="32">
        <v>1.82</v>
      </c>
      <c r="G198" s="40">
        <v>20042</v>
      </c>
      <c r="H198" s="31">
        <f t="shared" si="3"/>
        <v>1656</v>
      </c>
    </row>
    <row r="199" spans="1:8" ht="14.25" customHeight="1" x14ac:dyDescent="0.35">
      <c r="A199" s="32" t="s">
        <v>28</v>
      </c>
      <c r="B199" s="32" t="s">
        <v>43</v>
      </c>
      <c r="C199" s="32">
        <v>837</v>
      </c>
      <c r="D199" s="32">
        <v>430</v>
      </c>
      <c r="E199" s="32">
        <v>364820</v>
      </c>
      <c r="F199" s="32">
        <v>4</v>
      </c>
      <c r="G199" s="40">
        <v>49400</v>
      </c>
      <c r="H199" s="31">
        <f t="shared" si="3"/>
        <v>407</v>
      </c>
    </row>
    <row r="200" spans="1:8" ht="14.25" customHeight="1" x14ac:dyDescent="0.35">
      <c r="A200" s="32" t="s">
        <v>28</v>
      </c>
      <c r="B200" s="32" t="s">
        <v>14</v>
      </c>
      <c r="C200" s="32">
        <v>337</v>
      </c>
      <c r="D200" s="32">
        <v>68</v>
      </c>
      <c r="E200" s="32">
        <v>456298</v>
      </c>
      <c r="F200" s="32">
        <v>7.57</v>
      </c>
      <c r="G200" s="40">
        <v>4007</v>
      </c>
      <c r="H200" s="31">
        <f t="shared" si="3"/>
        <v>269</v>
      </c>
    </row>
    <row r="201" spans="1:8" ht="14.25" customHeight="1" x14ac:dyDescent="0.35">
      <c r="A201" s="32" t="s">
        <v>28</v>
      </c>
      <c r="B201" s="32" t="s">
        <v>27</v>
      </c>
      <c r="C201" s="32">
        <v>119</v>
      </c>
      <c r="D201" s="32">
        <v>456</v>
      </c>
      <c r="E201" s="32">
        <v>82558</v>
      </c>
      <c r="F201" s="32">
        <v>6.81</v>
      </c>
      <c r="G201" s="40">
        <v>12174</v>
      </c>
      <c r="H201" s="31">
        <f t="shared" si="3"/>
        <v>-337</v>
      </c>
    </row>
    <row r="202" spans="1:8" ht="14.25" customHeight="1" x14ac:dyDescent="0.35"/>
    <row r="203" spans="1:8" ht="14.25" customHeight="1" x14ac:dyDescent="0.35"/>
    <row r="204" spans="1:8" ht="14.25" customHeight="1" x14ac:dyDescent="0.35"/>
    <row r="205" spans="1:8" ht="14.25" customHeight="1" x14ac:dyDescent="0.35"/>
    <row r="206" spans="1:8" ht="14.25" customHeight="1" x14ac:dyDescent="0.35"/>
    <row r="207" spans="1:8" ht="14.25" customHeight="1" x14ac:dyDescent="0.35"/>
    <row r="208" spans="1: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8DD7-D499-4756-8B64-78C9D3C48571}">
  <dimension ref="A1:H201"/>
  <sheetViews>
    <sheetView topLeftCell="A4" workbookViewId="0">
      <selection activeCell="K10" sqref="K10"/>
    </sheetView>
  </sheetViews>
  <sheetFormatPr defaultRowHeight="14.5" x14ac:dyDescent="0.35"/>
  <cols>
    <col min="1" max="1" width="18.08984375" bestFit="1" customWidth="1"/>
    <col min="2" max="2" width="10.453125" bestFit="1" customWidth="1"/>
    <col min="3" max="3" width="15.90625" bestFit="1" customWidth="1"/>
    <col min="4" max="4" width="11.453125" bestFit="1" customWidth="1"/>
    <col min="5" max="5" width="16.453125" bestFit="1" customWidth="1"/>
    <col min="6" max="6" width="18.36328125" bestFit="1" customWidth="1"/>
    <col min="7" max="7" width="11.54296875" bestFit="1" customWidth="1"/>
    <col min="8" max="8" width="15.1796875" bestFit="1" customWidth="1"/>
  </cols>
  <sheetData>
    <row r="1" spans="1:8" x14ac:dyDescent="0.35">
      <c r="A1" t="s">
        <v>567</v>
      </c>
      <c r="B1" t="s">
        <v>1</v>
      </c>
      <c r="C1" t="s">
        <v>568</v>
      </c>
      <c r="D1" t="s">
        <v>569</v>
      </c>
      <c r="E1" t="s">
        <v>570</v>
      </c>
      <c r="F1" t="s">
        <v>571</v>
      </c>
      <c r="G1" t="s">
        <v>572</v>
      </c>
      <c r="H1" t="s">
        <v>591</v>
      </c>
    </row>
    <row r="2" spans="1:8" x14ac:dyDescent="0.35">
      <c r="A2" s="8">
        <v>45446</v>
      </c>
      <c r="B2" s="9" t="s">
        <v>33</v>
      </c>
      <c r="C2">
        <v>1135</v>
      </c>
      <c r="D2">
        <v>88</v>
      </c>
      <c r="E2">
        <v>344084</v>
      </c>
      <c r="F2">
        <v>8.06</v>
      </c>
      <c r="G2" t="s">
        <v>592</v>
      </c>
      <c r="H2">
        <v>1047</v>
      </c>
    </row>
    <row r="3" spans="1:8" x14ac:dyDescent="0.35">
      <c r="A3" s="8">
        <v>45446</v>
      </c>
      <c r="B3" s="9" t="s">
        <v>43</v>
      </c>
      <c r="C3">
        <v>1312</v>
      </c>
      <c r="D3">
        <v>310</v>
      </c>
      <c r="E3">
        <v>42654</v>
      </c>
      <c r="F3">
        <v>4.9800000000000004</v>
      </c>
      <c r="G3" t="s">
        <v>593</v>
      </c>
      <c r="H3">
        <v>1002</v>
      </c>
    </row>
    <row r="4" spans="1:8" x14ac:dyDescent="0.35">
      <c r="A4" s="8">
        <v>45446</v>
      </c>
      <c r="B4" s="9" t="s">
        <v>14</v>
      </c>
      <c r="C4">
        <v>584</v>
      </c>
      <c r="D4">
        <v>169</v>
      </c>
      <c r="E4">
        <v>146834</v>
      </c>
      <c r="F4">
        <v>8.31</v>
      </c>
      <c r="G4" t="s">
        <v>594</v>
      </c>
      <c r="H4">
        <v>415</v>
      </c>
    </row>
    <row r="5" spans="1:8" x14ac:dyDescent="0.35">
      <c r="A5" s="8">
        <v>45446</v>
      </c>
      <c r="B5" s="9" t="s">
        <v>27</v>
      </c>
      <c r="C5">
        <v>1535</v>
      </c>
      <c r="D5">
        <v>445</v>
      </c>
      <c r="E5">
        <v>395536</v>
      </c>
      <c r="F5">
        <v>4.1100000000000003</v>
      </c>
      <c r="G5" t="s">
        <v>595</v>
      </c>
      <c r="H5">
        <v>1090</v>
      </c>
    </row>
    <row r="6" spans="1:8" x14ac:dyDescent="0.35">
      <c r="A6" s="8">
        <v>45453</v>
      </c>
      <c r="B6" s="9" t="s">
        <v>33</v>
      </c>
      <c r="C6">
        <v>656</v>
      </c>
      <c r="D6">
        <v>139</v>
      </c>
      <c r="E6">
        <v>49157</v>
      </c>
      <c r="F6">
        <v>9.0500000000000007</v>
      </c>
      <c r="G6" t="s">
        <v>596</v>
      </c>
      <c r="H6">
        <v>517</v>
      </c>
    </row>
    <row r="7" spans="1:8" x14ac:dyDescent="0.35">
      <c r="A7" s="8">
        <v>45453</v>
      </c>
      <c r="B7" s="9" t="s">
        <v>43</v>
      </c>
      <c r="C7">
        <v>1697</v>
      </c>
      <c r="D7">
        <v>414</v>
      </c>
      <c r="E7">
        <v>316555</v>
      </c>
      <c r="F7">
        <v>2.37</v>
      </c>
      <c r="G7" t="s">
        <v>597</v>
      </c>
      <c r="H7">
        <v>1283</v>
      </c>
    </row>
    <row r="8" spans="1:8" x14ac:dyDescent="0.35">
      <c r="A8" s="8">
        <v>45453</v>
      </c>
      <c r="B8" s="9" t="s">
        <v>14</v>
      </c>
      <c r="C8">
        <v>436</v>
      </c>
      <c r="D8">
        <v>250</v>
      </c>
      <c r="E8">
        <v>254347</v>
      </c>
      <c r="F8">
        <v>4.01</v>
      </c>
      <c r="G8" t="s">
        <v>598</v>
      </c>
      <c r="H8">
        <v>186</v>
      </c>
    </row>
    <row r="9" spans="1:8" x14ac:dyDescent="0.35">
      <c r="A9" s="8">
        <v>45453</v>
      </c>
      <c r="B9" s="9" t="s">
        <v>27</v>
      </c>
      <c r="C9">
        <v>1197</v>
      </c>
      <c r="D9">
        <v>203</v>
      </c>
      <c r="E9">
        <v>413878</v>
      </c>
      <c r="F9">
        <v>3.16</v>
      </c>
      <c r="G9" t="s">
        <v>599</v>
      </c>
      <c r="H9">
        <v>994</v>
      </c>
    </row>
    <row r="10" spans="1:8" x14ac:dyDescent="0.35">
      <c r="A10" s="8">
        <v>45460</v>
      </c>
      <c r="B10" s="9" t="s">
        <v>33</v>
      </c>
      <c r="C10">
        <v>1048</v>
      </c>
      <c r="D10">
        <v>155</v>
      </c>
      <c r="E10">
        <v>456946</v>
      </c>
      <c r="F10">
        <v>2.46</v>
      </c>
      <c r="G10" t="s">
        <v>600</v>
      </c>
      <c r="H10">
        <v>893</v>
      </c>
    </row>
    <row r="11" spans="1:8" x14ac:dyDescent="0.35">
      <c r="A11" s="8">
        <v>45460</v>
      </c>
      <c r="B11" s="9" t="s">
        <v>43</v>
      </c>
      <c r="C11">
        <v>1753</v>
      </c>
      <c r="D11">
        <v>371</v>
      </c>
      <c r="E11">
        <v>169496</v>
      </c>
      <c r="F11">
        <v>8.11</v>
      </c>
      <c r="G11" t="s">
        <v>601</v>
      </c>
      <c r="H11">
        <v>1382</v>
      </c>
    </row>
    <row r="12" spans="1:8" x14ac:dyDescent="0.35">
      <c r="A12" s="8">
        <v>45460</v>
      </c>
      <c r="B12" s="9" t="s">
        <v>14</v>
      </c>
      <c r="C12">
        <v>1335</v>
      </c>
      <c r="D12">
        <v>40</v>
      </c>
      <c r="E12">
        <v>122732</v>
      </c>
      <c r="F12">
        <v>8.19</v>
      </c>
      <c r="G12" t="s">
        <v>602</v>
      </c>
      <c r="H12">
        <v>1295</v>
      </c>
    </row>
    <row r="13" spans="1:8" x14ac:dyDescent="0.35">
      <c r="A13" s="8">
        <v>45460</v>
      </c>
      <c r="B13" s="9" t="s">
        <v>27</v>
      </c>
      <c r="C13">
        <v>403</v>
      </c>
      <c r="D13">
        <v>66</v>
      </c>
      <c r="E13">
        <v>382851</v>
      </c>
      <c r="F13">
        <v>3.49</v>
      </c>
      <c r="G13" t="s">
        <v>603</v>
      </c>
      <c r="H13">
        <v>337</v>
      </c>
    </row>
    <row r="14" spans="1:8" x14ac:dyDescent="0.35">
      <c r="A14" s="8">
        <v>45467</v>
      </c>
      <c r="B14" s="9" t="s">
        <v>33</v>
      </c>
      <c r="C14">
        <v>911</v>
      </c>
      <c r="D14">
        <v>282</v>
      </c>
      <c r="E14">
        <v>35664</v>
      </c>
      <c r="F14">
        <v>6.92</v>
      </c>
      <c r="G14" t="s">
        <v>604</v>
      </c>
      <c r="H14">
        <v>629</v>
      </c>
    </row>
    <row r="15" spans="1:8" x14ac:dyDescent="0.35">
      <c r="A15" s="8">
        <v>45467</v>
      </c>
      <c r="B15" s="9" t="s">
        <v>43</v>
      </c>
      <c r="C15">
        <v>1779</v>
      </c>
      <c r="D15">
        <v>109</v>
      </c>
      <c r="E15">
        <v>26295</v>
      </c>
      <c r="F15">
        <v>9.1199999999999992</v>
      </c>
      <c r="G15" t="s">
        <v>605</v>
      </c>
      <c r="H15">
        <v>1670</v>
      </c>
    </row>
    <row r="16" spans="1:8" x14ac:dyDescent="0.35">
      <c r="A16" s="8">
        <v>45467</v>
      </c>
      <c r="B16" s="9" t="s">
        <v>14</v>
      </c>
      <c r="C16">
        <v>1238</v>
      </c>
      <c r="D16">
        <v>403</v>
      </c>
      <c r="E16">
        <v>298421</v>
      </c>
      <c r="F16">
        <v>3.5</v>
      </c>
      <c r="G16" t="s">
        <v>606</v>
      </c>
      <c r="H16">
        <v>835</v>
      </c>
    </row>
    <row r="17" spans="1:8" x14ac:dyDescent="0.35">
      <c r="A17" s="8">
        <v>45467</v>
      </c>
      <c r="B17" s="9" t="s">
        <v>27</v>
      </c>
      <c r="C17">
        <v>308</v>
      </c>
      <c r="D17">
        <v>431</v>
      </c>
      <c r="E17">
        <v>426184</v>
      </c>
      <c r="F17">
        <v>2.62</v>
      </c>
      <c r="G17" t="s">
        <v>607</v>
      </c>
      <c r="H17">
        <v>-123</v>
      </c>
    </row>
    <row r="18" spans="1:8" x14ac:dyDescent="0.35">
      <c r="A18" s="8">
        <v>45474</v>
      </c>
      <c r="B18" s="9" t="s">
        <v>43</v>
      </c>
      <c r="C18">
        <v>505</v>
      </c>
      <c r="D18">
        <v>441</v>
      </c>
      <c r="E18">
        <v>220020</v>
      </c>
      <c r="F18">
        <v>4.4800000000000004</v>
      </c>
      <c r="G18" t="s">
        <v>608</v>
      </c>
      <c r="H18">
        <v>64</v>
      </c>
    </row>
    <row r="19" spans="1:8" x14ac:dyDescent="0.35">
      <c r="A19" s="8">
        <v>45474</v>
      </c>
      <c r="B19" s="9" t="s">
        <v>14</v>
      </c>
      <c r="C19">
        <v>1420</v>
      </c>
      <c r="D19">
        <v>63</v>
      </c>
      <c r="E19">
        <v>315305</v>
      </c>
      <c r="F19">
        <v>6.19</v>
      </c>
      <c r="G19" t="s">
        <v>609</v>
      </c>
      <c r="H19">
        <v>1357</v>
      </c>
    </row>
    <row r="20" spans="1:8" x14ac:dyDescent="0.35">
      <c r="A20" s="8">
        <v>45474</v>
      </c>
      <c r="B20" s="9" t="s">
        <v>27</v>
      </c>
      <c r="C20">
        <v>144</v>
      </c>
      <c r="D20">
        <v>53</v>
      </c>
      <c r="E20">
        <v>113678</v>
      </c>
      <c r="F20">
        <v>8.7200000000000006</v>
      </c>
      <c r="G20" t="s">
        <v>610</v>
      </c>
      <c r="H20">
        <v>91</v>
      </c>
    </row>
    <row r="21" spans="1:8" x14ac:dyDescent="0.35">
      <c r="A21" s="8">
        <v>45481</v>
      </c>
      <c r="B21" s="9" t="s">
        <v>33</v>
      </c>
      <c r="C21">
        <v>1757</v>
      </c>
      <c r="D21">
        <v>85</v>
      </c>
      <c r="E21">
        <v>58223</v>
      </c>
      <c r="F21">
        <v>8.74</v>
      </c>
      <c r="G21" t="s">
        <v>611</v>
      </c>
      <c r="H21">
        <v>1672</v>
      </c>
    </row>
    <row r="22" spans="1:8" x14ac:dyDescent="0.35">
      <c r="A22" s="8">
        <v>45481</v>
      </c>
      <c r="B22" s="9" t="s">
        <v>43</v>
      </c>
      <c r="C22">
        <v>350</v>
      </c>
      <c r="D22">
        <v>41</v>
      </c>
      <c r="E22">
        <v>251694</v>
      </c>
      <c r="F22">
        <v>1.91</v>
      </c>
      <c r="G22" t="s">
        <v>612</v>
      </c>
      <c r="H22">
        <v>309</v>
      </c>
    </row>
    <row r="23" spans="1:8" x14ac:dyDescent="0.35">
      <c r="A23" s="8">
        <v>45481</v>
      </c>
      <c r="B23" s="9" t="s">
        <v>14</v>
      </c>
      <c r="C23">
        <v>987</v>
      </c>
      <c r="D23">
        <v>440</v>
      </c>
      <c r="E23">
        <v>389810</v>
      </c>
      <c r="F23">
        <v>4.66</v>
      </c>
      <c r="G23" t="s">
        <v>613</v>
      </c>
      <c r="H23">
        <v>547</v>
      </c>
    </row>
    <row r="24" spans="1:8" x14ac:dyDescent="0.35">
      <c r="A24" s="8">
        <v>45481</v>
      </c>
      <c r="B24" s="9" t="s">
        <v>27</v>
      </c>
      <c r="C24">
        <v>883</v>
      </c>
      <c r="D24">
        <v>369</v>
      </c>
      <c r="E24">
        <v>233694</v>
      </c>
      <c r="F24">
        <v>2.88</v>
      </c>
      <c r="G24" t="s">
        <v>614</v>
      </c>
      <c r="H24">
        <v>514</v>
      </c>
    </row>
    <row r="25" spans="1:8" x14ac:dyDescent="0.35">
      <c r="A25" s="8">
        <v>45488</v>
      </c>
      <c r="B25" s="9" t="s">
        <v>33</v>
      </c>
      <c r="C25">
        <v>1960</v>
      </c>
      <c r="D25">
        <v>115</v>
      </c>
      <c r="E25">
        <v>154169</v>
      </c>
      <c r="F25">
        <v>3.74</v>
      </c>
      <c r="G25" t="s">
        <v>615</v>
      </c>
      <c r="H25">
        <v>1845</v>
      </c>
    </row>
    <row r="26" spans="1:8" x14ac:dyDescent="0.35">
      <c r="A26" s="8">
        <v>45488</v>
      </c>
      <c r="B26" s="9" t="s">
        <v>43</v>
      </c>
      <c r="C26">
        <v>170</v>
      </c>
      <c r="D26">
        <v>334</v>
      </c>
      <c r="E26">
        <v>334626</v>
      </c>
      <c r="F26">
        <v>6.44</v>
      </c>
      <c r="G26" t="s">
        <v>616</v>
      </c>
      <c r="H26">
        <v>-164</v>
      </c>
    </row>
    <row r="27" spans="1:8" x14ac:dyDescent="0.35">
      <c r="A27" s="8">
        <v>45488</v>
      </c>
      <c r="B27" s="9" t="s">
        <v>14</v>
      </c>
      <c r="C27">
        <v>704</v>
      </c>
      <c r="D27">
        <v>275</v>
      </c>
      <c r="E27">
        <v>226002</v>
      </c>
      <c r="F27">
        <v>8.56</v>
      </c>
      <c r="G27" t="s">
        <v>617</v>
      </c>
      <c r="H27">
        <v>429</v>
      </c>
    </row>
    <row r="28" spans="1:8" x14ac:dyDescent="0.35">
      <c r="A28" s="8">
        <v>45488</v>
      </c>
      <c r="B28" s="9" t="s">
        <v>27</v>
      </c>
      <c r="C28">
        <v>224</v>
      </c>
      <c r="D28">
        <v>64</v>
      </c>
      <c r="E28">
        <v>156683</v>
      </c>
      <c r="F28">
        <v>4.5599999999999996</v>
      </c>
      <c r="G28" t="s">
        <v>618</v>
      </c>
      <c r="H28">
        <v>160</v>
      </c>
    </row>
    <row r="29" spans="1:8" x14ac:dyDescent="0.35">
      <c r="A29" s="8">
        <v>45495</v>
      </c>
      <c r="B29" s="9" t="s">
        <v>33</v>
      </c>
      <c r="C29">
        <v>508</v>
      </c>
      <c r="D29">
        <v>349</v>
      </c>
      <c r="E29">
        <v>473812</v>
      </c>
      <c r="F29">
        <v>7.88</v>
      </c>
      <c r="G29" t="s">
        <v>619</v>
      </c>
      <c r="H29">
        <v>159</v>
      </c>
    </row>
    <row r="30" spans="1:8" x14ac:dyDescent="0.35">
      <c r="A30" s="8">
        <v>45495</v>
      </c>
      <c r="B30" s="9" t="s">
        <v>43</v>
      </c>
      <c r="C30">
        <v>1391</v>
      </c>
      <c r="D30">
        <v>430</v>
      </c>
      <c r="E30">
        <v>295032</v>
      </c>
      <c r="F30">
        <v>7.86</v>
      </c>
      <c r="G30" t="s">
        <v>620</v>
      </c>
      <c r="H30">
        <v>961</v>
      </c>
    </row>
    <row r="31" spans="1:8" x14ac:dyDescent="0.35">
      <c r="A31" s="8">
        <v>45495</v>
      </c>
      <c r="B31" s="9" t="s">
        <v>14</v>
      </c>
      <c r="C31">
        <v>1701</v>
      </c>
      <c r="D31">
        <v>385</v>
      </c>
      <c r="E31">
        <v>198278</v>
      </c>
      <c r="F31">
        <v>5.34</v>
      </c>
      <c r="G31" t="s">
        <v>621</v>
      </c>
      <c r="H31">
        <v>1316</v>
      </c>
    </row>
    <row r="32" spans="1:8" x14ac:dyDescent="0.35">
      <c r="A32" s="8">
        <v>45495</v>
      </c>
      <c r="B32" s="9" t="s">
        <v>27</v>
      </c>
      <c r="C32">
        <v>804</v>
      </c>
      <c r="D32">
        <v>487</v>
      </c>
      <c r="E32">
        <v>306564</v>
      </c>
      <c r="F32">
        <v>5.52</v>
      </c>
      <c r="G32" t="s">
        <v>622</v>
      </c>
      <c r="H32">
        <v>317</v>
      </c>
    </row>
    <row r="33" spans="1:8" x14ac:dyDescent="0.35">
      <c r="A33" s="8">
        <v>45502</v>
      </c>
      <c r="B33" s="9" t="s">
        <v>33</v>
      </c>
      <c r="C33">
        <v>653</v>
      </c>
      <c r="D33">
        <v>112</v>
      </c>
      <c r="E33">
        <v>23664</v>
      </c>
      <c r="F33">
        <v>4.05</v>
      </c>
      <c r="G33" t="s">
        <v>623</v>
      </c>
      <c r="H33">
        <v>541</v>
      </c>
    </row>
    <row r="34" spans="1:8" x14ac:dyDescent="0.35">
      <c r="A34" s="8">
        <v>45502</v>
      </c>
      <c r="B34" s="9" t="s">
        <v>43</v>
      </c>
      <c r="C34">
        <v>160</v>
      </c>
      <c r="D34">
        <v>478</v>
      </c>
      <c r="E34">
        <v>435034</v>
      </c>
      <c r="F34">
        <v>7.73</v>
      </c>
      <c r="G34" t="s">
        <v>624</v>
      </c>
      <c r="H34">
        <v>-318</v>
      </c>
    </row>
    <row r="35" spans="1:8" x14ac:dyDescent="0.35">
      <c r="A35" s="8">
        <v>45502</v>
      </c>
      <c r="B35" s="9" t="s">
        <v>14</v>
      </c>
      <c r="C35">
        <v>1756</v>
      </c>
      <c r="D35">
        <v>261</v>
      </c>
      <c r="E35">
        <v>287574</v>
      </c>
      <c r="F35">
        <v>4.3600000000000003</v>
      </c>
      <c r="G35" t="s">
        <v>625</v>
      </c>
      <c r="H35">
        <v>1495</v>
      </c>
    </row>
    <row r="36" spans="1:8" x14ac:dyDescent="0.35">
      <c r="A36" s="8">
        <v>45502</v>
      </c>
      <c r="B36" s="9" t="s">
        <v>27</v>
      </c>
      <c r="C36">
        <v>576</v>
      </c>
      <c r="D36">
        <v>101</v>
      </c>
      <c r="E36">
        <v>62499</v>
      </c>
      <c r="F36">
        <v>3.48</v>
      </c>
      <c r="G36" t="s">
        <v>626</v>
      </c>
      <c r="H36">
        <v>475</v>
      </c>
    </row>
    <row r="37" spans="1:8" x14ac:dyDescent="0.35">
      <c r="A37" s="8">
        <v>45509</v>
      </c>
      <c r="B37" s="9" t="s">
        <v>33</v>
      </c>
      <c r="C37">
        <v>645</v>
      </c>
      <c r="D37">
        <v>293</v>
      </c>
      <c r="E37">
        <v>437968</v>
      </c>
      <c r="F37">
        <v>7.83</v>
      </c>
      <c r="G37" t="s">
        <v>627</v>
      </c>
      <c r="H37">
        <v>352</v>
      </c>
    </row>
    <row r="38" spans="1:8" x14ac:dyDescent="0.35">
      <c r="A38" s="8">
        <v>45509</v>
      </c>
      <c r="B38" s="9" t="s">
        <v>43</v>
      </c>
      <c r="C38">
        <v>214</v>
      </c>
      <c r="D38">
        <v>411</v>
      </c>
      <c r="E38">
        <v>125034</v>
      </c>
      <c r="F38">
        <v>6.11</v>
      </c>
      <c r="G38" t="s">
        <v>628</v>
      </c>
      <c r="H38">
        <v>-197</v>
      </c>
    </row>
    <row r="39" spans="1:8" x14ac:dyDescent="0.35">
      <c r="A39" s="8">
        <v>45509</v>
      </c>
      <c r="B39" s="9" t="s">
        <v>14</v>
      </c>
      <c r="C39">
        <v>826</v>
      </c>
      <c r="D39">
        <v>498</v>
      </c>
      <c r="E39">
        <v>449994</v>
      </c>
      <c r="F39">
        <v>9.43</v>
      </c>
      <c r="G39" t="s">
        <v>629</v>
      </c>
      <c r="H39">
        <v>328</v>
      </c>
    </row>
    <row r="40" spans="1:8" x14ac:dyDescent="0.35">
      <c r="A40" s="8">
        <v>45509</v>
      </c>
      <c r="B40" s="9" t="s">
        <v>27</v>
      </c>
      <c r="C40">
        <v>460</v>
      </c>
      <c r="D40">
        <v>141</v>
      </c>
      <c r="E40">
        <v>320650</v>
      </c>
      <c r="F40">
        <v>4.04</v>
      </c>
      <c r="G40" t="s">
        <v>630</v>
      </c>
      <c r="H40">
        <v>319</v>
      </c>
    </row>
    <row r="41" spans="1:8" x14ac:dyDescent="0.35">
      <c r="A41" s="8">
        <v>45516</v>
      </c>
      <c r="B41" s="9" t="s">
        <v>33</v>
      </c>
      <c r="C41">
        <v>1528</v>
      </c>
      <c r="D41">
        <v>203</v>
      </c>
      <c r="E41">
        <v>489188</v>
      </c>
      <c r="F41">
        <v>6.23</v>
      </c>
      <c r="G41" t="s">
        <v>631</v>
      </c>
      <c r="H41">
        <v>1325</v>
      </c>
    </row>
    <row r="42" spans="1:8" x14ac:dyDescent="0.35">
      <c r="A42" s="8">
        <v>45516</v>
      </c>
      <c r="B42" s="9" t="s">
        <v>43</v>
      </c>
      <c r="C42">
        <v>1534</v>
      </c>
      <c r="D42">
        <v>200</v>
      </c>
      <c r="E42">
        <v>307612</v>
      </c>
      <c r="F42">
        <v>6.01</v>
      </c>
      <c r="G42" t="s">
        <v>632</v>
      </c>
      <c r="H42">
        <v>1334</v>
      </c>
    </row>
    <row r="43" spans="1:8" x14ac:dyDescent="0.35">
      <c r="A43" s="8">
        <v>45516</v>
      </c>
      <c r="B43" s="9" t="s">
        <v>14</v>
      </c>
      <c r="C43">
        <v>485</v>
      </c>
      <c r="D43">
        <v>448</v>
      </c>
      <c r="E43">
        <v>434883</v>
      </c>
      <c r="F43">
        <v>8.5500000000000007</v>
      </c>
      <c r="G43" t="s">
        <v>633</v>
      </c>
      <c r="H43">
        <v>37</v>
      </c>
    </row>
    <row r="44" spans="1:8" x14ac:dyDescent="0.35">
      <c r="A44" s="8">
        <v>45516</v>
      </c>
      <c r="B44" s="9" t="s">
        <v>27</v>
      </c>
      <c r="C44">
        <v>1210</v>
      </c>
      <c r="D44">
        <v>178</v>
      </c>
      <c r="E44">
        <v>102042</v>
      </c>
      <c r="F44">
        <v>5.42</v>
      </c>
      <c r="G44" t="s">
        <v>634</v>
      </c>
      <c r="H44">
        <v>1032</v>
      </c>
    </row>
    <row r="45" spans="1:8" x14ac:dyDescent="0.35">
      <c r="A45" s="8">
        <v>45523</v>
      </c>
      <c r="B45" s="9" t="s">
        <v>33</v>
      </c>
      <c r="C45">
        <v>215</v>
      </c>
      <c r="D45">
        <v>139</v>
      </c>
      <c r="E45">
        <v>325444</v>
      </c>
      <c r="F45">
        <v>3.25</v>
      </c>
      <c r="G45" t="s">
        <v>635</v>
      </c>
      <c r="H45">
        <v>76</v>
      </c>
    </row>
    <row r="46" spans="1:8" x14ac:dyDescent="0.35">
      <c r="A46" s="8">
        <v>45523</v>
      </c>
      <c r="B46" s="9" t="s">
        <v>43</v>
      </c>
      <c r="C46">
        <v>1078</v>
      </c>
      <c r="D46">
        <v>20</v>
      </c>
      <c r="E46">
        <v>183924</v>
      </c>
      <c r="F46">
        <v>8.84</v>
      </c>
      <c r="G46" t="s">
        <v>636</v>
      </c>
      <c r="H46">
        <v>1058</v>
      </c>
    </row>
    <row r="47" spans="1:8" x14ac:dyDescent="0.35">
      <c r="A47" s="8">
        <v>45523</v>
      </c>
      <c r="B47" s="9" t="s">
        <v>14</v>
      </c>
      <c r="C47">
        <v>1751</v>
      </c>
      <c r="D47">
        <v>86</v>
      </c>
      <c r="E47">
        <v>188655</v>
      </c>
      <c r="F47">
        <v>7.24</v>
      </c>
      <c r="G47" t="s">
        <v>637</v>
      </c>
      <c r="H47">
        <v>1665</v>
      </c>
    </row>
    <row r="48" spans="1:8" x14ac:dyDescent="0.35">
      <c r="A48" s="8">
        <v>45523</v>
      </c>
      <c r="B48" s="9" t="s">
        <v>27</v>
      </c>
      <c r="C48">
        <v>221</v>
      </c>
      <c r="D48">
        <v>31</v>
      </c>
      <c r="E48">
        <v>87443</v>
      </c>
      <c r="F48">
        <v>6.19</v>
      </c>
      <c r="G48" t="s">
        <v>638</v>
      </c>
      <c r="H48">
        <v>190</v>
      </c>
    </row>
    <row r="49" spans="1:8" x14ac:dyDescent="0.35">
      <c r="A49" s="8">
        <v>45530</v>
      </c>
      <c r="B49" s="9" t="s">
        <v>33</v>
      </c>
      <c r="C49">
        <v>1685</v>
      </c>
      <c r="D49">
        <v>76</v>
      </c>
      <c r="E49">
        <v>453799</v>
      </c>
      <c r="F49">
        <v>5.71</v>
      </c>
      <c r="G49" t="s">
        <v>639</v>
      </c>
      <c r="H49">
        <v>1609</v>
      </c>
    </row>
    <row r="50" spans="1:8" x14ac:dyDescent="0.35">
      <c r="A50" s="8">
        <v>45530</v>
      </c>
      <c r="B50" s="9" t="s">
        <v>43</v>
      </c>
      <c r="C50">
        <v>248</v>
      </c>
      <c r="D50">
        <v>211</v>
      </c>
      <c r="E50">
        <v>379380</v>
      </c>
      <c r="F50">
        <v>9.0399999999999991</v>
      </c>
      <c r="G50" t="s">
        <v>640</v>
      </c>
      <c r="H50">
        <v>37</v>
      </c>
    </row>
    <row r="51" spans="1:8" x14ac:dyDescent="0.35">
      <c r="A51" s="8">
        <v>45530</v>
      </c>
      <c r="B51" s="9" t="s">
        <v>14</v>
      </c>
      <c r="C51">
        <v>1300</v>
      </c>
      <c r="D51">
        <v>71</v>
      </c>
      <c r="E51">
        <v>186454</v>
      </c>
      <c r="F51">
        <v>3.91</v>
      </c>
      <c r="G51" t="s">
        <v>641</v>
      </c>
      <c r="H51">
        <v>1229</v>
      </c>
    </row>
    <row r="52" spans="1:8" x14ac:dyDescent="0.35">
      <c r="A52" s="8">
        <v>45530</v>
      </c>
      <c r="B52" s="9" t="s">
        <v>27</v>
      </c>
      <c r="C52">
        <v>422</v>
      </c>
      <c r="D52">
        <v>394</v>
      </c>
      <c r="E52">
        <v>239044</v>
      </c>
      <c r="F52">
        <v>7.83</v>
      </c>
      <c r="G52" t="s">
        <v>642</v>
      </c>
      <c r="H52">
        <v>28</v>
      </c>
    </row>
    <row r="53" spans="1:8" x14ac:dyDescent="0.35">
      <c r="A53" s="8">
        <v>45537</v>
      </c>
      <c r="B53" s="9" t="s">
        <v>33</v>
      </c>
      <c r="C53">
        <v>1429</v>
      </c>
      <c r="D53">
        <v>182</v>
      </c>
      <c r="E53">
        <v>101332</v>
      </c>
      <c r="F53">
        <v>7.16</v>
      </c>
      <c r="G53" t="s">
        <v>643</v>
      </c>
      <c r="H53">
        <v>1247</v>
      </c>
    </row>
    <row r="54" spans="1:8" x14ac:dyDescent="0.35">
      <c r="A54" s="8">
        <v>45537</v>
      </c>
      <c r="B54" s="9" t="s">
        <v>43</v>
      </c>
      <c r="C54">
        <v>1520</v>
      </c>
      <c r="D54">
        <v>475</v>
      </c>
      <c r="E54">
        <v>496982</v>
      </c>
      <c r="F54">
        <v>6.41</v>
      </c>
      <c r="G54" t="s">
        <v>644</v>
      </c>
      <c r="H54">
        <v>1045</v>
      </c>
    </row>
    <row r="55" spans="1:8" x14ac:dyDescent="0.35">
      <c r="A55" s="8">
        <v>45537</v>
      </c>
      <c r="B55" s="9" t="s">
        <v>14</v>
      </c>
      <c r="C55">
        <v>557</v>
      </c>
      <c r="D55">
        <v>360</v>
      </c>
      <c r="E55">
        <v>318779</v>
      </c>
      <c r="F55">
        <v>8.02</v>
      </c>
      <c r="G55" t="s">
        <v>645</v>
      </c>
      <c r="H55">
        <v>197</v>
      </c>
    </row>
    <row r="56" spans="1:8" x14ac:dyDescent="0.35">
      <c r="A56" s="8">
        <v>45537</v>
      </c>
      <c r="B56" s="9" t="s">
        <v>27</v>
      </c>
      <c r="C56">
        <v>728</v>
      </c>
      <c r="D56">
        <v>395</v>
      </c>
      <c r="E56">
        <v>370971</v>
      </c>
      <c r="F56">
        <v>3.86</v>
      </c>
      <c r="G56" t="s">
        <v>646</v>
      </c>
      <c r="H56">
        <v>333</v>
      </c>
    </row>
    <row r="57" spans="1:8" x14ac:dyDescent="0.35">
      <c r="A57" s="8">
        <v>45544</v>
      </c>
      <c r="B57" s="9" t="s">
        <v>33</v>
      </c>
      <c r="C57">
        <v>1592</v>
      </c>
      <c r="D57">
        <v>20</v>
      </c>
      <c r="E57">
        <v>378054</v>
      </c>
      <c r="F57">
        <v>9.09</v>
      </c>
      <c r="G57" t="s">
        <v>647</v>
      </c>
      <c r="H57">
        <v>1572</v>
      </c>
    </row>
    <row r="58" spans="1:8" x14ac:dyDescent="0.35">
      <c r="A58" s="8">
        <v>45544</v>
      </c>
      <c r="B58" s="9" t="s">
        <v>43</v>
      </c>
      <c r="C58">
        <v>1842</v>
      </c>
      <c r="D58">
        <v>414</v>
      </c>
      <c r="E58">
        <v>307524</v>
      </c>
      <c r="F58">
        <v>1.76</v>
      </c>
      <c r="G58" t="s">
        <v>648</v>
      </c>
      <c r="H58">
        <v>1428</v>
      </c>
    </row>
    <row r="59" spans="1:8" x14ac:dyDescent="0.35">
      <c r="A59" s="8">
        <v>45544</v>
      </c>
      <c r="B59" s="9" t="s">
        <v>14</v>
      </c>
      <c r="C59">
        <v>751</v>
      </c>
      <c r="D59">
        <v>491</v>
      </c>
      <c r="E59">
        <v>434047</v>
      </c>
      <c r="F59">
        <v>9.24</v>
      </c>
      <c r="G59" t="s">
        <v>649</v>
      </c>
      <c r="H59">
        <v>260</v>
      </c>
    </row>
    <row r="60" spans="1:8" x14ac:dyDescent="0.35">
      <c r="A60" s="8">
        <v>45544</v>
      </c>
      <c r="B60" s="9" t="s">
        <v>27</v>
      </c>
      <c r="C60">
        <v>1409</v>
      </c>
      <c r="D60">
        <v>309</v>
      </c>
      <c r="E60">
        <v>64583</v>
      </c>
      <c r="F60">
        <v>8.99</v>
      </c>
      <c r="G60" t="s">
        <v>650</v>
      </c>
      <c r="H60">
        <v>1100</v>
      </c>
    </row>
    <row r="61" spans="1:8" x14ac:dyDescent="0.35">
      <c r="A61" s="8">
        <v>45551</v>
      </c>
      <c r="B61" s="9" t="s">
        <v>33</v>
      </c>
      <c r="C61">
        <v>778</v>
      </c>
      <c r="D61">
        <v>401</v>
      </c>
      <c r="E61">
        <v>50793</v>
      </c>
      <c r="F61">
        <v>3.4</v>
      </c>
      <c r="G61" t="s">
        <v>651</v>
      </c>
      <c r="H61">
        <v>377</v>
      </c>
    </row>
    <row r="62" spans="1:8" x14ac:dyDescent="0.35">
      <c r="A62" s="8">
        <v>45551</v>
      </c>
      <c r="B62" s="9" t="s">
        <v>43</v>
      </c>
      <c r="C62">
        <v>443</v>
      </c>
      <c r="D62">
        <v>345</v>
      </c>
      <c r="E62">
        <v>474162</v>
      </c>
      <c r="F62">
        <v>9.1999999999999993</v>
      </c>
      <c r="G62" t="s">
        <v>652</v>
      </c>
      <c r="H62">
        <v>98</v>
      </c>
    </row>
    <row r="63" spans="1:8" x14ac:dyDescent="0.35">
      <c r="A63" s="8">
        <v>45551</v>
      </c>
      <c r="B63" s="9" t="s">
        <v>14</v>
      </c>
      <c r="C63">
        <v>1472</v>
      </c>
      <c r="D63">
        <v>347</v>
      </c>
      <c r="E63">
        <v>392355</v>
      </c>
      <c r="F63">
        <v>8.59</v>
      </c>
      <c r="G63" t="s">
        <v>653</v>
      </c>
      <c r="H63">
        <v>1125</v>
      </c>
    </row>
    <row r="64" spans="1:8" x14ac:dyDescent="0.35">
      <c r="A64" s="8">
        <v>45551</v>
      </c>
      <c r="B64" s="9" t="s">
        <v>27</v>
      </c>
      <c r="C64">
        <v>123</v>
      </c>
      <c r="D64">
        <v>155</v>
      </c>
      <c r="E64">
        <v>119934</v>
      </c>
      <c r="F64">
        <v>3.5</v>
      </c>
      <c r="G64" t="s">
        <v>654</v>
      </c>
      <c r="H64">
        <v>-32</v>
      </c>
    </row>
    <row r="65" spans="1:8" x14ac:dyDescent="0.35">
      <c r="A65" s="8">
        <v>45558</v>
      </c>
      <c r="B65" s="9" t="s">
        <v>33</v>
      </c>
      <c r="C65">
        <v>817</v>
      </c>
      <c r="D65">
        <v>151</v>
      </c>
      <c r="E65">
        <v>422625</v>
      </c>
      <c r="F65">
        <v>2.36</v>
      </c>
      <c r="G65" t="s">
        <v>655</v>
      </c>
      <c r="H65">
        <v>666</v>
      </c>
    </row>
    <row r="66" spans="1:8" x14ac:dyDescent="0.35">
      <c r="A66" s="8">
        <v>45558</v>
      </c>
      <c r="B66" s="9" t="s">
        <v>43</v>
      </c>
      <c r="C66">
        <v>198</v>
      </c>
      <c r="D66">
        <v>217</v>
      </c>
      <c r="E66">
        <v>239753</v>
      </c>
      <c r="F66">
        <v>7.36</v>
      </c>
      <c r="G66" t="s">
        <v>656</v>
      </c>
      <c r="H66">
        <v>-19</v>
      </c>
    </row>
    <row r="67" spans="1:8" x14ac:dyDescent="0.35">
      <c r="A67" s="8">
        <v>45558</v>
      </c>
      <c r="B67" s="9" t="s">
        <v>14</v>
      </c>
      <c r="C67">
        <v>1911</v>
      </c>
      <c r="D67">
        <v>231</v>
      </c>
      <c r="E67">
        <v>268516</v>
      </c>
      <c r="F67">
        <v>8.5500000000000007</v>
      </c>
      <c r="G67" t="s">
        <v>657</v>
      </c>
      <c r="H67">
        <v>1680</v>
      </c>
    </row>
    <row r="68" spans="1:8" x14ac:dyDescent="0.35">
      <c r="A68" s="8">
        <v>45558</v>
      </c>
      <c r="B68" s="9" t="s">
        <v>27</v>
      </c>
      <c r="C68">
        <v>1218</v>
      </c>
      <c r="D68">
        <v>212</v>
      </c>
      <c r="E68">
        <v>63177</v>
      </c>
      <c r="F68">
        <v>8.1300000000000008</v>
      </c>
      <c r="G68" t="s">
        <v>658</v>
      </c>
      <c r="H68">
        <v>1006</v>
      </c>
    </row>
    <row r="69" spans="1:8" x14ac:dyDescent="0.35">
      <c r="A69" s="8">
        <v>45565</v>
      </c>
      <c r="B69" s="9" t="s">
        <v>33</v>
      </c>
      <c r="C69">
        <v>1433</v>
      </c>
      <c r="D69">
        <v>408</v>
      </c>
      <c r="E69">
        <v>370269</v>
      </c>
      <c r="F69">
        <v>3.3</v>
      </c>
      <c r="G69" t="s">
        <v>659</v>
      </c>
      <c r="H69">
        <v>1025</v>
      </c>
    </row>
    <row r="70" spans="1:8" x14ac:dyDescent="0.35">
      <c r="A70" s="8">
        <v>45565</v>
      </c>
      <c r="B70" s="9" t="s">
        <v>43</v>
      </c>
      <c r="C70">
        <v>250</v>
      </c>
      <c r="D70">
        <v>429</v>
      </c>
      <c r="E70">
        <v>453423</v>
      </c>
      <c r="F70">
        <v>1.77</v>
      </c>
      <c r="G70" t="s">
        <v>660</v>
      </c>
      <c r="H70">
        <v>-179</v>
      </c>
    </row>
    <row r="71" spans="1:8" x14ac:dyDescent="0.35">
      <c r="A71" s="8">
        <v>45565</v>
      </c>
      <c r="B71" s="9" t="s">
        <v>14</v>
      </c>
      <c r="C71">
        <v>752</v>
      </c>
      <c r="D71">
        <v>153</v>
      </c>
      <c r="E71">
        <v>64906</v>
      </c>
      <c r="F71">
        <v>2.09</v>
      </c>
      <c r="G71" t="s">
        <v>661</v>
      </c>
      <c r="H71">
        <v>599</v>
      </c>
    </row>
    <row r="72" spans="1:8" x14ac:dyDescent="0.35">
      <c r="A72" s="8">
        <v>45565</v>
      </c>
      <c r="B72" s="9" t="s">
        <v>27</v>
      </c>
      <c r="C72">
        <v>1918</v>
      </c>
      <c r="D72">
        <v>212</v>
      </c>
      <c r="E72">
        <v>94360</v>
      </c>
      <c r="F72">
        <v>7.36</v>
      </c>
      <c r="G72" t="s">
        <v>662</v>
      </c>
      <c r="H72">
        <v>1706</v>
      </c>
    </row>
    <row r="73" spans="1:8" x14ac:dyDescent="0.35">
      <c r="A73" s="8">
        <v>45572</v>
      </c>
      <c r="B73" s="9" t="s">
        <v>33</v>
      </c>
      <c r="C73">
        <v>1939</v>
      </c>
      <c r="D73">
        <v>67</v>
      </c>
      <c r="E73">
        <v>187183</v>
      </c>
      <c r="F73">
        <v>6.25</v>
      </c>
      <c r="G73" t="s">
        <v>663</v>
      </c>
      <c r="H73">
        <v>1872</v>
      </c>
    </row>
    <row r="74" spans="1:8" x14ac:dyDescent="0.35">
      <c r="A74" s="8">
        <v>45572</v>
      </c>
      <c r="B74" s="9" t="s">
        <v>43</v>
      </c>
      <c r="C74">
        <v>1929</v>
      </c>
      <c r="D74">
        <v>267</v>
      </c>
      <c r="E74">
        <v>379363</v>
      </c>
      <c r="F74">
        <v>1.75</v>
      </c>
      <c r="G74" t="s">
        <v>664</v>
      </c>
      <c r="H74">
        <v>1662</v>
      </c>
    </row>
    <row r="75" spans="1:8" x14ac:dyDescent="0.35">
      <c r="A75" s="8">
        <v>45572</v>
      </c>
      <c r="B75" s="9" t="s">
        <v>14</v>
      </c>
      <c r="C75">
        <v>437</v>
      </c>
      <c r="D75">
        <v>330</v>
      </c>
      <c r="E75">
        <v>476486</v>
      </c>
      <c r="F75">
        <v>4.97</v>
      </c>
      <c r="G75" t="s">
        <v>665</v>
      </c>
      <c r="H75">
        <v>107</v>
      </c>
    </row>
    <row r="76" spans="1:8" x14ac:dyDescent="0.35">
      <c r="A76" s="8">
        <v>45572</v>
      </c>
      <c r="B76" s="9" t="s">
        <v>27</v>
      </c>
      <c r="C76">
        <v>307</v>
      </c>
      <c r="D76">
        <v>189</v>
      </c>
      <c r="E76">
        <v>117767</v>
      </c>
      <c r="F76">
        <v>9.3000000000000007</v>
      </c>
      <c r="G76" t="s">
        <v>666</v>
      </c>
      <c r="H76">
        <v>118</v>
      </c>
    </row>
    <row r="77" spans="1:8" x14ac:dyDescent="0.35">
      <c r="A77" s="8">
        <v>45579</v>
      </c>
      <c r="B77" s="9" t="s">
        <v>33</v>
      </c>
      <c r="C77">
        <v>1527</v>
      </c>
      <c r="D77">
        <v>303</v>
      </c>
      <c r="E77">
        <v>388555</v>
      </c>
      <c r="F77">
        <v>8.9</v>
      </c>
      <c r="G77" t="s">
        <v>667</v>
      </c>
      <c r="H77">
        <v>1224</v>
      </c>
    </row>
    <row r="78" spans="1:8" x14ac:dyDescent="0.35">
      <c r="A78" s="8">
        <v>45579</v>
      </c>
      <c r="B78" s="9" t="s">
        <v>43</v>
      </c>
      <c r="C78">
        <v>643</v>
      </c>
      <c r="D78">
        <v>358</v>
      </c>
      <c r="E78">
        <v>157599</v>
      </c>
      <c r="F78">
        <v>3.88</v>
      </c>
      <c r="G78" t="s">
        <v>668</v>
      </c>
      <c r="H78">
        <v>285</v>
      </c>
    </row>
    <row r="79" spans="1:8" x14ac:dyDescent="0.35">
      <c r="A79" s="8">
        <v>45579</v>
      </c>
      <c r="B79" s="9" t="s">
        <v>14</v>
      </c>
      <c r="C79">
        <v>201</v>
      </c>
      <c r="D79">
        <v>221</v>
      </c>
      <c r="E79">
        <v>309772</v>
      </c>
      <c r="F79">
        <v>5.9</v>
      </c>
      <c r="G79" t="s">
        <v>669</v>
      </c>
      <c r="H79">
        <v>-20</v>
      </c>
    </row>
    <row r="80" spans="1:8" x14ac:dyDescent="0.35">
      <c r="A80" s="8">
        <v>45579</v>
      </c>
      <c r="B80" s="9" t="s">
        <v>27</v>
      </c>
      <c r="C80">
        <v>414</v>
      </c>
      <c r="D80">
        <v>47</v>
      </c>
      <c r="E80">
        <v>199178</v>
      </c>
      <c r="F80">
        <v>1.53</v>
      </c>
      <c r="G80" t="s">
        <v>670</v>
      </c>
      <c r="H80">
        <v>367</v>
      </c>
    </row>
    <row r="81" spans="1:8" x14ac:dyDescent="0.35">
      <c r="A81" s="8">
        <v>45586</v>
      </c>
      <c r="B81" s="9" t="s">
        <v>33</v>
      </c>
      <c r="C81">
        <v>703</v>
      </c>
      <c r="D81">
        <v>441</v>
      </c>
      <c r="E81">
        <v>357089</v>
      </c>
      <c r="F81">
        <v>6.5</v>
      </c>
      <c r="G81" t="s">
        <v>671</v>
      </c>
      <c r="H81">
        <v>262</v>
      </c>
    </row>
    <row r="82" spans="1:8" x14ac:dyDescent="0.35">
      <c r="A82" s="8">
        <v>45586</v>
      </c>
      <c r="B82" s="9" t="s">
        <v>43</v>
      </c>
      <c r="C82">
        <v>508</v>
      </c>
      <c r="D82">
        <v>69</v>
      </c>
      <c r="E82">
        <v>23492</v>
      </c>
      <c r="F82">
        <v>3.16</v>
      </c>
      <c r="G82" t="s">
        <v>672</v>
      </c>
      <c r="H82">
        <v>439</v>
      </c>
    </row>
    <row r="83" spans="1:8" x14ac:dyDescent="0.35">
      <c r="A83" s="8">
        <v>45586</v>
      </c>
      <c r="B83" s="9" t="s">
        <v>14</v>
      </c>
      <c r="C83">
        <v>697</v>
      </c>
      <c r="D83">
        <v>61</v>
      </c>
      <c r="E83">
        <v>258287</v>
      </c>
      <c r="F83">
        <v>8.25</v>
      </c>
      <c r="G83" t="s">
        <v>673</v>
      </c>
      <c r="H83">
        <v>636</v>
      </c>
    </row>
    <row r="84" spans="1:8" x14ac:dyDescent="0.35">
      <c r="A84" s="8">
        <v>45586</v>
      </c>
      <c r="B84" s="9" t="s">
        <v>27</v>
      </c>
      <c r="C84">
        <v>1707</v>
      </c>
      <c r="D84">
        <v>223</v>
      </c>
      <c r="E84">
        <v>256910</v>
      </c>
      <c r="F84">
        <v>5.41</v>
      </c>
      <c r="G84" t="s">
        <v>674</v>
      </c>
      <c r="H84">
        <v>1484</v>
      </c>
    </row>
    <row r="85" spans="1:8" x14ac:dyDescent="0.35">
      <c r="A85" s="8">
        <v>45593</v>
      </c>
      <c r="B85" s="9" t="s">
        <v>33</v>
      </c>
      <c r="C85">
        <v>642</v>
      </c>
      <c r="D85">
        <v>66</v>
      </c>
      <c r="E85">
        <v>346522</v>
      </c>
      <c r="F85">
        <v>5.85</v>
      </c>
      <c r="G85" t="s">
        <v>675</v>
      </c>
      <c r="H85">
        <v>576</v>
      </c>
    </row>
    <row r="86" spans="1:8" x14ac:dyDescent="0.35">
      <c r="A86" s="8">
        <v>45593</v>
      </c>
      <c r="B86" s="9" t="s">
        <v>43</v>
      </c>
      <c r="C86">
        <v>859</v>
      </c>
      <c r="D86">
        <v>473</v>
      </c>
      <c r="E86">
        <v>209987</v>
      </c>
      <c r="F86">
        <v>4.46</v>
      </c>
      <c r="G86" t="s">
        <v>676</v>
      </c>
      <c r="H86">
        <v>386</v>
      </c>
    </row>
    <row r="87" spans="1:8" x14ac:dyDescent="0.35">
      <c r="A87" s="8">
        <v>45593</v>
      </c>
      <c r="B87" s="9" t="s">
        <v>14</v>
      </c>
      <c r="C87">
        <v>191</v>
      </c>
      <c r="D87">
        <v>154</v>
      </c>
      <c r="E87">
        <v>240550</v>
      </c>
      <c r="F87">
        <v>5.22</v>
      </c>
      <c r="G87" t="s">
        <v>677</v>
      </c>
      <c r="H87">
        <v>37</v>
      </c>
    </row>
    <row r="88" spans="1:8" x14ac:dyDescent="0.35">
      <c r="A88" s="8">
        <v>45593</v>
      </c>
      <c r="B88" s="9" t="s">
        <v>27</v>
      </c>
      <c r="C88">
        <v>1814</v>
      </c>
      <c r="D88">
        <v>157</v>
      </c>
      <c r="E88">
        <v>305827</v>
      </c>
      <c r="F88">
        <v>1.99</v>
      </c>
      <c r="G88" t="s">
        <v>678</v>
      </c>
      <c r="H88">
        <v>1657</v>
      </c>
    </row>
    <row r="89" spans="1:8" x14ac:dyDescent="0.35">
      <c r="A89" s="8">
        <v>45600</v>
      </c>
      <c r="B89" s="9" t="s">
        <v>33</v>
      </c>
      <c r="C89">
        <v>1466</v>
      </c>
      <c r="D89">
        <v>69</v>
      </c>
      <c r="E89">
        <v>54935</v>
      </c>
      <c r="F89">
        <v>6.85</v>
      </c>
      <c r="G89" t="s">
        <v>679</v>
      </c>
      <c r="H89">
        <v>1397</v>
      </c>
    </row>
    <row r="90" spans="1:8" x14ac:dyDescent="0.35">
      <c r="A90" s="8">
        <v>45600</v>
      </c>
      <c r="B90" s="9" t="s">
        <v>43</v>
      </c>
      <c r="C90">
        <v>947</v>
      </c>
      <c r="D90">
        <v>407</v>
      </c>
      <c r="E90">
        <v>319186</v>
      </c>
      <c r="F90">
        <v>3.32</v>
      </c>
      <c r="G90" t="s">
        <v>680</v>
      </c>
      <c r="H90">
        <v>540</v>
      </c>
    </row>
    <row r="91" spans="1:8" x14ac:dyDescent="0.35">
      <c r="A91" s="8">
        <v>45600</v>
      </c>
      <c r="B91" s="9" t="s">
        <v>14</v>
      </c>
      <c r="C91">
        <v>1821</v>
      </c>
      <c r="D91">
        <v>218</v>
      </c>
      <c r="E91">
        <v>439080</v>
      </c>
      <c r="F91">
        <v>5.68</v>
      </c>
      <c r="G91" t="s">
        <v>681</v>
      </c>
      <c r="H91">
        <v>1603</v>
      </c>
    </row>
    <row r="92" spans="1:8" x14ac:dyDescent="0.35">
      <c r="A92" s="8">
        <v>45600</v>
      </c>
      <c r="B92" s="9" t="s">
        <v>27</v>
      </c>
      <c r="C92">
        <v>1507</v>
      </c>
      <c r="D92">
        <v>463</v>
      </c>
      <c r="E92">
        <v>258944</v>
      </c>
      <c r="F92">
        <v>6.08</v>
      </c>
      <c r="G92" t="s">
        <v>682</v>
      </c>
      <c r="H92">
        <v>1044</v>
      </c>
    </row>
    <row r="93" spans="1:8" x14ac:dyDescent="0.35">
      <c r="A93" s="8">
        <v>45607</v>
      </c>
      <c r="B93" s="9" t="s">
        <v>33</v>
      </c>
      <c r="C93">
        <v>1075</v>
      </c>
      <c r="D93">
        <v>173</v>
      </c>
      <c r="E93">
        <v>51395</v>
      </c>
      <c r="F93">
        <v>4.66</v>
      </c>
      <c r="G93" t="s">
        <v>683</v>
      </c>
      <c r="H93">
        <v>902</v>
      </c>
    </row>
    <row r="94" spans="1:8" x14ac:dyDescent="0.35">
      <c r="A94" s="8">
        <v>45607</v>
      </c>
      <c r="B94" s="9" t="s">
        <v>43</v>
      </c>
      <c r="C94">
        <v>171</v>
      </c>
      <c r="D94">
        <v>277</v>
      </c>
      <c r="E94">
        <v>309483</v>
      </c>
      <c r="F94">
        <v>8.6999999999999993</v>
      </c>
      <c r="G94" t="s">
        <v>684</v>
      </c>
      <c r="H94">
        <v>-106</v>
      </c>
    </row>
    <row r="95" spans="1:8" x14ac:dyDescent="0.35">
      <c r="A95" s="8">
        <v>45607</v>
      </c>
      <c r="B95" s="9" t="s">
        <v>14</v>
      </c>
      <c r="C95">
        <v>1487</v>
      </c>
      <c r="D95">
        <v>337</v>
      </c>
      <c r="E95">
        <v>87305</v>
      </c>
      <c r="F95">
        <v>2.46</v>
      </c>
      <c r="G95" t="s">
        <v>685</v>
      </c>
      <c r="H95">
        <v>1150</v>
      </c>
    </row>
    <row r="96" spans="1:8" x14ac:dyDescent="0.35">
      <c r="A96" s="8">
        <v>45607</v>
      </c>
      <c r="B96" s="9" t="s">
        <v>27</v>
      </c>
      <c r="C96">
        <v>454</v>
      </c>
      <c r="D96">
        <v>105</v>
      </c>
      <c r="E96">
        <v>121091</v>
      </c>
      <c r="F96">
        <v>7.97</v>
      </c>
      <c r="G96" t="s">
        <v>686</v>
      </c>
      <c r="H96">
        <v>349</v>
      </c>
    </row>
    <row r="97" spans="1:8" x14ac:dyDescent="0.35">
      <c r="A97" s="8">
        <v>45614</v>
      </c>
      <c r="B97" s="9" t="s">
        <v>33</v>
      </c>
      <c r="C97">
        <v>187</v>
      </c>
      <c r="D97">
        <v>236</v>
      </c>
      <c r="E97">
        <v>51087</v>
      </c>
      <c r="F97">
        <v>9.41</v>
      </c>
      <c r="G97" t="s">
        <v>687</v>
      </c>
      <c r="H97">
        <v>-49</v>
      </c>
    </row>
    <row r="98" spans="1:8" x14ac:dyDescent="0.35">
      <c r="A98" s="8">
        <v>45614</v>
      </c>
      <c r="B98" s="9" t="s">
        <v>43</v>
      </c>
      <c r="C98">
        <v>513</v>
      </c>
      <c r="D98">
        <v>441</v>
      </c>
      <c r="E98">
        <v>338847</v>
      </c>
      <c r="F98">
        <v>2.68</v>
      </c>
      <c r="G98" t="s">
        <v>688</v>
      </c>
      <c r="H98">
        <v>72</v>
      </c>
    </row>
    <row r="99" spans="1:8" x14ac:dyDescent="0.35">
      <c r="A99" s="8">
        <v>45614</v>
      </c>
      <c r="B99" s="9" t="s">
        <v>14</v>
      </c>
      <c r="C99">
        <v>628</v>
      </c>
      <c r="D99">
        <v>183</v>
      </c>
      <c r="E99">
        <v>487523</v>
      </c>
      <c r="F99">
        <v>7.32</v>
      </c>
      <c r="G99" t="s">
        <v>689</v>
      </c>
      <c r="H99">
        <v>445</v>
      </c>
    </row>
    <row r="100" spans="1:8" x14ac:dyDescent="0.35">
      <c r="A100" s="8">
        <v>45614</v>
      </c>
      <c r="B100" s="9" t="s">
        <v>27</v>
      </c>
      <c r="C100">
        <v>278</v>
      </c>
      <c r="D100">
        <v>218</v>
      </c>
      <c r="E100">
        <v>301695</v>
      </c>
      <c r="F100">
        <v>4.68</v>
      </c>
      <c r="G100" t="s">
        <v>690</v>
      </c>
      <c r="H100">
        <v>60</v>
      </c>
    </row>
    <row r="101" spans="1:8" x14ac:dyDescent="0.35">
      <c r="A101" s="8">
        <v>45621</v>
      </c>
      <c r="B101" s="9" t="s">
        <v>33</v>
      </c>
      <c r="C101">
        <v>1854</v>
      </c>
      <c r="D101">
        <v>161</v>
      </c>
      <c r="E101">
        <v>282466</v>
      </c>
      <c r="F101">
        <v>5.17</v>
      </c>
      <c r="G101" t="s">
        <v>691</v>
      </c>
      <c r="H101">
        <v>1693</v>
      </c>
    </row>
    <row r="102" spans="1:8" x14ac:dyDescent="0.35">
      <c r="A102" s="8">
        <v>45621</v>
      </c>
      <c r="B102" s="9" t="s">
        <v>43</v>
      </c>
      <c r="C102">
        <v>1710</v>
      </c>
      <c r="D102">
        <v>378</v>
      </c>
      <c r="E102">
        <v>336661</v>
      </c>
      <c r="F102">
        <v>6.2</v>
      </c>
      <c r="G102" t="s">
        <v>692</v>
      </c>
      <c r="H102">
        <v>1332</v>
      </c>
    </row>
    <row r="103" spans="1:8" x14ac:dyDescent="0.35">
      <c r="A103" s="8">
        <v>45621</v>
      </c>
      <c r="B103" s="9" t="s">
        <v>14</v>
      </c>
      <c r="C103">
        <v>330</v>
      </c>
      <c r="D103">
        <v>232</v>
      </c>
      <c r="E103">
        <v>88455</v>
      </c>
      <c r="F103">
        <v>2.69</v>
      </c>
      <c r="G103" t="s">
        <v>693</v>
      </c>
      <c r="H103">
        <v>98</v>
      </c>
    </row>
    <row r="104" spans="1:8" x14ac:dyDescent="0.35">
      <c r="A104" s="8">
        <v>45621</v>
      </c>
      <c r="B104" s="9" t="s">
        <v>27</v>
      </c>
      <c r="C104">
        <v>1293</v>
      </c>
      <c r="D104">
        <v>408</v>
      </c>
      <c r="E104">
        <v>62535</v>
      </c>
      <c r="F104">
        <v>8.9</v>
      </c>
      <c r="G104" t="s">
        <v>694</v>
      </c>
      <c r="H104">
        <v>885</v>
      </c>
    </row>
    <row r="105" spans="1:8" x14ac:dyDescent="0.35">
      <c r="A105" s="8">
        <v>45628</v>
      </c>
      <c r="B105" s="9" t="s">
        <v>33</v>
      </c>
      <c r="C105">
        <v>1696</v>
      </c>
      <c r="D105">
        <v>71</v>
      </c>
      <c r="E105">
        <v>421957</v>
      </c>
      <c r="F105">
        <v>3.79</v>
      </c>
      <c r="G105" t="s">
        <v>695</v>
      </c>
      <c r="H105">
        <v>1625</v>
      </c>
    </row>
    <row r="106" spans="1:8" x14ac:dyDescent="0.35">
      <c r="A106" s="8">
        <v>45628</v>
      </c>
      <c r="B106" s="9" t="s">
        <v>43</v>
      </c>
      <c r="C106">
        <v>1902</v>
      </c>
      <c r="D106">
        <v>196</v>
      </c>
      <c r="E106">
        <v>470269</v>
      </c>
      <c r="F106">
        <v>4.79</v>
      </c>
      <c r="G106" t="s">
        <v>696</v>
      </c>
      <c r="H106">
        <v>1706</v>
      </c>
    </row>
    <row r="107" spans="1:8" x14ac:dyDescent="0.35">
      <c r="A107" s="8">
        <v>45628</v>
      </c>
      <c r="B107" s="9" t="s">
        <v>14</v>
      </c>
      <c r="C107">
        <v>1441</v>
      </c>
      <c r="D107">
        <v>268</v>
      </c>
      <c r="E107">
        <v>309904</v>
      </c>
      <c r="F107">
        <v>6.37</v>
      </c>
      <c r="G107" t="s">
        <v>697</v>
      </c>
      <c r="H107">
        <v>1173</v>
      </c>
    </row>
    <row r="108" spans="1:8" x14ac:dyDescent="0.35">
      <c r="A108" s="8">
        <v>45628</v>
      </c>
      <c r="B108" s="9" t="s">
        <v>27</v>
      </c>
      <c r="C108">
        <v>452</v>
      </c>
      <c r="D108">
        <v>161</v>
      </c>
      <c r="E108">
        <v>221274</v>
      </c>
      <c r="F108">
        <v>2.65</v>
      </c>
      <c r="G108" t="s">
        <v>698</v>
      </c>
      <c r="H108">
        <v>291</v>
      </c>
    </row>
    <row r="109" spans="1:8" x14ac:dyDescent="0.35">
      <c r="A109" s="8">
        <v>45635</v>
      </c>
      <c r="B109" s="9" t="s">
        <v>33</v>
      </c>
      <c r="C109">
        <v>1494</v>
      </c>
      <c r="D109">
        <v>375</v>
      </c>
      <c r="E109">
        <v>220616</v>
      </c>
      <c r="F109">
        <v>1.81</v>
      </c>
      <c r="G109" t="s">
        <v>699</v>
      </c>
      <c r="H109">
        <v>1119</v>
      </c>
    </row>
    <row r="110" spans="1:8" x14ac:dyDescent="0.35">
      <c r="A110" s="8">
        <v>45635</v>
      </c>
      <c r="B110" s="9" t="s">
        <v>43</v>
      </c>
      <c r="C110">
        <v>1514</v>
      </c>
      <c r="D110">
        <v>141</v>
      </c>
      <c r="E110">
        <v>35842</v>
      </c>
      <c r="F110">
        <v>7.47</v>
      </c>
      <c r="G110" t="s">
        <v>700</v>
      </c>
      <c r="H110">
        <v>1373</v>
      </c>
    </row>
    <row r="111" spans="1:8" x14ac:dyDescent="0.35">
      <c r="A111" s="8">
        <v>45635</v>
      </c>
      <c r="B111" s="9" t="s">
        <v>14</v>
      </c>
      <c r="C111">
        <v>1937</v>
      </c>
      <c r="D111">
        <v>210</v>
      </c>
      <c r="E111">
        <v>20607</v>
      </c>
      <c r="F111">
        <v>4.2</v>
      </c>
      <c r="G111" t="s">
        <v>701</v>
      </c>
      <c r="H111">
        <v>1727</v>
      </c>
    </row>
    <row r="112" spans="1:8" x14ac:dyDescent="0.35">
      <c r="A112" s="8">
        <v>45635</v>
      </c>
      <c r="B112" s="9" t="s">
        <v>27</v>
      </c>
      <c r="C112">
        <v>736</v>
      </c>
      <c r="D112">
        <v>163</v>
      </c>
      <c r="E112">
        <v>451894</v>
      </c>
      <c r="F112">
        <v>5.43</v>
      </c>
      <c r="G112" t="s">
        <v>702</v>
      </c>
      <c r="H112">
        <v>573</v>
      </c>
    </row>
    <row r="113" spans="1:8" x14ac:dyDescent="0.35">
      <c r="A113" s="8">
        <v>45642</v>
      </c>
      <c r="B113" s="9" t="s">
        <v>33</v>
      </c>
      <c r="C113">
        <v>1502</v>
      </c>
      <c r="D113">
        <v>70</v>
      </c>
      <c r="E113">
        <v>465553</v>
      </c>
      <c r="F113">
        <v>3.32</v>
      </c>
      <c r="G113" t="s">
        <v>703</v>
      </c>
      <c r="H113">
        <v>1432</v>
      </c>
    </row>
    <row r="114" spans="1:8" x14ac:dyDescent="0.35">
      <c r="A114" s="8">
        <v>45642</v>
      </c>
      <c r="B114" s="9" t="s">
        <v>43</v>
      </c>
      <c r="C114">
        <v>1623</v>
      </c>
      <c r="D114">
        <v>246</v>
      </c>
      <c r="E114">
        <v>415815</v>
      </c>
      <c r="F114">
        <v>8.11</v>
      </c>
      <c r="G114" t="s">
        <v>704</v>
      </c>
      <c r="H114">
        <v>1377</v>
      </c>
    </row>
    <row r="115" spans="1:8" x14ac:dyDescent="0.35">
      <c r="A115" s="8">
        <v>45642</v>
      </c>
      <c r="B115" s="9" t="s">
        <v>14</v>
      </c>
      <c r="C115">
        <v>1592</v>
      </c>
      <c r="D115">
        <v>233</v>
      </c>
      <c r="E115">
        <v>327183</v>
      </c>
      <c r="F115">
        <v>6.66</v>
      </c>
      <c r="G115" t="s">
        <v>705</v>
      </c>
      <c r="H115">
        <v>1359</v>
      </c>
    </row>
    <row r="116" spans="1:8" x14ac:dyDescent="0.35">
      <c r="A116" s="8">
        <v>45642</v>
      </c>
      <c r="B116" s="9" t="s">
        <v>27</v>
      </c>
      <c r="C116">
        <v>1004</v>
      </c>
      <c r="D116">
        <v>128</v>
      </c>
      <c r="E116">
        <v>488901</v>
      </c>
      <c r="F116">
        <v>8.09</v>
      </c>
      <c r="G116" t="s">
        <v>706</v>
      </c>
      <c r="H116">
        <v>876</v>
      </c>
    </row>
    <row r="117" spans="1:8" x14ac:dyDescent="0.35">
      <c r="A117" s="8">
        <v>45649</v>
      </c>
      <c r="B117" s="9" t="s">
        <v>33</v>
      </c>
      <c r="C117">
        <v>1092</v>
      </c>
      <c r="D117">
        <v>408</v>
      </c>
      <c r="E117">
        <v>280795</v>
      </c>
      <c r="F117">
        <v>8.44</v>
      </c>
      <c r="G117" t="s">
        <v>707</v>
      </c>
      <c r="H117">
        <v>684</v>
      </c>
    </row>
    <row r="118" spans="1:8" x14ac:dyDescent="0.35">
      <c r="A118" s="8">
        <v>45649</v>
      </c>
      <c r="B118" s="9" t="s">
        <v>43</v>
      </c>
      <c r="C118">
        <v>1155</v>
      </c>
      <c r="D118">
        <v>425</v>
      </c>
      <c r="E118">
        <v>93347</v>
      </c>
      <c r="F118">
        <v>2.02</v>
      </c>
      <c r="G118" t="s">
        <v>708</v>
      </c>
      <c r="H118">
        <v>730</v>
      </c>
    </row>
    <row r="119" spans="1:8" x14ac:dyDescent="0.35">
      <c r="A119" s="8">
        <v>45649</v>
      </c>
      <c r="B119" s="9" t="s">
        <v>14</v>
      </c>
      <c r="C119">
        <v>1137</v>
      </c>
      <c r="D119">
        <v>226</v>
      </c>
      <c r="E119">
        <v>81119</v>
      </c>
      <c r="F119">
        <v>7.74</v>
      </c>
      <c r="G119" t="s">
        <v>709</v>
      </c>
      <c r="H119">
        <v>911</v>
      </c>
    </row>
    <row r="120" spans="1:8" x14ac:dyDescent="0.35">
      <c r="A120" s="8">
        <v>45649</v>
      </c>
      <c r="B120" s="9" t="s">
        <v>27</v>
      </c>
      <c r="C120">
        <v>1900</v>
      </c>
      <c r="D120">
        <v>311</v>
      </c>
      <c r="E120">
        <v>25177</v>
      </c>
      <c r="F120">
        <v>2.89</v>
      </c>
      <c r="G120" t="s">
        <v>710</v>
      </c>
      <c r="H120">
        <v>1589</v>
      </c>
    </row>
    <row r="121" spans="1:8" x14ac:dyDescent="0.35">
      <c r="A121" s="8">
        <v>45656</v>
      </c>
      <c r="B121" s="9" t="s">
        <v>33</v>
      </c>
      <c r="C121">
        <v>1814</v>
      </c>
      <c r="D121">
        <v>49</v>
      </c>
      <c r="E121">
        <v>140804</v>
      </c>
      <c r="F121">
        <v>1.76</v>
      </c>
      <c r="G121" t="s">
        <v>711</v>
      </c>
      <c r="H121">
        <v>1765</v>
      </c>
    </row>
    <row r="122" spans="1:8" x14ac:dyDescent="0.35">
      <c r="A122" s="8">
        <v>45656</v>
      </c>
      <c r="B122" s="9" t="s">
        <v>43</v>
      </c>
      <c r="C122">
        <v>1980</v>
      </c>
      <c r="D122">
        <v>204</v>
      </c>
      <c r="E122">
        <v>379431</v>
      </c>
      <c r="F122">
        <v>3.09</v>
      </c>
      <c r="G122" t="s">
        <v>712</v>
      </c>
      <c r="H122">
        <v>1776</v>
      </c>
    </row>
    <row r="123" spans="1:8" x14ac:dyDescent="0.35">
      <c r="A123" s="8">
        <v>45656</v>
      </c>
      <c r="B123" s="9" t="s">
        <v>14</v>
      </c>
      <c r="C123">
        <v>1786</v>
      </c>
      <c r="D123">
        <v>257</v>
      </c>
      <c r="E123">
        <v>274831</v>
      </c>
      <c r="F123">
        <v>4.68</v>
      </c>
      <c r="G123" t="s">
        <v>713</v>
      </c>
      <c r="H123">
        <v>1529</v>
      </c>
    </row>
    <row r="124" spans="1:8" x14ac:dyDescent="0.35">
      <c r="A124" s="8">
        <v>45656</v>
      </c>
      <c r="B124" s="9" t="s">
        <v>27</v>
      </c>
      <c r="C124">
        <v>1495</v>
      </c>
      <c r="D124">
        <v>35</v>
      </c>
      <c r="E124">
        <v>136845</v>
      </c>
      <c r="F124">
        <v>4.4800000000000004</v>
      </c>
      <c r="G124" t="s">
        <v>714</v>
      </c>
      <c r="H124">
        <v>1460</v>
      </c>
    </row>
    <row r="125" spans="1:8" x14ac:dyDescent="0.35">
      <c r="A125" s="8">
        <v>45663</v>
      </c>
      <c r="B125" s="9" t="s">
        <v>33</v>
      </c>
      <c r="C125">
        <v>1013</v>
      </c>
      <c r="D125">
        <v>110</v>
      </c>
      <c r="E125">
        <v>466382</v>
      </c>
      <c r="F125">
        <v>5.3</v>
      </c>
      <c r="G125" t="s">
        <v>715</v>
      </c>
      <c r="H125">
        <v>903</v>
      </c>
    </row>
    <row r="126" spans="1:8" x14ac:dyDescent="0.35">
      <c r="A126" s="8">
        <v>45663</v>
      </c>
      <c r="B126" s="9" t="s">
        <v>43</v>
      </c>
      <c r="C126">
        <v>816</v>
      </c>
      <c r="D126">
        <v>196</v>
      </c>
      <c r="E126">
        <v>95728</v>
      </c>
      <c r="F126">
        <v>8.1999999999999993</v>
      </c>
      <c r="G126" t="s">
        <v>716</v>
      </c>
      <c r="H126">
        <v>620</v>
      </c>
    </row>
    <row r="127" spans="1:8" x14ac:dyDescent="0.35">
      <c r="A127" s="8">
        <v>45663</v>
      </c>
      <c r="B127" s="9" t="s">
        <v>14</v>
      </c>
      <c r="C127">
        <v>1633</v>
      </c>
      <c r="D127">
        <v>445</v>
      </c>
      <c r="E127">
        <v>371156</v>
      </c>
      <c r="F127">
        <v>2.2200000000000002</v>
      </c>
      <c r="G127" t="s">
        <v>717</v>
      </c>
      <c r="H127">
        <v>1188</v>
      </c>
    </row>
    <row r="128" spans="1:8" x14ac:dyDescent="0.35">
      <c r="A128" s="8">
        <v>45663</v>
      </c>
      <c r="B128" s="9" t="s">
        <v>27</v>
      </c>
      <c r="C128">
        <v>891</v>
      </c>
      <c r="D128">
        <v>45</v>
      </c>
      <c r="E128">
        <v>95410</v>
      </c>
      <c r="F128">
        <v>8.33</v>
      </c>
      <c r="G128" t="s">
        <v>718</v>
      </c>
      <c r="H128">
        <v>846</v>
      </c>
    </row>
    <row r="129" spans="1:8" x14ac:dyDescent="0.35">
      <c r="A129" s="8">
        <v>45670</v>
      </c>
      <c r="B129" s="9" t="s">
        <v>33</v>
      </c>
      <c r="C129">
        <v>1855</v>
      </c>
      <c r="D129">
        <v>133</v>
      </c>
      <c r="E129">
        <v>349413</v>
      </c>
      <c r="F129">
        <v>3.3</v>
      </c>
      <c r="G129" t="s">
        <v>719</v>
      </c>
      <c r="H129">
        <v>1722</v>
      </c>
    </row>
    <row r="130" spans="1:8" x14ac:dyDescent="0.35">
      <c r="A130" s="8">
        <v>45670</v>
      </c>
      <c r="B130" s="9" t="s">
        <v>43</v>
      </c>
      <c r="C130">
        <v>651</v>
      </c>
      <c r="D130">
        <v>353</v>
      </c>
      <c r="E130">
        <v>224699</v>
      </c>
      <c r="F130">
        <v>5.61</v>
      </c>
      <c r="G130" t="s">
        <v>720</v>
      </c>
      <c r="H130">
        <v>298</v>
      </c>
    </row>
    <row r="131" spans="1:8" x14ac:dyDescent="0.35">
      <c r="A131" s="8">
        <v>45670</v>
      </c>
      <c r="B131" s="9" t="s">
        <v>14</v>
      </c>
      <c r="C131">
        <v>118</v>
      </c>
      <c r="D131">
        <v>262</v>
      </c>
      <c r="E131">
        <v>487896</v>
      </c>
      <c r="F131">
        <v>2.56</v>
      </c>
      <c r="G131" t="s">
        <v>721</v>
      </c>
      <c r="H131">
        <v>-144</v>
      </c>
    </row>
    <row r="132" spans="1:8" x14ac:dyDescent="0.35">
      <c r="A132" s="8">
        <v>45670</v>
      </c>
      <c r="B132" s="9" t="s">
        <v>27</v>
      </c>
      <c r="C132">
        <v>1331</v>
      </c>
      <c r="D132">
        <v>430</v>
      </c>
      <c r="E132">
        <v>14437</v>
      </c>
      <c r="F132">
        <v>3.29</v>
      </c>
      <c r="G132" t="s">
        <v>722</v>
      </c>
      <c r="H132">
        <v>901</v>
      </c>
    </row>
    <row r="133" spans="1:8" x14ac:dyDescent="0.35">
      <c r="A133" s="8">
        <v>45677</v>
      </c>
      <c r="B133" s="9" t="s">
        <v>33</v>
      </c>
      <c r="C133">
        <v>1748</v>
      </c>
      <c r="D133">
        <v>176</v>
      </c>
      <c r="E133">
        <v>383681</v>
      </c>
      <c r="F133">
        <v>9.24</v>
      </c>
      <c r="G133" t="s">
        <v>723</v>
      </c>
      <c r="H133">
        <v>1572</v>
      </c>
    </row>
    <row r="134" spans="1:8" x14ac:dyDescent="0.35">
      <c r="A134" s="8">
        <v>45677</v>
      </c>
      <c r="B134" s="9" t="s">
        <v>43</v>
      </c>
      <c r="C134">
        <v>663</v>
      </c>
      <c r="D134">
        <v>236</v>
      </c>
      <c r="E134">
        <v>479490</v>
      </c>
      <c r="F134">
        <v>4.51</v>
      </c>
      <c r="G134" t="s">
        <v>724</v>
      </c>
      <c r="H134">
        <v>427</v>
      </c>
    </row>
    <row r="135" spans="1:8" x14ac:dyDescent="0.35">
      <c r="A135" s="8">
        <v>45677</v>
      </c>
      <c r="B135" s="9" t="s">
        <v>14</v>
      </c>
      <c r="C135">
        <v>1040</v>
      </c>
      <c r="D135">
        <v>149</v>
      </c>
      <c r="E135">
        <v>124404</v>
      </c>
      <c r="F135">
        <v>5.23</v>
      </c>
      <c r="G135" t="s">
        <v>725</v>
      </c>
      <c r="H135">
        <v>891</v>
      </c>
    </row>
    <row r="136" spans="1:8" x14ac:dyDescent="0.35">
      <c r="A136" s="8">
        <v>45677</v>
      </c>
      <c r="B136" s="9" t="s">
        <v>27</v>
      </c>
      <c r="C136">
        <v>1166</v>
      </c>
      <c r="D136">
        <v>442</v>
      </c>
      <c r="E136">
        <v>336949</v>
      </c>
      <c r="F136">
        <v>4.68</v>
      </c>
      <c r="G136" t="s">
        <v>726</v>
      </c>
      <c r="H136">
        <v>724</v>
      </c>
    </row>
    <row r="137" spans="1:8" x14ac:dyDescent="0.35">
      <c r="A137" s="8">
        <v>45684</v>
      </c>
      <c r="B137" s="9" t="s">
        <v>33</v>
      </c>
      <c r="C137">
        <v>115</v>
      </c>
      <c r="D137">
        <v>281</v>
      </c>
      <c r="E137">
        <v>357265</v>
      </c>
      <c r="F137">
        <v>9.23</v>
      </c>
      <c r="G137" t="s">
        <v>727</v>
      </c>
      <c r="H137">
        <v>-166</v>
      </c>
    </row>
    <row r="138" spans="1:8" x14ac:dyDescent="0.35">
      <c r="A138" s="8">
        <v>45684</v>
      </c>
      <c r="B138" s="9" t="s">
        <v>43</v>
      </c>
      <c r="C138">
        <v>1249</v>
      </c>
      <c r="D138">
        <v>351</v>
      </c>
      <c r="E138">
        <v>321307</v>
      </c>
      <c r="F138">
        <v>6.37</v>
      </c>
      <c r="G138" t="s">
        <v>728</v>
      </c>
      <c r="H138">
        <v>898</v>
      </c>
    </row>
    <row r="139" spans="1:8" x14ac:dyDescent="0.35">
      <c r="A139" s="8">
        <v>45684</v>
      </c>
      <c r="B139" s="9" t="s">
        <v>14</v>
      </c>
      <c r="C139">
        <v>1501</v>
      </c>
      <c r="D139">
        <v>75</v>
      </c>
      <c r="E139">
        <v>262569</v>
      </c>
      <c r="F139">
        <v>2.0099999999999998</v>
      </c>
      <c r="G139" t="s">
        <v>729</v>
      </c>
      <c r="H139">
        <v>1426</v>
      </c>
    </row>
    <row r="140" spans="1:8" x14ac:dyDescent="0.35">
      <c r="A140" s="8">
        <v>45684</v>
      </c>
      <c r="B140" s="9" t="s">
        <v>27</v>
      </c>
      <c r="C140">
        <v>1411</v>
      </c>
      <c r="D140">
        <v>186</v>
      </c>
      <c r="E140">
        <v>461669</v>
      </c>
      <c r="F140">
        <v>3.72</v>
      </c>
      <c r="G140" t="s">
        <v>730</v>
      </c>
      <c r="H140">
        <v>1225</v>
      </c>
    </row>
    <row r="141" spans="1:8" x14ac:dyDescent="0.35">
      <c r="A141" s="8">
        <v>45691</v>
      </c>
      <c r="B141" s="9" t="s">
        <v>33</v>
      </c>
      <c r="C141">
        <v>1556</v>
      </c>
      <c r="D141">
        <v>476</v>
      </c>
      <c r="E141">
        <v>351556</v>
      </c>
      <c r="F141">
        <v>3.89</v>
      </c>
      <c r="G141" t="s">
        <v>731</v>
      </c>
      <c r="H141">
        <v>1080</v>
      </c>
    </row>
    <row r="142" spans="1:8" x14ac:dyDescent="0.35">
      <c r="A142" s="8">
        <v>45691</v>
      </c>
      <c r="B142" s="9" t="s">
        <v>43</v>
      </c>
      <c r="C142">
        <v>1159</v>
      </c>
      <c r="D142">
        <v>411</v>
      </c>
      <c r="E142">
        <v>135987</v>
      </c>
      <c r="F142">
        <v>8.6999999999999993</v>
      </c>
      <c r="G142" t="s">
        <v>732</v>
      </c>
      <c r="H142">
        <v>748</v>
      </c>
    </row>
    <row r="143" spans="1:8" x14ac:dyDescent="0.35">
      <c r="A143" s="8">
        <v>45691</v>
      </c>
      <c r="B143" s="9" t="s">
        <v>14</v>
      </c>
      <c r="C143">
        <v>927</v>
      </c>
      <c r="D143">
        <v>358</v>
      </c>
      <c r="E143">
        <v>177554</v>
      </c>
      <c r="F143">
        <v>6.95</v>
      </c>
      <c r="G143" t="s">
        <v>733</v>
      </c>
      <c r="H143">
        <v>569</v>
      </c>
    </row>
    <row r="144" spans="1:8" x14ac:dyDescent="0.35">
      <c r="A144" s="8">
        <v>45691</v>
      </c>
      <c r="B144" s="9" t="s">
        <v>27</v>
      </c>
      <c r="C144">
        <v>152</v>
      </c>
      <c r="D144">
        <v>355</v>
      </c>
      <c r="E144">
        <v>270766</v>
      </c>
      <c r="F144">
        <v>9.48</v>
      </c>
      <c r="G144" t="s">
        <v>734</v>
      </c>
      <c r="H144">
        <v>-203</v>
      </c>
    </row>
    <row r="145" spans="1:8" x14ac:dyDescent="0.35">
      <c r="A145" s="8">
        <v>45698</v>
      </c>
      <c r="B145" s="9" t="s">
        <v>33</v>
      </c>
      <c r="C145">
        <v>1957</v>
      </c>
      <c r="D145">
        <v>234</v>
      </c>
      <c r="E145">
        <v>222126</v>
      </c>
      <c r="F145">
        <v>4.6100000000000003</v>
      </c>
      <c r="G145" t="s">
        <v>735</v>
      </c>
      <c r="H145">
        <v>1723</v>
      </c>
    </row>
    <row r="146" spans="1:8" x14ac:dyDescent="0.35">
      <c r="A146" s="8">
        <v>45698</v>
      </c>
      <c r="B146" s="9" t="s">
        <v>43</v>
      </c>
      <c r="C146">
        <v>1294</v>
      </c>
      <c r="D146">
        <v>382</v>
      </c>
      <c r="E146">
        <v>309914</v>
      </c>
      <c r="F146">
        <v>8.0299999999999994</v>
      </c>
      <c r="G146" t="s">
        <v>736</v>
      </c>
      <c r="H146">
        <v>912</v>
      </c>
    </row>
    <row r="147" spans="1:8" x14ac:dyDescent="0.35">
      <c r="A147" s="8">
        <v>45698</v>
      </c>
      <c r="B147" s="9" t="s">
        <v>14</v>
      </c>
      <c r="C147">
        <v>1587</v>
      </c>
      <c r="D147">
        <v>385</v>
      </c>
      <c r="E147">
        <v>126582</v>
      </c>
      <c r="F147">
        <v>6.99</v>
      </c>
      <c r="G147" t="s">
        <v>737</v>
      </c>
      <c r="H147">
        <v>1202</v>
      </c>
    </row>
    <row r="148" spans="1:8" x14ac:dyDescent="0.35">
      <c r="A148" s="8">
        <v>45698</v>
      </c>
      <c r="B148" s="9" t="s">
        <v>27</v>
      </c>
      <c r="C148">
        <v>1707</v>
      </c>
      <c r="D148">
        <v>263</v>
      </c>
      <c r="E148">
        <v>485280</v>
      </c>
      <c r="F148">
        <v>9.0299999999999994</v>
      </c>
      <c r="G148" t="s">
        <v>738</v>
      </c>
      <c r="H148">
        <v>1444</v>
      </c>
    </row>
    <row r="149" spans="1:8" x14ac:dyDescent="0.35">
      <c r="A149" s="8">
        <v>45705</v>
      </c>
      <c r="B149" s="9" t="s">
        <v>33</v>
      </c>
      <c r="C149">
        <v>1138</v>
      </c>
      <c r="D149">
        <v>173</v>
      </c>
      <c r="E149">
        <v>453243</v>
      </c>
      <c r="F149">
        <v>2.86</v>
      </c>
      <c r="G149" t="s">
        <v>739</v>
      </c>
      <c r="H149">
        <v>965</v>
      </c>
    </row>
    <row r="150" spans="1:8" x14ac:dyDescent="0.35">
      <c r="A150" s="8">
        <v>45705</v>
      </c>
      <c r="B150" s="9" t="s">
        <v>43</v>
      </c>
      <c r="C150">
        <v>1895</v>
      </c>
      <c r="D150">
        <v>305</v>
      </c>
      <c r="E150">
        <v>104967</v>
      </c>
      <c r="F150">
        <v>3.85</v>
      </c>
      <c r="G150" t="s">
        <v>740</v>
      </c>
      <c r="H150">
        <v>1590</v>
      </c>
    </row>
    <row r="151" spans="1:8" x14ac:dyDescent="0.35">
      <c r="A151" s="8">
        <v>45705</v>
      </c>
      <c r="B151" s="9" t="s">
        <v>14</v>
      </c>
      <c r="C151">
        <v>362</v>
      </c>
      <c r="D151">
        <v>399</v>
      </c>
      <c r="E151">
        <v>145608</v>
      </c>
      <c r="F151">
        <v>7.3</v>
      </c>
      <c r="G151" t="s">
        <v>741</v>
      </c>
      <c r="H151">
        <v>-37</v>
      </c>
    </row>
    <row r="152" spans="1:8" x14ac:dyDescent="0.35">
      <c r="A152" s="8">
        <v>45705</v>
      </c>
      <c r="B152" s="9" t="s">
        <v>27</v>
      </c>
      <c r="C152">
        <v>1662</v>
      </c>
      <c r="D152">
        <v>487</v>
      </c>
      <c r="E152">
        <v>105980</v>
      </c>
      <c r="F152">
        <v>9.08</v>
      </c>
      <c r="G152" t="s">
        <v>742</v>
      </c>
      <c r="H152">
        <v>1175</v>
      </c>
    </row>
    <row r="153" spans="1:8" x14ac:dyDescent="0.35">
      <c r="A153" s="8">
        <v>45712</v>
      </c>
      <c r="B153" s="9" t="s">
        <v>33</v>
      </c>
      <c r="C153">
        <v>1440</v>
      </c>
      <c r="D153">
        <v>65</v>
      </c>
      <c r="E153">
        <v>126524</v>
      </c>
      <c r="F153">
        <v>4.34</v>
      </c>
      <c r="G153" t="s">
        <v>743</v>
      </c>
      <c r="H153">
        <v>1375</v>
      </c>
    </row>
    <row r="154" spans="1:8" x14ac:dyDescent="0.35">
      <c r="A154" s="8">
        <v>45712</v>
      </c>
      <c r="B154" s="9" t="s">
        <v>43</v>
      </c>
      <c r="C154">
        <v>1884</v>
      </c>
      <c r="D154">
        <v>177</v>
      </c>
      <c r="E154">
        <v>230448</v>
      </c>
      <c r="F154">
        <v>7.8</v>
      </c>
      <c r="G154" t="s">
        <v>744</v>
      </c>
      <c r="H154">
        <v>1707</v>
      </c>
    </row>
    <row r="155" spans="1:8" x14ac:dyDescent="0.35">
      <c r="A155" s="8">
        <v>45712</v>
      </c>
      <c r="B155" s="9" t="s">
        <v>14</v>
      </c>
      <c r="C155">
        <v>861</v>
      </c>
      <c r="D155">
        <v>153</v>
      </c>
      <c r="E155">
        <v>317007</v>
      </c>
      <c r="F155">
        <v>3.85</v>
      </c>
      <c r="G155" t="s">
        <v>745</v>
      </c>
      <c r="H155">
        <v>708</v>
      </c>
    </row>
    <row r="156" spans="1:8" x14ac:dyDescent="0.35">
      <c r="A156" s="8">
        <v>45712</v>
      </c>
      <c r="B156" s="9" t="s">
        <v>27</v>
      </c>
      <c r="C156">
        <v>1063</v>
      </c>
      <c r="D156">
        <v>47</v>
      </c>
      <c r="E156">
        <v>464239</v>
      </c>
      <c r="F156">
        <v>6.58</v>
      </c>
      <c r="G156" t="s">
        <v>746</v>
      </c>
      <c r="H156">
        <v>1016</v>
      </c>
    </row>
    <row r="157" spans="1:8" x14ac:dyDescent="0.35">
      <c r="A157" s="8">
        <v>45719</v>
      </c>
      <c r="B157" s="9" t="s">
        <v>33</v>
      </c>
      <c r="C157">
        <v>1371</v>
      </c>
      <c r="D157">
        <v>56</v>
      </c>
      <c r="E157">
        <v>257579</v>
      </c>
      <c r="F157">
        <v>8.6199999999999992</v>
      </c>
      <c r="G157" t="s">
        <v>747</v>
      </c>
      <c r="H157">
        <v>1315</v>
      </c>
    </row>
    <row r="158" spans="1:8" x14ac:dyDescent="0.35">
      <c r="A158" s="8">
        <v>45719</v>
      </c>
      <c r="B158" s="9" t="s">
        <v>43</v>
      </c>
      <c r="C158">
        <v>345</v>
      </c>
      <c r="D158">
        <v>464</v>
      </c>
      <c r="E158">
        <v>366881</v>
      </c>
      <c r="F158">
        <v>4.55</v>
      </c>
      <c r="G158" t="s">
        <v>748</v>
      </c>
      <c r="H158">
        <v>-119</v>
      </c>
    </row>
    <row r="159" spans="1:8" x14ac:dyDescent="0.35">
      <c r="A159" s="8">
        <v>45719</v>
      </c>
      <c r="B159" s="9" t="s">
        <v>14</v>
      </c>
      <c r="C159">
        <v>946</v>
      </c>
      <c r="D159">
        <v>47</v>
      </c>
      <c r="E159">
        <v>466575</v>
      </c>
      <c r="F159">
        <v>8.33</v>
      </c>
      <c r="G159" t="s">
        <v>749</v>
      </c>
      <c r="H159">
        <v>899</v>
      </c>
    </row>
    <row r="160" spans="1:8" x14ac:dyDescent="0.35">
      <c r="A160" s="8">
        <v>45719</v>
      </c>
      <c r="B160" s="9" t="s">
        <v>27</v>
      </c>
      <c r="C160">
        <v>510</v>
      </c>
      <c r="D160">
        <v>195</v>
      </c>
      <c r="E160">
        <v>224534</v>
      </c>
      <c r="F160">
        <v>9.4</v>
      </c>
      <c r="G160" t="s">
        <v>750</v>
      </c>
      <c r="H160">
        <v>315</v>
      </c>
    </row>
    <row r="161" spans="1:8" x14ac:dyDescent="0.35">
      <c r="A161" s="8">
        <v>45726</v>
      </c>
      <c r="B161" s="9" t="s">
        <v>33</v>
      </c>
      <c r="C161">
        <v>393</v>
      </c>
      <c r="D161">
        <v>181</v>
      </c>
      <c r="E161">
        <v>462142</v>
      </c>
      <c r="F161">
        <v>7.23</v>
      </c>
      <c r="G161" t="s">
        <v>751</v>
      </c>
      <c r="H161">
        <v>212</v>
      </c>
    </row>
    <row r="162" spans="1:8" x14ac:dyDescent="0.35">
      <c r="A162" s="8">
        <v>45726</v>
      </c>
      <c r="B162" s="9" t="s">
        <v>43</v>
      </c>
      <c r="C162">
        <v>1098</v>
      </c>
      <c r="D162">
        <v>190</v>
      </c>
      <c r="E162">
        <v>340842</v>
      </c>
      <c r="F162">
        <v>9.39</v>
      </c>
      <c r="G162" t="s">
        <v>752</v>
      </c>
      <c r="H162">
        <v>908</v>
      </c>
    </row>
    <row r="163" spans="1:8" x14ac:dyDescent="0.35">
      <c r="A163" s="8">
        <v>45726</v>
      </c>
      <c r="B163" s="9" t="s">
        <v>14</v>
      </c>
      <c r="C163">
        <v>1399</v>
      </c>
      <c r="D163">
        <v>49</v>
      </c>
      <c r="E163">
        <v>12471</v>
      </c>
      <c r="F163">
        <v>5.12</v>
      </c>
      <c r="G163" t="s">
        <v>753</v>
      </c>
      <c r="H163">
        <v>1350</v>
      </c>
    </row>
    <row r="164" spans="1:8" x14ac:dyDescent="0.35">
      <c r="A164" s="8">
        <v>45726</v>
      </c>
      <c r="B164" s="9" t="s">
        <v>27</v>
      </c>
      <c r="C164">
        <v>1658</v>
      </c>
      <c r="D164">
        <v>416</v>
      </c>
      <c r="E164">
        <v>98397</v>
      </c>
      <c r="F164">
        <v>6.11</v>
      </c>
      <c r="G164" t="s">
        <v>754</v>
      </c>
      <c r="H164">
        <v>1242</v>
      </c>
    </row>
    <row r="165" spans="1:8" x14ac:dyDescent="0.35">
      <c r="A165" s="8">
        <v>45733</v>
      </c>
      <c r="B165" s="9" t="s">
        <v>33</v>
      </c>
      <c r="C165">
        <v>1102</v>
      </c>
      <c r="D165">
        <v>422</v>
      </c>
      <c r="E165">
        <v>410330</v>
      </c>
      <c r="F165">
        <v>7.74</v>
      </c>
      <c r="G165" t="s">
        <v>755</v>
      </c>
      <c r="H165">
        <v>680</v>
      </c>
    </row>
    <row r="166" spans="1:8" x14ac:dyDescent="0.35">
      <c r="A166" s="8">
        <v>45733</v>
      </c>
      <c r="B166" s="9" t="s">
        <v>43</v>
      </c>
      <c r="C166">
        <v>1358</v>
      </c>
      <c r="D166">
        <v>242</v>
      </c>
      <c r="E166">
        <v>342129</v>
      </c>
      <c r="F166">
        <v>4.9400000000000004</v>
      </c>
      <c r="G166" t="s">
        <v>756</v>
      </c>
      <c r="H166">
        <v>1116</v>
      </c>
    </row>
    <row r="167" spans="1:8" x14ac:dyDescent="0.35">
      <c r="A167" s="8">
        <v>45733</v>
      </c>
      <c r="B167" s="9" t="s">
        <v>14</v>
      </c>
      <c r="C167">
        <v>1077</v>
      </c>
      <c r="D167">
        <v>216</v>
      </c>
      <c r="E167">
        <v>12447</v>
      </c>
      <c r="F167">
        <v>1.8</v>
      </c>
      <c r="G167" t="s">
        <v>757</v>
      </c>
      <c r="H167">
        <v>861</v>
      </c>
    </row>
    <row r="168" spans="1:8" x14ac:dyDescent="0.35">
      <c r="A168" s="8">
        <v>45733</v>
      </c>
      <c r="B168" s="9" t="s">
        <v>27</v>
      </c>
      <c r="C168">
        <v>1596</v>
      </c>
      <c r="D168">
        <v>211</v>
      </c>
      <c r="E168">
        <v>17380</v>
      </c>
      <c r="F168">
        <v>8.64</v>
      </c>
      <c r="G168" t="s">
        <v>758</v>
      </c>
      <c r="H168">
        <v>1385</v>
      </c>
    </row>
    <row r="169" spans="1:8" x14ac:dyDescent="0.35">
      <c r="A169" s="8">
        <v>45740</v>
      </c>
      <c r="B169" s="9" t="s">
        <v>33</v>
      </c>
      <c r="C169">
        <v>490</v>
      </c>
      <c r="D169">
        <v>29</v>
      </c>
      <c r="E169">
        <v>364810</v>
      </c>
      <c r="F169">
        <v>1.53</v>
      </c>
      <c r="G169" t="s">
        <v>759</v>
      </c>
      <c r="H169">
        <v>461</v>
      </c>
    </row>
    <row r="170" spans="1:8" x14ac:dyDescent="0.35">
      <c r="A170" s="8">
        <v>45740</v>
      </c>
      <c r="B170" s="9" t="s">
        <v>43</v>
      </c>
      <c r="C170">
        <v>609</v>
      </c>
      <c r="D170">
        <v>135</v>
      </c>
      <c r="E170">
        <v>373606</v>
      </c>
      <c r="F170">
        <v>8.52</v>
      </c>
      <c r="G170" t="s">
        <v>760</v>
      </c>
      <c r="H170">
        <v>474</v>
      </c>
    </row>
    <row r="171" spans="1:8" x14ac:dyDescent="0.35">
      <c r="A171" s="8">
        <v>45740</v>
      </c>
      <c r="B171" s="9" t="s">
        <v>14</v>
      </c>
      <c r="C171">
        <v>364</v>
      </c>
      <c r="D171">
        <v>72</v>
      </c>
      <c r="E171">
        <v>211090</v>
      </c>
      <c r="F171">
        <v>5.53</v>
      </c>
      <c r="G171" t="s">
        <v>761</v>
      </c>
      <c r="H171">
        <v>292</v>
      </c>
    </row>
    <row r="172" spans="1:8" x14ac:dyDescent="0.35">
      <c r="A172" s="8">
        <v>45740</v>
      </c>
      <c r="B172" s="9" t="s">
        <v>27</v>
      </c>
      <c r="C172">
        <v>442</v>
      </c>
      <c r="D172">
        <v>53</v>
      </c>
      <c r="E172">
        <v>441931</v>
      </c>
      <c r="F172">
        <v>1.87</v>
      </c>
      <c r="G172" t="s">
        <v>762</v>
      </c>
      <c r="H172">
        <v>389</v>
      </c>
    </row>
    <row r="173" spans="1:8" x14ac:dyDescent="0.35">
      <c r="A173" s="8">
        <v>45747</v>
      </c>
      <c r="B173" s="9" t="s">
        <v>33</v>
      </c>
      <c r="C173">
        <v>1033</v>
      </c>
      <c r="D173">
        <v>392</v>
      </c>
      <c r="E173">
        <v>282780</v>
      </c>
      <c r="F173">
        <v>6.27</v>
      </c>
      <c r="G173" t="s">
        <v>763</v>
      </c>
      <c r="H173">
        <v>641</v>
      </c>
    </row>
    <row r="174" spans="1:8" x14ac:dyDescent="0.35">
      <c r="A174" s="8">
        <v>45747</v>
      </c>
      <c r="B174" s="9" t="s">
        <v>43</v>
      </c>
      <c r="C174">
        <v>988</v>
      </c>
      <c r="D174">
        <v>474</v>
      </c>
      <c r="E174">
        <v>370070</v>
      </c>
      <c r="F174">
        <v>9.4600000000000009</v>
      </c>
      <c r="G174" t="s">
        <v>764</v>
      </c>
      <c r="H174">
        <v>514</v>
      </c>
    </row>
    <row r="175" spans="1:8" x14ac:dyDescent="0.35">
      <c r="A175" s="8">
        <v>45747</v>
      </c>
      <c r="B175" s="9" t="s">
        <v>14</v>
      </c>
      <c r="C175">
        <v>1946</v>
      </c>
      <c r="D175">
        <v>270</v>
      </c>
      <c r="E175">
        <v>198350</v>
      </c>
      <c r="F175">
        <v>7.5</v>
      </c>
      <c r="G175" t="s">
        <v>765</v>
      </c>
      <c r="H175">
        <v>1676</v>
      </c>
    </row>
    <row r="176" spans="1:8" x14ac:dyDescent="0.35">
      <c r="A176" s="8">
        <v>45747</v>
      </c>
      <c r="B176" s="9" t="s">
        <v>27</v>
      </c>
      <c r="C176">
        <v>1957</v>
      </c>
      <c r="D176">
        <v>490</v>
      </c>
      <c r="E176">
        <v>435726</v>
      </c>
      <c r="F176">
        <v>4.7300000000000004</v>
      </c>
      <c r="G176" t="s">
        <v>766</v>
      </c>
      <c r="H176">
        <v>1467</v>
      </c>
    </row>
    <row r="177" spans="1:8" x14ac:dyDescent="0.35">
      <c r="A177" s="8">
        <v>45754</v>
      </c>
      <c r="B177" s="9" t="s">
        <v>33</v>
      </c>
      <c r="C177">
        <v>559</v>
      </c>
      <c r="D177">
        <v>392</v>
      </c>
      <c r="E177">
        <v>78789</v>
      </c>
      <c r="F177">
        <v>3.19</v>
      </c>
      <c r="G177" t="s">
        <v>767</v>
      </c>
      <c r="H177">
        <v>167</v>
      </c>
    </row>
    <row r="178" spans="1:8" x14ac:dyDescent="0.35">
      <c r="A178" s="8">
        <v>45754</v>
      </c>
      <c r="B178" s="9" t="s">
        <v>43</v>
      </c>
      <c r="C178">
        <v>1307</v>
      </c>
      <c r="D178">
        <v>278</v>
      </c>
      <c r="E178">
        <v>98596</v>
      </c>
      <c r="F178">
        <v>2.4900000000000002</v>
      </c>
      <c r="G178" t="s">
        <v>768</v>
      </c>
      <c r="H178">
        <v>1029</v>
      </c>
    </row>
    <row r="179" spans="1:8" x14ac:dyDescent="0.35">
      <c r="A179" s="8">
        <v>45754</v>
      </c>
      <c r="B179" s="9" t="s">
        <v>14</v>
      </c>
      <c r="C179">
        <v>1432</v>
      </c>
      <c r="D179">
        <v>425</v>
      </c>
      <c r="E179">
        <v>29589</v>
      </c>
      <c r="F179">
        <v>4.5</v>
      </c>
      <c r="G179" t="s">
        <v>769</v>
      </c>
      <c r="H179">
        <v>1007</v>
      </c>
    </row>
    <row r="180" spans="1:8" x14ac:dyDescent="0.35">
      <c r="A180" s="8">
        <v>45754</v>
      </c>
      <c r="B180" s="9" t="s">
        <v>27</v>
      </c>
      <c r="C180">
        <v>623</v>
      </c>
      <c r="D180">
        <v>414</v>
      </c>
      <c r="E180">
        <v>290354</v>
      </c>
      <c r="F180">
        <v>6.49</v>
      </c>
      <c r="G180" t="s">
        <v>770</v>
      </c>
      <c r="H180">
        <v>209</v>
      </c>
    </row>
    <row r="181" spans="1:8" x14ac:dyDescent="0.35">
      <c r="A181" s="8">
        <v>45761</v>
      </c>
      <c r="B181" s="9" t="s">
        <v>33</v>
      </c>
      <c r="C181">
        <v>198</v>
      </c>
      <c r="D181">
        <v>358</v>
      </c>
      <c r="E181">
        <v>66682</v>
      </c>
      <c r="F181">
        <v>6.73</v>
      </c>
      <c r="G181" t="s">
        <v>771</v>
      </c>
      <c r="H181">
        <v>-160</v>
      </c>
    </row>
    <row r="182" spans="1:8" x14ac:dyDescent="0.35">
      <c r="A182" s="8">
        <v>45761</v>
      </c>
      <c r="B182" s="9" t="s">
        <v>43</v>
      </c>
      <c r="C182">
        <v>198</v>
      </c>
      <c r="D182">
        <v>373</v>
      </c>
      <c r="E182">
        <v>70707</v>
      </c>
      <c r="F182">
        <v>4.83</v>
      </c>
      <c r="G182" t="s">
        <v>772</v>
      </c>
      <c r="H182">
        <v>-175</v>
      </c>
    </row>
    <row r="183" spans="1:8" x14ac:dyDescent="0.35">
      <c r="A183" s="8">
        <v>45761</v>
      </c>
      <c r="B183" s="9" t="s">
        <v>14</v>
      </c>
      <c r="C183">
        <v>353</v>
      </c>
      <c r="D183">
        <v>300</v>
      </c>
      <c r="E183">
        <v>142507</v>
      </c>
      <c r="F183">
        <v>5.3</v>
      </c>
      <c r="G183" t="s">
        <v>773</v>
      </c>
      <c r="H183">
        <v>53</v>
      </c>
    </row>
    <row r="184" spans="1:8" x14ac:dyDescent="0.35">
      <c r="A184" s="8">
        <v>45761</v>
      </c>
      <c r="B184" s="9" t="s">
        <v>27</v>
      </c>
      <c r="C184">
        <v>520</v>
      </c>
      <c r="D184">
        <v>375</v>
      </c>
      <c r="E184">
        <v>369525</v>
      </c>
      <c r="F184">
        <v>6.54</v>
      </c>
      <c r="G184" t="s">
        <v>774</v>
      </c>
      <c r="H184">
        <v>145</v>
      </c>
    </row>
    <row r="185" spans="1:8" x14ac:dyDescent="0.35">
      <c r="A185" s="8">
        <v>45768</v>
      </c>
      <c r="B185" s="9" t="s">
        <v>33</v>
      </c>
      <c r="C185">
        <v>961</v>
      </c>
      <c r="D185">
        <v>358</v>
      </c>
      <c r="E185">
        <v>62942</v>
      </c>
      <c r="F185">
        <v>6.8</v>
      </c>
      <c r="G185" t="s">
        <v>775</v>
      </c>
      <c r="H185">
        <v>603</v>
      </c>
    </row>
    <row r="186" spans="1:8" x14ac:dyDescent="0.35">
      <c r="A186" s="8">
        <v>45768</v>
      </c>
      <c r="B186" s="9" t="s">
        <v>43</v>
      </c>
      <c r="C186">
        <v>1375</v>
      </c>
      <c r="D186">
        <v>330</v>
      </c>
      <c r="E186">
        <v>377382</v>
      </c>
      <c r="F186">
        <v>2.6</v>
      </c>
      <c r="G186" t="s">
        <v>776</v>
      </c>
      <c r="H186">
        <v>1045</v>
      </c>
    </row>
    <row r="187" spans="1:8" x14ac:dyDescent="0.35">
      <c r="A187" s="8">
        <v>45768</v>
      </c>
      <c r="B187" s="9" t="s">
        <v>14</v>
      </c>
      <c r="C187">
        <v>1147</v>
      </c>
      <c r="D187">
        <v>388</v>
      </c>
      <c r="E187">
        <v>333851</v>
      </c>
      <c r="F187">
        <v>2.44</v>
      </c>
      <c r="G187" t="s">
        <v>777</v>
      </c>
      <c r="H187">
        <v>759</v>
      </c>
    </row>
    <row r="188" spans="1:8" x14ac:dyDescent="0.35">
      <c r="A188" s="8">
        <v>45768</v>
      </c>
      <c r="B188" s="9" t="s">
        <v>27</v>
      </c>
      <c r="C188">
        <v>1707</v>
      </c>
      <c r="D188">
        <v>74</v>
      </c>
      <c r="E188">
        <v>270958</v>
      </c>
      <c r="F188">
        <v>3.09</v>
      </c>
      <c r="G188" t="s">
        <v>778</v>
      </c>
      <c r="H188">
        <v>1633</v>
      </c>
    </row>
    <row r="189" spans="1:8" x14ac:dyDescent="0.35">
      <c r="A189" s="8">
        <v>45775</v>
      </c>
      <c r="B189" s="9" t="s">
        <v>33</v>
      </c>
      <c r="C189">
        <v>1693</v>
      </c>
      <c r="D189">
        <v>154</v>
      </c>
      <c r="E189">
        <v>445944</v>
      </c>
      <c r="F189">
        <v>5.69</v>
      </c>
      <c r="G189" t="s">
        <v>779</v>
      </c>
      <c r="H189">
        <v>1539</v>
      </c>
    </row>
    <row r="190" spans="1:8" x14ac:dyDescent="0.35">
      <c r="A190" s="8">
        <v>45775</v>
      </c>
      <c r="B190" s="9" t="s">
        <v>43</v>
      </c>
      <c r="C190">
        <v>833</v>
      </c>
      <c r="D190">
        <v>380</v>
      </c>
      <c r="E190">
        <v>224830</v>
      </c>
      <c r="F190">
        <v>3.86</v>
      </c>
      <c r="G190" t="s">
        <v>780</v>
      </c>
      <c r="H190">
        <v>453</v>
      </c>
    </row>
    <row r="191" spans="1:8" x14ac:dyDescent="0.35">
      <c r="A191" s="8">
        <v>45775</v>
      </c>
      <c r="B191" s="9" t="s">
        <v>14</v>
      </c>
      <c r="C191">
        <v>1222</v>
      </c>
      <c r="D191">
        <v>274</v>
      </c>
      <c r="E191">
        <v>487289</v>
      </c>
      <c r="F191">
        <v>3.16</v>
      </c>
      <c r="G191" t="s">
        <v>781</v>
      </c>
      <c r="H191">
        <v>948</v>
      </c>
    </row>
    <row r="192" spans="1:8" x14ac:dyDescent="0.35">
      <c r="A192" s="8">
        <v>45775</v>
      </c>
      <c r="B192" s="9" t="s">
        <v>27</v>
      </c>
      <c r="C192">
        <v>777</v>
      </c>
      <c r="D192">
        <v>140</v>
      </c>
      <c r="E192">
        <v>11435</v>
      </c>
      <c r="F192">
        <v>1.6</v>
      </c>
      <c r="G192" t="s">
        <v>782</v>
      </c>
      <c r="H192">
        <v>637</v>
      </c>
    </row>
    <row r="193" spans="1:8" x14ac:dyDescent="0.35">
      <c r="A193" s="8">
        <v>45782</v>
      </c>
      <c r="B193" s="9" t="s">
        <v>33</v>
      </c>
      <c r="C193">
        <v>1957</v>
      </c>
      <c r="D193">
        <v>76</v>
      </c>
      <c r="E193">
        <v>447902</v>
      </c>
      <c r="F193">
        <v>6.09</v>
      </c>
      <c r="G193" t="s">
        <v>783</v>
      </c>
      <c r="H193">
        <v>1881</v>
      </c>
    </row>
    <row r="194" spans="1:8" x14ac:dyDescent="0.35">
      <c r="A194" s="8">
        <v>45782</v>
      </c>
      <c r="B194" s="9" t="s">
        <v>43</v>
      </c>
      <c r="C194">
        <v>405</v>
      </c>
      <c r="D194">
        <v>66</v>
      </c>
      <c r="E194">
        <v>418696</v>
      </c>
      <c r="F194">
        <v>5.59</v>
      </c>
      <c r="G194" t="s">
        <v>784</v>
      </c>
      <c r="H194">
        <v>339</v>
      </c>
    </row>
    <row r="195" spans="1:8" x14ac:dyDescent="0.35">
      <c r="A195" s="8">
        <v>45782</v>
      </c>
      <c r="B195" s="9" t="s">
        <v>14</v>
      </c>
      <c r="C195">
        <v>1581</v>
      </c>
      <c r="D195">
        <v>71</v>
      </c>
      <c r="E195">
        <v>484364</v>
      </c>
      <c r="F195">
        <v>3.55</v>
      </c>
      <c r="G195" t="s">
        <v>785</v>
      </c>
      <c r="H195">
        <v>1510</v>
      </c>
    </row>
    <row r="196" spans="1:8" x14ac:dyDescent="0.35">
      <c r="A196" s="8">
        <v>45782</v>
      </c>
      <c r="B196" s="9" t="s">
        <v>27</v>
      </c>
      <c r="C196">
        <v>1035</v>
      </c>
      <c r="D196">
        <v>171</v>
      </c>
      <c r="E196">
        <v>148477</v>
      </c>
      <c r="F196">
        <v>5.21</v>
      </c>
      <c r="G196" t="s">
        <v>786</v>
      </c>
      <c r="H196">
        <v>864</v>
      </c>
    </row>
    <row r="197" spans="1:8" x14ac:dyDescent="0.35">
      <c r="A197" s="8">
        <v>45789</v>
      </c>
      <c r="B197" s="9" t="s">
        <v>33</v>
      </c>
      <c r="C197">
        <v>1765</v>
      </c>
      <c r="D197">
        <v>109</v>
      </c>
      <c r="E197">
        <v>468301</v>
      </c>
      <c r="F197">
        <v>1.82</v>
      </c>
      <c r="G197" t="s">
        <v>787</v>
      </c>
      <c r="H197">
        <v>1656</v>
      </c>
    </row>
    <row r="198" spans="1:8" x14ac:dyDescent="0.35">
      <c r="A198" s="8">
        <v>45789</v>
      </c>
      <c r="B198" s="9" t="s">
        <v>43</v>
      </c>
      <c r="C198">
        <v>837</v>
      </c>
      <c r="D198">
        <v>430</v>
      </c>
      <c r="E198">
        <v>364820</v>
      </c>
      <c r="F198">
        <v>4</v>
      </c>
      <c r="G198" t="s">
        <v>788</v>
      </c>
      <c r="H198">
        <v>407</v>
      </c>
    </row>
    <row r="199" spans="1:8" x14ac:dyDescent="0.35">
      <c r="A199" s="8">
        <v>45789</v>
      </c>
      <c r="B199" s="9" t="s">
        <v>14</v>
      </c>
      <c r="C199">
        <v>337</v>
      </c>
      <c r="D199">
        <v>68</v>
      </c>
      <c r="E199">
        <v>456298</v>
      </c>
      <c r="F199">
        <v>7.57</v>
      </c>
      <c r="G199" t="s">
        <v>789</v>
      </c>
      <c r="H199">
        <v>269</v>
      </c>
    </row>
    <row r="200" spans="1:8" x14ac:dyDescent="0.35">
      <c r="A200" s="8">
        <v>45789</v>
      </c>
      <c r="B200" s="9" t="s">
        <v>27</v>
      </c>
      <c r="C200">
        <v>119</v>
      </c>
      <c r="D200">
        <v>456</v>
      </c>
      <c r="E200">
        <v>82558</v>
      </c>
      <c r="F200">
        <v>6.81</v>
      </c>
      <c r="G200" t="s">
        <v>790</v>
      </c>
      <c r="H200">
        <v>-337</v>
      </c>
    </row>
    <row r="201" spans="1:8" x14ac:dyDescent="0.35">
      <c r="A201" s="8"/>
      <c r="B201" s="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F368-27E9-4C3C-8D33-785B4FCB591A}">
  <dimension ref="A3:B68"/>
  <sheetViews>
    <sheetView showGridLines="0" topLeftCell="A28" zoomScale="88" zoomScaleNormal="88" workbookViewId="0">
      <selection activeCell="D14" sqref="D14"/>
    </sheetView>
  </sheetViews>
  <sheetFormatPr defaultRowHeight="14.5" x14ac:dyDescent="0.35"/>
  <cols>
    <col min="1" max="1" width="20.08984375" bestFit="1" customWidth="1"/>
    <col min="2" max="2" width="24.26953125" bestFit="1" customWidth="1"/>
    <col min="3" max="51" width="10.08984375" bestFit="1" customWidth="1"/>
    <col min="52" max="52" width="10.7265625" bestFit="1" customWidth="1"/>
    <col min="53" max="200" width="10.08984375" bestFit="1" customWidth="1"/>
    <col min="201" max="201" width="10.7265625" bestFit="1" customWidth="1"/>
  </cols>
  <sheetData>
    <row r="3" spans="1:2" ht="15.5" x14ac:dyDescent="0.35">
      <c r="A3" s="11" t="s">
        <v>806</v>
      </c>
      <c r="B3" s="12" t="s">
        <v>807</v>
      </c>
    </row>
    <row r="4" spans="1:2" ht="15.5" x14ac:dyDescent="0.35">
      <c r="A4" s="13" t="s">
        <v>33</v>
      </c>
      <c r="B4" s="14"/>
    </row>
    <row r="5" spans="1:2" ht="15.5" x14ac:dyDescent="0.35">
      <c r="A5" s="15" t="s">
        <v>792</v>
      </c>
      <c r="B5" s="14"/>
    </row>
    <row r="6" spans="1:2" ht="15.5" x14ac:dyDescent="0.35">
      <c r="A6" s="16" t="s">
        <v>794</v>
      </c>
      <c r="B6" s="14"/>
    </row>
    <row r="7" spans="1:2" ht="15.5" x14ac:dyDescent="0.35">
      <c r="A7" s="17">
        <v>45446</v>
      </c>
      <c r="B7" s="14">
        <v>1047</v>
      </c>
    </row>
    <row r="8" spans="1:2" ht="15.5" x14ac:dyDescent="0.35">
      <c r="A8" s="17">
        <v>45453</v>
      </c>
      <c r="B8" s="14">
        <v>517</v>
      </c>
    </row>
    <row r="9" spans="1:2" ht="15.5" x14ac:dyDescent="0.35">
      <c r="A9" s="17">
        <v>45460</v>
      </c>
      <c r="B9" s="14">
        <v>893</v>
      </c>
    </row>
    <row r="10" spans="1:2" ht="15.5" x14ac:dyDescent="0.35">
      <c r="A10" s="17">
        <v>45467</v>
      </c>
      <c r="B10" s="14">
        <v>629</v>
      </c>
    </row>
    <row r="11" spans="1:2" ht="15.5" x14ac:dyDescent="0.35">
      <c r="A11" s="16" t="s">
        <v>795</v>
      </c>
      <c r="B11" s="14"/>
    </row>
    <row r="12" spans="1:2" ht="15.5" x14ac:dyDescent="0.35">
      <c r="A12" s="17">
        <v>45481</v>
      </c>
      <c r="B12" s="14">
        <v>1672</v>
      </c>
    </row>
    <row r="13" spans="1:2" ht="15.5" x14ac:dyDescent="0.35">
      <c r="A13" s="17">
        <v>45488</v>
      </c>
      <c r="B13" s="14">
        <v>1845</v>
      </c>
    </row>
    <row r="14" spans="1:2" ht="15.5" x14ac:dyDescent="0.35">
      <c r="A14" s="17">
        <v>45495</v>
      </c>
      <c r="B14" s="14">
        <v>159</v>
      </c>
    </row>
    <row r="15" spans="1:2" ht="15.5" x14ac:dyDescent="0.35">
      <c r="A15" s="17">
        <v>45502</v>
      </c>
      <c r="B15" s="14">
        <v>541</v>
      </c>
    </row>
    <row r="16" spans="1:2" ht="15.5" x14ac:dyDescent="0.35">
      <c r="A16" s="16" t="s">
        <v>796</v>
      </c>
      <c r="B16" s="14"/>
    </row>
    <row r="17" spans="1:2" ht="15.5" x14ac:dyDescent="0.35">
      <c r="A17" s="17">
        <v>45509</v>
      </c>
      <c r="B17" s="14">
        <v>352</v>
      </c>
    </row>
    <row r="18" spans="1:2" ht="15.5" x14ac:dyDescent="0.35">
      <c r="A18" s="17">
        <v>45516</v>
      </c>
      <c r="B18" s="14">
        <v>1325</v>
      </c>
    </row>
    <row r="19" spans="1:2" ht="15.5" x14ac:dyDescent="0.35">
      <c r="A19" s="17">
        <v>45523</v>
      </c>
      <c r="B19" s="14">
        <v>76</v>
      </c>
    </row>
    <row r="20" spans="1:2" ht="15.5" x14ac:dyDescent="0.35">
      <c r="A20" s="17">
        <v>45530</v>
      </c>
      <c r="B20" s="14">
        <v>1609</v>
      </c>
    </row>
    <row r="21" spans="1:2" ht="15.5" x14ac:dyDescent="0.35">
      <c r="A21" s="16" t="s">
        <v>797</v>
      </c>
      <c r="B21" s="14"/>
    </row>
    <row r="22" spans="1:2" ht="15.5" x14ac:dyDescent="0.35">
      <c r="A22" s="17">
        <v>45537</v>
      </c>
      <c r="B22" s="14">
        <v>1247</v>
      </c>
    </row>
    <row r="23" spans="1:2" ht="15.5" x14ac:dyDescent="0.35">
      <c r="A23" s="17">
        <v>45544</v>
      </c>
      <c r="B23" s="14">
        <v>1572</v>
      </c>
    </row>
    <row r="24" spans="1:2" ht="15.5" x14ac:dyDescent="0.35">
      <c r="A24" s="17">
        <v>45551</v>
      </c>
      <c r="B24" s="14">
        <v>377</v>
      </c>
    </row>
    <row r="25" spans="1:2" ht="15.5" x14ac:dyDescent="0.35">
      <c r="A25" s="17">
        <v>45558</v>
      </c>
      <c r="B25" s="14">
        <v>666</v>
      </c>
    </row>
    <row r="26" spans="1:2" ht="15.5" x14ac:dyDescent="0.35">
      <c r="A26" s="17">
        <v>45565</v>
      </c>
      <c r="B26" s="14">
        <v>1025</v>
      </c>
    </row>
    <row r="27" spans="1:2" ht="15.5" x14ac:dyDescent="0.35">
      <c r="A27" s="16" t="s">
        <v>798</v>
      </c>
      <c r="B27" s="14"/>
    </row>
    <row r="28" spans="1:2" ht="15.5" x14ac:dyDescent="0.35">
      <c r="A28" s="17">
        <v>45572</v>
      </c>
      <c r="B28" s="14">
        <v>1872</v>
      </c>
    </row>
    <row r="29" spans="1:2" ht="15.5" x14ac:dyDescent="0.35">
      <c r="A29" s="17">
        <v>45579</v>
      </c>
      <c r="B29" s="14">
        <v>1224</v>
      </c>
    </row>
    <row r="30" spans="1:2" ht="15.5" x14ac:dyDescent="0.35">
      <c r="A30" s="17">
        <v>45586</v>
      </c>
      <c r="B30" s="14">
        <v>262</v>
      </c>
    </row>
    <row r="31" spans="1:2" ht="15.5" x14ac:dyDescent="0.35">
      <c r="A31" s="17">
        <v>45593</v>
      </c>
      <c r="B31" s="14">
        <v>576</v>
      </c>
    </row>
    <row r="32" spans="1:2" ht="15.5" x14ac:dyDescent="0.35">
      <c r="A32" s="16" t="s">
        <v>799</v>
      </c>
      <c r="B32" s="14"/>
    </row>
    <row r="33" spans="1:2" ht="15.5" x14ac:dyDescent="0.35">
      <c r="A33" s="17">
        <v>45600</v>
      </c>
      <c r="B33" s="14">
        <v>1397</v>
      </c>
    </row>
    <row r="34" spans="1:2" ht="15.5" x14ac:dyDescent="0.35">
      <c r="A34" s="17">
        <v>45607</v>
      </c>
      <c r="B34" s="14">
        <v>902</v>
      </c>
    </row>
    <row r="35" spans="1:2" ht="15.5" x14ac:dyDescent="0.35">
      <c r="A35" s="17">
        <v>45614</v>
      </c>
      <c r="B35" s="14">
        <v>-49</v>
      </c>
    </row>
    <row r="36" spans="1:2" ht="15.5" x14ac:dyDescent="0.35">
      <c r="A36" s="17">
        <v>45621</v>
      </c>
      <c r="B36" s="14">
        <v>1693</v>
      </c>
    </row>
    <row r="37" spans="1:2" ht="15.5" x14ac:dyDescent="0.35">
      <c r="A37" s="16" t="s">
        <v>800</v>
      </c>
      <c r="B37" s="14"/>
    </row>
    <row r="38" spans="1:2" ht="15.5" x14ac:dyDescent="0.35">
      <c r="A38" s="17">
        <v>45628</v>
      </c>
      <c r="B38" s="14">
        <v>1625</v>
      </c>
    </row>
    <row r="39" spans="1:2" ht="15.5" x14ac:dyDescent="0.35">
      <c r="A39" s="17">
        <v>45635</v>
      </c>
      <c r="B39" s="14">
        <v>1119</v>
      </c>
    </row>
    <row r="40" spans="1:2" ht="15.5" x14ac:dyDescent="0.35">
      <c r="A40" s="17">
        <v>45642</v>
      </c>
      <c r="B40" s="14">
        <v>1432</v>
      </c>
    </row>
    <row r="41" spans="1:2" ht="15.5" x14ac:dyDescent="0.35">
      <c r="A41" s="17">
        <v>45649</v>
      </c>
      <c r="B41" s="14">
        <v>684</v>
      </c>
    </row>
    <row r="42" spans="1:2" ht="15.5" x14ac:dyDescent="0.35">
      <c r="A42" s="17">
        <v>45656</v>
      </c>
      <c r="B42" s="14">
        <v>1765</v>
      </c>
    </row>
    <row r="43" spans="1:2" ht="15.5" x14ac:dyDescent="0.35">
      <c r="A43" s="15" t="s">
        <v>793</v>
      </c>
      <c r="B43" s="14"/>
    </row>
    <row r="44" spans="1:2" ht="15.5" x14ac:dyDescent="0.35">
      <c r="A44" s="16" t="s">
        <v>801</v>
      </c>
      <c r="B44" s="14"/>
    </row>
    <row r="45" spans="1:2" ht="15.5" x14ac:dyDescent="0.35">
      <c r="A45" s="17">
        <v>45663</v>
      </c>
      <c r="B45" s="14">
        <v>903</v>
      </c>
    </row>
    <row r="46" spans="1:2" ht="15.5" x14ac:dyDescent="0.35">
      <c r="A46" s="17">
        <v>45670</v>
      </c>
      <c r="B46" s="14">
        <v>1722</v>
      </c>
    </row>
    <row r="47" spans="1:2" ht="15.5" x14ac:dyDescent="0.35">
      <c r="A47" s="17">
        <v>45677</v>
      </c>
      <c r="B47" s="14">
        <v>1572</v>
      </c>
    </row>
    <row r="48" spans="1:2" ht="15.5" x14ac:dyDescent="0.35">
      <c r="A48" s="17">
        <v>45684</v>
      </c>
      <c r="B48" s="14">
        <v>-166</v>
      </c>
    </row>
    <row r="49" spans="1:2" ht="15.5" x14ac:dyDescent="0.35">
      <c r="A49" s="16" t="s">
        <v>802</v>
      </c>
      <c r="B49" s="14"/>
    </row>
    <row r="50" spans="1:2" ht="15.5" x14ac:dyDescent="0.35">
      <c r="A50" s="17">
        <v>45691</v>
      </c>
      <c r="B50" s="14">
        <v>1080</v>
      </c>
    </row>
    <row r="51" spans="1:2" ht="15.5" x14ac:dyDescent="0.35">
      <c r="A51" s="17">
        <v>45698</v>
      </c>
      <c r="B51" s="14">
        <v>1723</v>
      </c>
    </row>
    <row r="52" spans="1:2" ht="15.5" x14ac:dyDescent="0.35">
      <c r="A52" s="17">
        <v>45705</v>
      </c>
      <c r="B52" s="14">
        <v>965</v>
      </c>
    </row>
    <row r="53" spans="1:2" ht="15.5" x14ac:dyDescent="0.35">
      <c r="A53" s="17">
        <v>45712</v>
      </c>
      <c r="B53" s="14">
        <v>1375</v>
      </c>
    </row>
    <row r="54" spans="1:2" ht="15.5" x14ac:dyDescent="0.35">
      <c r="A54" s="16" t="s">
        <v>803</v>
      </c>
      <c r="B54" s="14"/>
    </row>
    <row r="55" spans="1:2" ht="15.5" x14ac:dyDescent="0.35">
      <c r="A55" s="17">
        <v>45719</v>
      </c>
      <c r="B55" s="14">
        <v>1315</v>
      </c>
    </row>
    <row r="56" spans="1:2" ht="15.5" x14ac:dyDescent="0.35">
      <c r="A56" s="17">
        <v>45726</v>
      </c>
      <c r="B56" s="14">
        <v>212</v>
      </c>
    </row>
    <row r="57" spans="1:2" ht="15.5" x14ac:dyDescent="0.35">
      <c r="A57" s="17">
        <v>45733</v>
      </c>
      <c r="B57" s="14">
        <v>680</v>
      </c>
    </row>
    <row r="58" spans="1:2" ht="15.5" x14ac:dyDescent="0.35">
      <c r="A58" s="17">
        <v>45740</v>
      </c>
      <c r="B58" s="14">
        <v>461</v>
      </c>
    </row>
    <row r="59" spans="1:2" ht="15.5" x14ac:dyDescent="0.35">
      <c r="A59" s="17">
        <v>45747</v>
      </c>
      <c r="B59" s="14">
        <v>641</v>
      </c>
    </row>
    <row r="60" spans="1:2" ht="15.5" x14ac:dyDescent="0.35">
      <c r="A60" s="16" t="s">
        <v>804</v>
      </c>
      <c r="B60" s="14"/>
    </row>
    <row r="61" spans="1:2" ht="15.5" x14ac:dyDescent="0.35">
      <c r="A61" s="17">
        <v>45754</v>
      </c>
      <c r="B61" s="14">
        <v>167</v>
      </c>
    </row>
    <row r="62" spans="1:2" ht="15.5" x14ac:dyDescent="0.35">
      <c r="A62" s="17">
        <v>45761</v>
      </c>
      <c r="B62" s="14">
        <v>-160</v>
      </c>
    </row>
    <row r="63" spans="1:2" ht="15.5" x14ac:dyDescent="0.35">
      <c r="A63" s="17">
        <v>45768</v>
      </c>
      <c r="B63" s="14">
        <v>603</v>
      </c>
    </row>
    <row r="64" spans="1:2" ht="15.5" x14ac:dyDescent="0.35">
      <c r="A64" s="17">
        <v>45775</v>
      </c>
      <c r="B64" s="14">
        <v>1539</v>
      </c>
    </row>
    <row r="65" spans="1:2" ht="15.5" x14ac:dyDescent="0.35">
      <c r="A65" s="16" t="s">
        <v>805</v>
      </c>
      <c r="B65" s="14"/>
    </row>
    <row r="66" spans="1:2" ht="15.5" x14ac:dyDescent="0.35">
      <c r="A66" s="17">
        <v>45782</v>
      </c>
      <c r="B66" s="14">
        <v>1881</v>
      </c>
    </row>
    <row r="67" spans="1:2" ht="15.5" x14ac:dyDescent="0.35">
      <c r="A67" s="17">
        <v>45789</v>
      </c>
      <c r="B67" s="14">
        <v>1656</v>
      </c>
    </row>
    <row r="68" spans="1:2" ht="15.5" x14ac:dyDescent="0.35">
      <c r="A68" s="13" t="s">
        <v>791</v>
      </c>
      <c r="B68" s="14">
        <v>48223</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0EB-B670-4645-A498-2DDAF84766AB}">
  <dimension ref="A3:C54"/>
  <sheetViews>
    <sheetView showGridLines="0" tabSelected="1" workbookViewId="0">
      <selection activeCell="M13" sqref="M13"/>
    </sheetView>
  </sheetViews>
  <sheetFormatPr defaultRowHeight="14.5" x14ac:dyDescent="0.35"/>
  <cols>
    <col min="1" max="1" width="12.36328125" bestFit="1" customWidth="1"/>
    <col min="2" max="2" width="19.26953125" bestFit="1" customWidth="1"/>
    <col min="3" max="3" width="5" bestFit="1" customWidth="1"/>
    <col min="4" max="14" width="4.453125" bestFit="1" customWidth="1"/>
    <col min="15" max="19" width="3.453125" bestFit="1" customWidth="1"/>
    <col min="20" max="20" width="2.81640625" bestFit="1" customWidth="1"/>
    <col min="21" max="21" width="3.81640625" bestFit="1" customWidth="1"/>
    <col min="22" max="27" width="2.81640625" bestFit="1" customWidth="1"/>
    <col min="28" max="70" width="3.81640625" bestFit="1" customWidth="1"/>
    <col min="71" max="71" width="4.81640625" bestFit="1" customWidth="1"/>
    <col min="72" max="113" width="3.81640625" bestFit="1" customWidth="1"/>
    <col min="114" max="193" width="4.81640625" bestFit="1" customWidth="1"/>
    <col min="194" max="194" width="10.7265625" bestFit="1" customWidth="1"/>
  </cols>
  <sheetData>
    <row r="3" spans="1:3" x14ac:dyDescent="0.35">
      <c r="A3" s="18" t="s">
        <v>806</v>
      </c>
      <c r="B3" s="19" t="s">
        <v>807</v>
      </c>
      <c r="C3" s="19" t="s">
        <v>808</v>
      </c>
    </row>
    <row r="4" spans="1:3" x14ac:dyDescent="0.35">
      <c r="A4" s="24">
        <v>45656</v>
      </c>
      <c r="B4" s="25">
        <v>6530</v>
      </c>
      <c r="C4" s="25">
        <v>1</v>
      </c>
    </row>
    <row r="5" spans="1:3" x14ac:dyDescent="0.35">
      <c r="A5" s="24">
        <v>45698</v>
      </c>
      <c r="B5" s="25">
        <v>5281</v>
      </c>
      <c r="C5" s="25">
        <v>2</v>
      </c>
    </row>
    <row r="6" spans="1:3" x14ac:dyDescent="0.35">
      <c r="A6" s="24">
        <v>45642</v>
      </c>
      <c r="B6" s="25">
        <v>5044</v>
      </c>
      <c r="C6" s="25">
        <v>3</v>
      </c>
    </row>
    <row r="7" spans="1:3" x14ac:dyDescent="0.35">
      <c r="A7" s="24">
        <v>45712</v>
      </c>
      <c r="B7" s="25">
        <v>4806</v>
      </c>
      <c r="C7" s="25">
        <v>4</v>
      </c>
    </row>
    <row r="8" spans="1:3" x14ac:dyDescent="0.35">
      <c r="A8" s="24">
        <v>45628</v>
      </c>
      <c r="B8" s="25">
        <v>4795</v>
      </c>
      <c r="C8" s="25">
        <v>5</v>
      </c>
    </row>
    <row r="9" spans="1:3" x14ac:dyDescent="0.35">
      <c r="A9" s="24">
        <v>45635</v>
      </c>
      <c r="B9" s="25">
        <v>4792</v>
      </c>
      <c r="C9" s="25">
        <v>6</v>
      </c>
    </row>
    <row r="10" spans="1:3" x14ac:dyDescent="0.35">
      <c r="A10" s="24">
        <v>45782</v>
      </c>
      <c r="B10" s="25">
        <v>4594</v>
      </c>
      <c r="C10" s="25">
        <v>7</v>
      </c>
    </row>
    <row r="11" spans="1:3" x14ac:dyDescent="0.35">
      <c r="A11" s="24">
        <v>45600</v>
      </c>
      <c r="B11" s="25">
        <v>4584</v>
      </c>
      <c r="C11" s="25">
        <v>8</v>
      </c>
    </row>
    <row r="12" spans="1:3" x14ac:dyDescent="0.35">
      <c r="A12" s="24">
        <v>45544</v>
      </c>
      <c r="B12" s="25">
        <v>4360</v>
      </c>
      <c r="C12" s="25">
        <v>9</v>
      </c>
    </row>
    <row r="13" spans="1:3" x14ac:dyDescent="0.35">
      <c r="A13" s="24">
        <v>45747</v>
      </c>
      <c r="B13" s="25">
        <v>4298</v>
      </c>
      <c r="C13" s="25">
        <v>10</v>
      </c>
    </row>
    <row r="14" spans="1:3" x14ac:dyDescent="0.35">
      <c r="A14" s="26">
        <v>45733</v>
      </c>
      <c r="B14" s="21">
        <v>4042</v>
      </c>
      <c r="C14" s="21">
        <v>11</v>
      </c>
    </row>
    <row r="15" spans="1:3" x14ac:dyDescent="0.35">
      <c r="A15" s="26">
        <v>45768</v>
      </c>
      <c r="B15" s="21">
        <v>4040</v>
      </c>
      <c r="C15" s="21">
        <v>12</v>
      </c>
    </row>
    <row r="16" spans="1:3" x14ac:dyDescent="0.35">
      <c r="A16" s="26">
        <v>45621</v>
      </c>
      <c r="B16" s="21">
        <v>4008</v>
      </c>
      <c r="C16" s="21">
        <v>13</v>
      </c>
    </row>
    <row r="17" spans="1:3" x14ac:dyDescent="0.35">
      <c r="A17" s="26">
        <v>45649</v>
      </c>
      <c r="B17" s="21">
        <v>3914</v>
      </c>
      <c r="C17" s="21">
        <v>14</v>
      </c>
    </row>
    <row r="18" spans="1:3" x14ac:dyDescent="0.35">
      <c r="A18" s="26">
        <v>45460</v>
      </c>
      <c r="B18" s="21">
        <v>3907</v>
      </c>
      <c r="C18" s="21">
        <v>15</v>
      </c>
    </row>
    <row r="19" spans="1:3" x14ac:dyDescent="0.35">
      <c r="A19" s="26">
        <v>45572</v>
      </c>
      <c r="B19" s="21">
        <v>3759</v>
      </c>
      <c r="C19" s="21">
        <v>16</v>
      </c>
    </row>
    <row r="20" spans="1:3" x14ac:dyDescent="0.35">
      <c r="A20" s="26">
        <v>45516</v>
      </c>
      <c r="B20" s="21">
        <v>3728</v>
      </c>
      <c r="C20" s="21">
        <v>17</v>
      </c>
    </row>
    <row r="21" spans="1:3" x14ac:dyDescent="0.35">
      <c r="A21" s="26">
        <v>45726</v>
      </c>
      <c r="B21" s="21">
        <v>3712</v>
      </c>
      <c r="C21" s="21">
        <v>18</v>
      </c>
    </row>
    <row r="22" spans="1:3" x14ac:dyDescent="0.35">
      <c r="A22" s="26">
        <v>45705</v>
      </c>
      <c r="B22" s="21">
        <v>3693</v>
      </c>
      <c r="C22" s="21">
        <v>19</v>
      </c>
    </row>
    <row r="23" spans="1:3" x14ac:dyDescent="0.35">
      <c r="A23" s="26">
        <v>45677</v>
      </c>
      <c r="B23" s="21">
        <v>3614</v>
      </c>
      <c r="C23" s="21">
        <v>20</v>
      </c>
    </row>
    <row r="24" spans="1:3" x14ac:dyDescent="0.35">
      <c r="A24" s="26">
        <v>45775</v>
      </c>
      <c r="B24" s="21">
        <v>3577</v>
      </c>
      <c r="C24" s="21">
        <v>21</v>
      </c>
    </row>
    <row r="25" spans="1:3" x14ac:dyDescent="0.35">
      <c r="A25" s="26">
        <v>45663</v>
      </c>
      <c r="B25" s="21">
        <v>3557</v>
      </c>
      <c r="C25" s="21">
        <v>22</v>
      </c>
    </row>
    <row r="26" spans="1:3" x14ac:dyDescent="0.35">
      <c r="A26" s="26">
        <v>45446</v>
      </c>
      <c r="B26" s="21">
        <v>3554</v>
      </c>
      <c r="C26" s="21">
        <v>23</v>
      </c>
    </row>
    <row r="27" spans="1:3" x14ac:dyDescent="0.35">
      <c r="A27" s="26">
        <v>45684</v>
      </c>
      <c r="B27" s="21">
        <v>3383</v>
      </c>
      <c r="C27" s="21">
        <v>24</v>
      </c>
    </row>
    <row r="28" spans="1:3" x14ac:dyDescent="0.35">
      <c r="A28" s="26">
        <v>45558</v>
      </c>
      <c r="B28" s="21">
        <v>3333</v>
      </c>
      <c r="C28" s="21">
        <v>25</v>
      </c>
    </row>
    <row r="29" spans="1:3" x14ac:dyDescent="0.35">
      <c r="A29" s="26">
        <v>45565</v>
      </c>
      <c r="B29" s="21">
        <v>3151</v>
      </c>
      <c r="C29" s="21">
        <v>26</v>
      </c>
    </row>
    <row r="30" spans="1:3" x14ac:dyDescent="0.35">
      <c r="A30" s="26">
        <v>45481</v>
      </c>
      <c r="B30" s="21">
        <v>3042</v>
      </c>
      <c r="C30" s="21">
        <v>27</v>
      </c>
    </row>
    <row r="31" spans="1:3" x14ac:dyDescent="0.35">
      <c r="A31" s="26">
        <v>45467</v>
      </c>
      <c r="B31" s="21">
        <v>3011</v>
      </c>
      <c r="C31" s="21">
        <v>28</v>
      </c>
    </row>
    <row r="32" spans="1:3" x14ac:dyDescent="0.35">
      <c r="A32" s="26">
        <v>45523</v>
      </c>
      <c r="B32" s="21">
        <v>2989</v>
      </c>
      <c r="C32" s="21">
        <v>29</v>
      </c>
    </row>
    <row r="33" spans="1:3" x14ac:dyDescent="0.35">
      <c r="A33" s="26">
        <v>45453</v>
      </c>
      <c r="B33" s="21">
        <v>2980</v>
      </c>
      <c r="C33" s="21">
        <v>30</v>
      </c>
    </row>
    <row r="34" spans="1:3" x14ac:dyDescent="0.35">
      <c r="A34" s="26">
        <v>45530</v>
      </c>
      <c r="B34" s="21">
        <v>2903</v>
      </c>
      <c r="C34" s="21">
        <v>31</v>
      </c>
    </row>
    <row r="35" spans="1:3" x14ac:dyDescent="0.35">
      <c r="A35" s="26">
        <v>45537</v>
      </c>
      <c r="B35" s="21">
        <v>2822</v>
      </c>
      <c r="C35" s="21">
        <v>32</v>
      </c>
    </row>
    <row r="36" spans="1:3" x14ac:dyDescent="0.35">
      <c r="A36" s="26">
        <v>45586</v>
      </c>
      <c r="B36" s="21">
        <v>2821</v>
      </c>
      <c r="C36" s="21">
        <v>33</v>
      </c>
    </row>
    <row r="37" spans="1:3" x14ac:dyDescent="0.35">
      <c r="A37" s="26">
        <v>45670</v>
      </c>
      <c r="B37" s="21">
        <v>2777</v>
      </c>
      <c r="C37" s="21">
        <v>34</v>
      </c>
    </row>
    <row r="38" spans="1:3" x14ac:dyDescent="0.35">
      <c r="A38" s="26">
        <v>45495</v>
      </c>
      <c r="B38" s="21">
        <v>2753</v>
      </c>
      <c r="C38" s="21">
        <v>35</v>
      </c>
    </row>
    <row r="39" spans="1:3" x14ac:dyDescent="0.35">
      <c r="A39" s="26">
        <v>45593</v>
      </c>
      <c r="B39" s="21">
        <v>2656</v>
      </c>
      <c r="C39" s="21">
        <v>36</v>
      </c>
    </row>
    <row r="40" spans="1:3" x14ac:dyDescent="0.35">
      <c r="A40" s="26">
        <v>45754</v>
      </c>
      <c r="B40" s="21">
        <v>2412</v>
      </c>
      <c r="C40" s="21">
        <v>37</v>
      </c>
    </row>
    <row r="41" spans="1:3" x14ac:dyDescent="0.35">
      <c r="A41" s="26">
        <v>45719</v>
      </c>
      <c r="B41" s="21">
        <v>2410</v>
      </c>
      <c r="C41" s="21">
        <v>38</v>
      </c>
    </row>
    <row r="42" spans="1:3" x14ac:dyDescent="0.35">
      <c r="A42" s="26">
        <v>45607</v>
      </c>
      <c r="B42" s="21">
        <v>2295</v>
      </c>
      <c r="C42" s="21">
        <v>39</v>
      </c>
    </row>
    <row r="43" spans="1:3" x14ac:dyDescent="0.35">
      <c r="A43" s="26">
        <v>45488</v>
      </c>
      <c r="B43" s="21">
        <v>2270</v>
      </c>
      <c r="C43" s="21">
        <v>40</v>
      </c>
    </row>
    <row r="44" spans="1:3" x14ac:dyDescent="0.35">
      <c r="A44" s="26">
        <v>45691</v>
      </c>
      <c r="B44" s="21">
        <v>2194</v>
      </c>
      <c r="C44" s="21">
        <v>41</v>
      </c>
    </row>
    <row r="45" spans="1:3" x14ac:dyDescent="0.35">
      <c r="A45" s="26">
        <v>45502</v>
      </c>
      <c r="B45" s="21">
        <v>2193</v>
      </c>
      <c r="C45" s="21">
        <v>42</v>
      </c>
    </row>
    <row r="46" spans="1:3" x14ac:dyDescent="0.35">
      <c r="A46" s="26">
        <v>45789</v>
      </c>
      <c r="B46" s="21">
        <v>1995</v>
      </c>
      <c r="C46" s="21">
        <v>43</v>
      </c>
    </row>
    <row r="47" spans="1:3" x14ac:dyDescent="0.35">
      <c r="A47" s="26">
        <v>45579</v>
      </c>
      <c r="B47" s="21">
        <v>1856</v>
      </c>
      <c r="C47" s="21">
        <v>44</v>
      </c>
    </row>
    <row r="48" spans="1:3" x14ac:dyDescent="0.35">
      <c r="A48" s="26">
        <v>45740</v>
      </c>
      <c r="B48" s="21">
        <v>1616</v>
      </c>
      <c r="C48" s="21">
        <v>45</v>
      </c>
    </row>
    <row r="49" spans="1:3" x14ac:dyDescent="0.35">
      <c r="A49" s="26">
        <v>45551</v>
      </c>
      <c r="B49" s="21">
        <v>1568</v>
      </c>
      <c r="C49" s="21">
        <v>46</v>
      </c>
    </row>
    <row r="50" spans="1:3" x14ac:dyDescent="0.35">
      <c r="A50" s="26">
        <v>45474</v>
      </c>
      <c r="B50" s="21">
        <v>1512</v>
      </c>
      <c r="C50" s="21">
        <v>47</v>
      </c>
    </row>
    <row r="51" spans="1:3" x14ac:dyDescent="0.35">
      <c r="A51" s="26">
        <v>45509</v>
      </c>
      <c r="B51" s="21">
        <v>802</v>
      </c>
      <c r="C51" s="21">
        <v>48</v>
      </c>
    </row>
    <row r="52" spans="1:3" x14ac:dyDescent="0.35">
      <c r="A52" s="26">
        <v>45614</v>
      </c>
      <c r="B52" s="21">
        <v>528</v>
      </c>
      <c r="C52" s="21">
        <v>49</v>
      </c>
    </row>
    <row r="53" spans="1:3" x14ac:dyDescent="0.35">
      <c r="A53" s="26">
        <v>45761</v>
      </c>
      <c r="B53" s="21">
        <v>-137</v>
      </c>
      <c r="C53" s="21">
        <v>50</v>
      </c>
    </row>
    <row r="54" spans="1:3" x14ac:dyDescent="0.35">
      <c r="A54" s="20" t="s">
        <v>791</v>
      </c>
      <c r="B54" s="21">
        <v>160324</v>
      </c>
      <c r="C54" s="2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46E0-48C3-486A-AE79-D802326EC16B}">
  <dimension ref="A3:B68"/>
  <sheetViews>
    <sheetView showGridLines="0" workbookViewId="0">
      <selection activeCell="A6" sqref="A6:B9 A11:B15 A17:B20 A22:B26 A28:B31 A33:B36 A38:B42"/>
    </sheetView>
  </sheetViews>
  <sheetFormatPr defaultRowHeight="14.5" x14ac:dyDescent="0.35"/>
  <cols>
    <col min="1" max="1" width="16" bestFit="1" customWidth="1"/>
    <col min="2" max="2" width="19.26953125" bestFit="1" customWidth="1"/>
    <col min="3" max="3" width="23.7265625" bestFit="1" customWidth="1"/>
    <col min="4" max="51" width="10.08984375" bestFit="1" customWidth="1"/>
    <col min="52" max="52" width="10.7265625" bestFit="1" customWidth="1"/>
  </cols>
  <sheetData>
    <row r="3" spans="1:2" x14ac:dyDescent="0.35">
      <c r="A3" s="18" t="s">
        <v>806</v>
      </c>
      <c r="B3" s="19" t="s">
        <v>807</v>
      </c>
    </row>
    <row r="4" spans="1:2" x14ac:dyDescent="0.35">
      <c r="A4" s="20" t="s">
        <v>792</v>
      </c>
      <c r="B4" s="21"/>
    </row>
    <row r="5" spans="1:2" x14ac:dyDescent="0.35">
      <c r="A5" s="22" t="s">
        <v>794</v>
      </c>
      <c r="B5" s="21"/>
    </row>
    <row r="6" spans="1:2" x14ac:dyDescent="0.35">
      <c r="A6" s="23">
        <v>45446</v>
      </c>
      <c r="B6" s="21">
        <v>3554</v>
      </c>
    </row>
    <row r="7" spans="1:2" x14ac:dyDescent="0.35">
      <c r="A7" s="23">
        <v>45453</v>
      </c>
      <c r="B7" s="21">
        <v>2980</v>
      </c>
    </row>
    <row r="8" spans="1:2" x14ac:dyDescent="0.35">
      <c r="A8" s="23">
        <v>45460</v>
      </c>
      <c r="B8" s="21">
        <v>3907</v>
      </c>
    </row>
    <row r="9" spans="1:2" x14ac:dyDescent="0.35">
      <c r="A9" s="23">
        <v>45467</v>
      </c>
      <c r="B9" s="21">
        <v>3011</v>
      </c>
    </row>
    <row r="10" spans="1:2" x14ac:dyDescent="0.35">
      <c r="A10" s="22" t="s">
        <v>795</v>
      </c>
      <c r="B10" s="21"/>
    </row>
    <row r="11" spans="1:2" x14ac:dyDescent="0.35">
      <c r="A11" s="23">
        <v>45474</v>
      </c>
      <c r="B11" s="21">
        <v>1512</v>
      </c>
    </row>
    <row r="12" spans="1:2" x14ac:dyDescent="0.35">
      <c r="A12" s="23">
        <v>45481</v>
      </c>
      <c r="B12" s="21">
        <v>3042</v>
      </c>
    </row>
    <row r="13" spans="1:2" x14ac:dyDescent="0.35">
      <c r="A13" s="23">
        <v>45488</v>
      </c>
      <c r="B13" s="21">
        <v>2270</v>
      </c>
    </row>
    <row r="14" spans="1:2" x14ac:dyDescent="0.35">
      <c r="A14" s="23">
        <v>45495</v>
      </c>
      <c r="B14" s="21">
        <v>2753</v>
      </c>
    </row>
    <row r="15" spans="1:2" x14ac:dyDescent="0.35">
      <c r="A15" s="23">
        <v>45502</v>
      </c>
      <c r="B15" s="21">
        <v>2193</v>
      </c>
    </row>
    <row r="16" spans="1:2" x14ac:dyDescent="0.35">
      <c r="A16" s="22" t="s">
        <v>796</v>
      </c>
      <c r="B16" s="21"/>
    </row>
    <row r="17" spans="1:2" x14ac:dyDescent="0.35">
      <c r="A17" s="23">
        <v>45509</v>
      </c>
      <c r="B17" s="21">
        <v>802</v>
      </c>
    </row>
    <row r="18" spans="1:2" x14ac:dyDescent="0.35">
      <c r="A18" s="23">
        <v>45516</v>
      </c>
      <c r="B18" s="21">
        <v>3728</v>
      </c>
    </row>
    <row r="19" spans="1:2" x14ac:dyDescent="0.35">
      <c r="A19" s="23">
        <v>45523</v>
      </c>
      <c r="B19" s="21">
        <v>2989</v>
      </c>
    </row>
    <row r="20" spans="1:2" x14ac:dyDescent="0.35">
      <c r="A20" s="23">
        <v>45530</v>
      </c>
      <c r="B20" s="21">
        <v>2903</v>
      </c>
    </row>
    <row r="21" spans="1:2" x14ac:dyDescent="0.35">
      <c r="A21" s="22" t="s">
        <v>797</v>
      </c>
      <c r="B21" s="21"/>
    </row>
    <row r="22" spans="1:2" x14ac:dyDescent="0.35">
      <c r="A22" s="23">
        <v>45537</v>
      </c>
      <c r="B22" s="21">
        <v>2822</v>
      </c>
    </row>
    <row r="23" spans="1:2" x14ac:dyDescent="0.35">
      <c r="A23" s="23">
        <v>45544</v>
      </c>
      <c r="B23" s="21">
        <v>4360</v>
      </c>
    </row>
    <row r="24" spans="1:2" x14ac:dyDescent="0.35">
      <c r="A24" s="23">
        <v>45551</v>
      </c>
      <c r="B24" s="21">
        <v>1568</v>
      </c>
    </row>
    <row r="25" spans="1:2" x14ac:dyDescent="0.35">
      <c r="A25" s="23">
        <v>45558</v>
      </c>
      <c r="B25" s="21">
        <v>3333</v>
      </c>
    </row>
    <row r="26" spans="1:2" x14ac:dyDescent="0.35">
      <c r="A26" s="23">
        <v>45565</v>
      </c>
      <c r="B26" s="21">
        <v>3151</v>
      </c>
    </row>
    <row r="27" spans="1:2" x14ac:dyDescent="0.35">
      <c r="A27" s="22" t="s">
        <v>798</v>
      </c>
      <c r="B27" s="21"/>
    </row>
    <row r="28" spans="1:2" x14ac:dyDescent="0.35">
      <c r="A28" s="23">
        <v>45572</v>
      </c>
      <c r="B28" s="21">
        <v>3759</v>
      </c>
    </row>
    <row r="29" spans="1:2" x14ac:dyDescent="0.35">
      <c r="A29" s="23">
        <v>45579</v>
      </c>
      <c r="B29" s="21">
        <v>1856</v>
      </c>
    </row>
    <row r="30" spans="1:2" x14ac:dyDescent="0.35">
      <c r="A30" s="23">
        <v>45586</v>
      </c>
      <c r="B30" s="21">
        <v>2821</v>
      </c>
    </row>
    <row r="31" spans="1:2" x14ac:dyDescent="0.35">
      <c r="A31" s="23">
        <v>45593</v>
      </c>
      <c r="B31" s="21">
        <v>2656</v>
      </c>
    </row>
    <row r="32" spans="1:2" x14ac:dyDescent="0.35">
      <c r="A32" s="22" t="s">
        <v>799</v>
      </c>
      <c r="B32" s="21"/>
    </row>
    <row r="33" spans="1:2" x14ac:dyDescent="0.35">
      <c r="A33" s="23">
        <v>45600</v>
      </c>
      <c r="B33" s="21">
        <v>4584</v>
      </c>
    </row>
    <row r="34" spans="1:2" x14ac:dyDescent="0.35">
      <c r="A34" s="23">
        <v>45607</v>
      </c>
      <c r="B34" s="21">
        <v>2295</v>
      </c>
    </row>
    <row r="35" spans="1:2" x14ac:dyDescent="0.35">
      <c r="A35" s="23">
        <v>45614</v>
      </c>
      <c r="B35" s="21">
        <v>528</v>
      </c>
    </row>
    <row r="36" spans="1:2" x14ac:dyDescent="0.35">
      <c r="A36" s="23">
        <v>45621</v>
      </c>
      <c r="B36" s="21">
        <v>4008</v>
      </c>
    </row>
    <row r="37" spans="1:2" x14ac:dyDescent="0.35">
      <c r="A37" s="22" t="s">
        <v>800</v>
      </c>
      <c r="B37" s="21"/>
    </row>
    <row r="38" spans="1:2" x14ac:dyDescent="0.35">
      <c r="A38" s="23">
        <v>45628</v>
      </c>
      <c r="B38" s="21">
        <v>4795</v>
      </c>
    </row>
    <row r="39" spans="1:2" x14ac:dyDescent="0.35">
      <c r="A39" s="23">
        <v>45635</v>
      </c>
      <c r="B39" s="21">
        <v>4792</v>
      </c>
    </row>
    <row r="40" spans="1:2" x14ac:dyDescent="0.35">
      <c r="A40" s="23">
        <v>45642</v>
      </c>
      <c r="B40" s="21">
        <v>5044</v>
      </c>
    </row>
    <row r="41" spans="1:2" x14ac:dyDescent="0.35">
      <c r="A41" s="23">
        <v>45649</v>
      </c>
      <c r="B41" s="21">
        <v>3914</v>
      </c>
    </row>
    <row r="42" spans="1:2" x14ac:dyDescent="0.35">
      <c r="A42" s="23">
        <v>45656</v>
      </c>
      <c r="B42" s="21">
        <v>6530</v>
      </c>
    </row>
    <row r="43" spans="1:2" x14ac:dyDescent="0.35">
      <c r="A43" s="20" t="s">
        <v>793</v>
      </c>
      <c r="B43" s="21"/>
    </row>
    <row r="44" spans="1:2" x14ac:dyDescent="0.35">
      <c r="A44" s="22" t="s">
        <v>801</v>
      </c>
      <c r="B44" s="21"/>
    </row>
    <row r="45" spans="1:2" x14ac:dyDescent="0.35">
      <c r="A45" s="23">
        <v>45663</v>
      </c>
      <c r="B45" s="21">
        <v>3557</v>
      </c>
    </row>
    <row r="46" spans="1:2" x14ac:dyDescent="0.35">
      <c r="A46" s="23">
        <v>45670</v>
      </c>
      <c r="B46" s="21">
        <v>2777</v>
      </c>
    </row>
    <row r="47" spans="1:2" x14ac:dyDescent="0.35">
      <c r="A47" s="23">
        <v>45677</v>
      </c>
      <c r="B47" s="21">
        <v>3614</v>
      </c>
    </row>
    <row r="48" spans="1:2" x14ac:dyDescent="0.35">
      <c r="A48" s="23">
        <v>45684</v>
      </c>
      <c r="B48" s="21">
        <v>3383</v>
      </c>
    </row>
    <row r="49" spans="1:2" x14ac:dyDescent="0.35">
      <c r="A49" s="22" t="s">
        <v>802</v>
      </c>
      <c r="B49" s="21"/>
    </row>
    <row r="50" spans="1:2" x14ac:dyDescent="0.35">
      <c r="A50" s="23">
        <v>45691</v>
      </c>
      <c r="B50" s="21">
        <v>2194</v>
      </c>
    </row>
    <row r="51" spans="1:2" x14ac:dyDescent="0.35">
      <c r="A51" s="23">
        <v>45698</v>
      </c>
      <c r="B51" s="21">
        <v>5281</v>
      </c>
    </row>
    <row r="52" spans="1:2" x14ac:dyDescent="0.35">
      <c r="A52" s="23">
        <v>45705</v>
      </c>
      <c r="B52" s="21">
        <v>3693</v>
      </c>
    </row>
    <row r="53" spans="1:2" x14ac:dyDescent="0.35">
      <c r="A53" s="23">
        <v>45712</v>
      </c>
      <c r="B53" s="21">
        <v>4806</v>
      </c>
    </row>
    <row r="54" spans="1:2" x14ac:dyDescent="0.35">
      <c r="A54" s="22" t="s">
        <v>803</v>
      </c>
      <c r="B54" s="21"/>
    </row>
    <row r="55" spans="1:2" x14ac:dyDescent="0.35">
      <c r="A55" s="23">
        <v>45719</v>
      </c>
      <c r="B55" s="21">
        <v>2410</v>
      </c>
    </row>
    <row r="56" spans="1:2" x14ac:dyDescent="0.35">
      <c r="A56" s="23">
        <v>45726</v>
      </c>
      <c r="B56" s="21">
        <v>3712</v>
      </c>
    </row>
    <row r="57" spans="1:2" x14ac:dyDescent="0.35">
      <c r="A57" s="23">
        <v>45733</v>
      </c>
      <c r="B57" s="21">
        <v>4042</v>
      </c>
    </row>
    <row r="58" spans="1:2" x14ac:dyDescent="0.35">
      <c r="A58" s="23">
        <v>45740</v>
      </c>
      <c r="B58" s="21">
        <v>1616</v>
      </c>
    </row>
    <row r="59" spans="1:2" x14ac:dyDescent="0.35">
      <c r="A59" s="23">
        <v>45747</v>
      </c>
      <c r="B59" s="21">
        <v>4298</v>
      </c>
    </row>
    <row r="60" spans="1:2" x14ac:dyDescent="0.35">
      <c r="A60" s="22" t="s">
        <v>804</v>
      </c>
      <c r="B60" s="21"/>
    </row>
    <row r="61" spans="1:2" x14ac:dyDescent="0.35">
      <c r="A61" s="23">
        <v>45754</v>
      </c>
      <c r="B61" s="21">
        <v>2412</v>
      </c>
    </row>
    <row r="62" spans="1:2" x14ac:dyDescent="0.35">
      <c r="A62" s="23">
        <v>45761</v>
      </c>
      <c r="B62" s="21">
        <v>-137</v>
      </c>
    </row>
    <row r="63" spans="1:2" x14ac:dyDescent="0.35">
      <c r="A63" s="23">
        <v>45768</v>
      </c>
      <c r="B63" s="21">
        <v>4040</v>
      </c>
    </row>
    <row r="64" spans="1:2" x14ac:dyDescent="0.35">
      <c r="A64" s="23">
        <v>45775</v>
      </c>
      <c r="B64" s="21">
        <v>3577</v>
      </c>
    </row>
    <row r="65" spans="1:2" x14ac:dyDescent="0.35">
      <c r="A65" s="22" t="s">
        <v>805</v>
      </c>
      <c r="B65" s="21"/>
    </row>
    <row r="66" spans="1:2" x14ac:dyDescent="0.35">
      <c r="A66" s="23">
        <v>45782</v>
      </c>
      <c r="B66" s="21">
        <v>4594</v>
      </c>
    </row>
    <row r="67" spans="1:2" x14ac:dyDescent="0.35">
      <c r="A67" s="23">
        <v>45789</v>
      </c>
      <c r="B67" s="21">
        <v>1995</v>
      </c>
    </row>
    <row r="68" spans="1:2" x14ac:dyDescent="0.35">
      <c r="A68" s="20" t="s">
        <v>791</v>
      </c>
      <c r="B68" s="21">
        <v>160324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777C-0F88-4566-A6B5-30B2216CD0B9}">
  <dimension ref="A3:AF205"/>
  <sheetViews>
    <sheetView showGridLines="0" workbookViewId="0">
      <selection activeCell="E33" sqref="E33"/>
    </sheetView>
  </sheetViews>
  <sheetFormatPr defaultRowHeight="14.5" x14ac:dyDescent="0.35"/>
  <cols>
    <col min="1" max="1" width="12.36328125" bestFit="1" customWidth="1"/>
    <col min="2" max="2" width="19.26953125" bestFit="1" customWidth="1"/>
  </cols>
  <sheetData>
    <row r="3" spans="1:32" ht="23" x14ac:dyDescent="0.5">
      <c r="G3" s="27" t="s">
        <v>809</v>
      </c>
      <c r="H3" s="28"/>
      <c r="I3" s="28"/>
      <c r="J3" s="28"/>
      <c r="K3" s="28"/>
      <c r="L3" s="28"/>
      <c r="M3" s="28"/>
      <c r="N3" s="28"/>
      <c r="O3" s="28"/>
      <c r="P3" s="28"/>
    </row>
    <row r="4" spans="1:32" x14ac:dyDescent="0.35">
      <c r="A4" s="18" t="s">
        <v>806</v>
      </c>
      <c r="B4" s="19" t="s">
        <v>807</v>
      </c>
    </row>
    <row r="5" spans="1:32" x14ac:dyDescent="0.35">
      <c r="A5" s="20" t="s">
        <v>655</v>
      </c>
      <c r="B5" s="21">
        <v>666</v>
      </c>
    </row>
    <row r="6" spans="1:32" x14ac:dyDescent="0.35">
      <c r="A6" s="20" t="s">
        <v>607</v>
      </c>
      <c r="B6" s="21">
        <v>-123</v>
      </c>
      <c r="AE6" s="36" t="s">
        <v>811</v>
      </c>
      <c r="AF6" s="36" t="s">
        <v>812</v>
      </c>
    </row>
    <row r="7" spans="1:32" x14ac:dyDescent="0.35">
      <c r="A7" s="20" t="s">
        <v>691</v>
      </c>
      <c r="B7" s="21">
        <v>1693</v>
      </c>
      <c r="AE7" s="37" t="s">
        <v>655</v>
      </c>
      <c r="AF7" s="38">
        <v>666</v>
      </c>
    </row>
    <row r="8" spans="1:32" x14ac:dyDescent="0.35">
      <c r="A8" s="20" t="s">
        <v>749</v>
      </c>
      <c r="B8" s="21">
        <v>899</v>
      </c>
      <c r="AE8" s="37" t="s">
        <v>607</v>
      </c>
      <c r="AF8" s="38">
        <v>-123</v>
      </c>
    </row>
    <row r="9" spans="1:32" x14ac:dyDescent="0.35">
      <c r="A9" s="20" t="s">
        <v>650</v>
      </c>
      <c r="B9" s="21">
        <v>1100</v>
      </c>
      <c r="AE9" s="37" t="s">
        <v>691</v>
      </c>
      <c r="AF9" s="38">
        <v>1693</v>
      </c>
    </row>
    <row r="10" spans="1:32" x14ac:dyDescent="0.35">
      <c r="A10" s="20" t="s">
        <v>638</v>
      </c>
      <c r="B10" s="21">
        <v>190</v>
      </c>
      <c r="AE10" s="37" t="s">
        <v>749</v>
      </c>
      <c r="AF10" s="38">
        <v>899</v>
      </c>
    </row>
    <row r="11" spans="1:32" x14ac:dyDescent="0.35">
      <c r="A11" s="20" t="s">
        <v>615</v>
      </c>
      <c r="B11" s="21">
        <v>1845</v>
      </c>
      <c r="AE11" s="37" t="s">
        <v>650</v>
      </c>
      <c r="AF11" s="38">
        <v>1100</v>
      </c>
    </row>
    <row r="12" spans="1:32" x14ac:dyDescent="0.35">
      <c r="A12" s="20" t="s">
        <v>731</v>
      </c>
      <c r="B12" s="21">
        <v>1080</v>
      </c>
      <c r="AE12" s="37" t="s">
        <v>638</v>
      </c>
      <c r="AF12" s="38">
        <v>190</v>
      </c>
    </row>
    <row r="13" spans="1:32" x14ac:dyDescent="0.35">
      <c r="A13" s="20" t="s">
        <v>773</v>
      </c>
      <c r="B13" s="21">
        <v>53</v>
      </c>
      <c r="AE13" s="37" t="s">
        <v>615</v>
      </c>
      <c r="AF13" s="38">
        <v>1845</v>
      </c>
    </row>
    <row r="14" spans="1:32" x14ac:dyDescent="0.35">
      <c r="A14" s="20" t="s">
        <v>600</v>
      </c>
      <c r="B14" s="21">
        <v>893</v>
      </c>
      <c r="AE14" s="37" t="s">
        <v>731</v>
      </c>
      <c r="AF14" s="38">
        <v>1080</v>
      </c>
    </row>
    <row r="15" spans="1:32" x14ac:dyDescent="0.35">
      <c r="A15" s="20" t="s">
        <v>754</v>
      </c>
      <c r="B15" s="21">
        <v>1242</v>
      </c>
      <c r="AE15" s="37" t="s">
        <v>773</v>
      </c>
      <c r="AF15" s="38">
        <v>53</v>
      </c>
    </row>
    <row r="16" spans="1:32" x14ac:dyDescent="0.35">
      <c r="A16" s="20" t="s">
        <v>765</v>
      </c>
      <c r="B16" s="21">
        <v>1676</v>
      </c>
      <c r="AE16" s="37" t="s">
        <v>600</v>
      </c>
      <c r="AF16" s="38">
        <v>893</v>
      </c>
    </row>
    <row r="17" spans="1:32" x14ac:dyDescent="0.35">
      <c r="A17" s="20" t="s">
        <v>656</v>
      </c>
      <c r="B17" s="21">
        <v>-19</v>
      </c>
      <c r="AE17" s="37" t="s">
        <v>754</v>
      </c>
      <c r="AF17" s="38">
        <v>1242</v>
      </c>
    </row>
    <row r="18" spans="1:32" x14ac:dyDescent="0.35">
      <c r="A18" s="20" t="s">
        <v>661</v>
      </c>
      <c r="B18" s="21">
        <v>599</v>
      </c>
      <c r="AE18" s="37" t="s">
        <v>765</v>
      </c>
      <c r="AF18" s="38">
        <v>1676</v>
      </c>
    </row>
    <row r="19" spans="1:32" x14ac:dyDescent="0.35">
      <c r="A19" s="20" t="s">
        <v>790</v>
      </c>
      <c r="B19" s="21">
        <v>-337</v>
      </c>
      <c r="AE19" s="37" t="s">
        <v>656</v>
      </c>
      <c r="AF19" s="38">
        <v>-19</v>
      </c>
    </row>
    <row r="20" spans="1:32" x14ac:dyDescent="0.35">
      <c r="A20" s="20" t="s">
        <v>721</v>
      </c>
      <c r="B20" s="21">
        <v>-144</v>
      </c>
      <c r="AE20" s="37" t="s">
        <v>661</v>
      </c>
      <c r="AF20" s="38">
        <v>599</v>
      </c>
    </row>
    <row r="21" spans="1:32" x14ac:dyDescent="0.35">
      <c r="A21" s="20" t="s">
        <v>629</v>
      </c>
      <c r="B21" s="21">
        <v>328</v>
      </c>
      <c r="AE21" s="37" t="s">
        <v>790</v>
      </c>
      <c r="AF21" s="38">
        <v>-337</v>
      </c>
    </row>
    <row r="22" spans="1:32" x14ac:dyDescent="0.35">
      <c r="A22" s="20" t="s">
        <v>646</v>
      </c>
      <c r="B22" s="21">
        <v>333</v>
      </c>
      <c r="AE22" s="37" t="s">
        <v>721</v>
      </c>
      <c r="AF22" s="38">
        <v>-144</v>
      </c>
    </row>
    <row r="23" spans="1:32" x14ac:dyDescent="0.35">
      <c r="A23" s="20" t="s">
        <v>675</v>
      </c>
      <c r="B23" s="21">
        <v>576</v>
      </c>
      <c r="AE23" s="37" t="s">
        <v>629</v>
      </c>
      <c r="AF23" s="38">
        <v>328</v>
      </c>
    </row>
    <row r="24" spans="1:32" x14ac:dyDescent="0.35">
      <c r="A24" s="20" t="s">
        <v>705</v>
      </c>
      <c r="B24" s="21">
        <v>1359</v>
      </c>
      <c r="AE24" s="37" t="s">
        <v>646</v>
      </c>
      <c r="AF24" s="38">
        <v>333</v>
      </c>
    </row>
    <row r="25" spans="1:32" x14ac:dyDescent="0.35">
      <c r="A25" s="20" t="s">
        <v>757</v>
      </c>
      <c r="B25" s="21">
        <v>861</v>
      </c>
      <c r="AE25" s="37" t="s">
        <v>675</v>
      </c>
      <c r="AF25" s="38">
        <v>576</v>
      </c>
    </row>
    <row r="26" spans="1:32" x14ac:dyDescent="0.35">
      <c r="A26" s="20" t="s">
        <v>778</v>
      </c>
      <c r="B26" s="21">
        <v>1633</v>
      </c>
      <c r="AE26" s="37" t="s">
        <v>705</v>
      </c>
      <c r="AF26" s="38">
        <v>1359</v>
      </c>
    </row>
    <row r="27" spans="1:32" x14ac:dyDescent="0.35">
      <c r="A27" s="20" t="s">
        <v>710</v>
      </c>
      <c r="B27" s="21">
        <v>1589</v>
      </c>
      <c r="AE27" s="37" t="s">
        <v>757</v>
      </c>
      <c r="AF27" s="38">
        <v>861</v>
      </c>
    </row>
    <row r="28" spans="1:32" x14ac:dyDescent="0.35">
      <c r="A28" s="20" t="s">
        <v>636</v>
      </c>
      <c r="B28" s="21">
        <v>1058</v>
      </c>
      <c r="AE28" s="37" t="s">
        <v>778</v>
      </c>
      <c r="AF28" s="38">
        <v>1633</v>
      </c>
    </row>
    <row r="29" spans="1:32" x14ac:dyDescent="0.35">
      <c r="A29" s="20" t="s">
        <v>779</v>
      </c>
      <c r="B29" s="21">
        <v>1539</v>
      </c>
      <c r="AE29" s="37" t="s">
        <v>710</v>
      </c>
      <c r="AF29" s="38">
        <v>1589</v>
      </c>
    </row>
    <row r="30" spans="1:32" x14ac:dyDescent="0.35">
      <c r="A30" s="20" t="s">
        <v>719</v>
      </c>
      <c r="B30" s="21">
        <v>1722</v>
      </c>
      <c r="AE30" s="37" t="s">
        <v>636</v>
      </c>
      <c r="AF30" s="38">
        <v>1058</v>
      </c>
    </row>
    <row r="31" spans="1:32" x14ac:dyDescent="0.35">
      <c r="A31" s="20" t="s">
        <v>753</v>
      </c>
      <c r="B31" s="21">
        <v>1350</v>
      </c>
      <c r="AE31" s="37" t="s">
        <v>779</v>
      </c>
      <c r="AF31" s="38">
        <v>1539</v>
      </c>
    </row>
    <row r="32" spans="1:32" x14ac:dyDescent="0.35">
      <c r="A32" s="20" t="s">
        <v>718</v>
      </c>
      <c r="B32" s="21">
        <v>846</v>
      </c>
      <c r="AE32" s="37" t="s">
        <v>719</v>
      </c>
      <c r="AF32" s="38">
        <v>1722</v>
      </c>
    </row>
    <row r="33" spans="1:32" x14ac:dyDescent="0.35">
      <c r="A33" s="20" t="s">
        <v>614</v>
      </c>
      <c r="B33" s="21">
        <v>514</v>
      </c>
      <c r="AE33" s="37" t="s">
        <v>753</v>
      </c>
      <c r="AF33" s="38">
        <v>1350</v>
      </c>
    </row>
    <row r="34" spans="1:32" x14ac:dyDescent="0.35">
      <c r="A34" s="20" t="s">
        <v>623</v>
      </c>
      <c r="B34" s="21">
        <v>541</v>
      </c>
      <c r="AE34" s="37" t="s">
        <v>718</v>
      </c>
      <c r="AF34" s="38">
        <v>846</v>
      </c>
    </row>
    <row r="35" spans="1:32" x14ac:dyDescent="0.35">
      <c r="A35" s="20" t="s">
        <v>649</v>
      </c>
      <c r="B35" s="21">
        <v>260</v>
      </c>
      <c r="AE35" s="37" t="s">
        <v>614</v>
      </c>
      <c r="AF35" s="38">
        <v>514</v>
      </c>
    </row>
    <row r="36" spans="1:32" x14ac:dyDescent="0.35">
      <c r="A36" s="20" t="s">
        <v>677</v>
      </c>
      <c r="B36" s="21">
        <v>37</v>
      </c>
      <c r="AE36" s="37" t="s">
        <v>623</v>
      </c>
      <c r="AF36" s="38">
        <v>541</v>
      </c>
    </row>
    <row r="37" spans="1:32" x14ac:dyDescent="0.35">
      <c r="A37" s="20" t="s">
        <v>766</v>
      </c>
      <c r="B37" s="21">
        <v>1467</v>
      </c>
      <c r="AE37" s="37" t="s">
        <v>649</v>
      </c>
      <c r="AF37" s="38">
        <v>260</v>
      </c>
    </row>
    <row r="38" spans="1:32" x14ac:dyDescent="0.35">
      <c r="A38" s="20" t="s">
        <v>785</v>
      </c>
      <c r="B38" s="21">
        <v>1510</v>
      </c>
      <c r="AE38" s="37" t="s">
        <v>677</v>
      </c>
      <c r="AF38" s="38">
        <v>37</v>
      </c>
    </row>
    <row r="39" spans="1:32" x14ac:dyDescent="0.35">
      <c r="A39" s="20" t="s">
        <v>682</v>
      </c>
      <c r="B39" s="21">
        <v>1044</v>
      </c>
      <c r="AE39" s="37" t="s">
        <v>766</v>
      </c>
      <c r="AF39" s="38">
        <v>1467</v>
      </c>
    </row>
    <row r="40" spans="1:32" x14ac:dyDescent="0.35">
      <c r="A40" s="20" t="s">
        <v>626</v>
      </c>
      <c r="B40" s="21">
        <v>475</v>
      </c>
      <c r="AE40" s="37" t="s">
        <v>785</v>
      </c>
      <c r="AF40" s="38">
        <v>1510</v>
      </c>
    </row>
    <row r="41" spans="1:32" x14ac:dyDescent="0.35">
      <c r="A41" s="20" t="s">
        <v>619</v>
      </c>
      <c r="B41" s="21">
        <v>159</v>
      </c>
      <c r="AE41" s="37" t="s">
        <v>682</v>
      </c>
      <c r="AF41" s="38">
        <v>1044</v>
      </c>
    </row>
    <row r="42" spans="1:32" x14ac:dyDescent="0.35">
      <c r="A42" s="20" t="s">
        <v>716</v>
      </c>
      <c r="B42" s="21">
        <v>620</v>
      </c>
      <c r="AE42" s="37" t="s">
        <v>626</v>
      </c>
      <c r="AF42" s="38">
        <v>475</v>
      </c>
    </row>
    <row r="43" spans="1:32" x14ac:dyDescent="0.35">
      <c r="A43" s="20" t="s">
        <v>734</v>
      </c>
      <c r="B43" s="21">
        <v>-203</v>
      </c>
      <c r="AE43" s="37" t="s">
        <v>619</v>
      </c>
      <c r="AF43" s="38">
        <v>159</v>
      </c>
    </row>
    <row r="44" spans="1:32" x14ac:dyDescent="0.35">
      <c r="A44" s="20" t="s">
        <v>604</v>
      </c>
      <c r="B44" s="21">
        <v>629</v>
      </c>
      <c r="AE44" s="37" t="s">
        <v>716</v>
      </c>
      <c r="AF44" s="38">
        <v>620</v>
      </c>
    </row>
    <row r="45" spans="1:32" x14ac:dyDescent="0.35">
      <c r="A45" s="20" t="s">
        <v>700</v>
      </c>
      <c r="B45" s="21">
        <v>1373</v>
      </c>
      <c r="AE45" s="37" t="s">
        <v>734</v>
      </c>
      <c r="AF45" s="38">
        <v>-203</v>
      </c>
    </row>
    <row r="46" spans="1:32" x14ac:dyDescent="0.35">
      <c r="A46" s="20" t="s">
        <v>704</v>
      </c>
      <c r="B46" s="21">
        <v>1377</v>
      </c>
      <c r="AE46" s="37" t="s">
        <v>604</v>
      </c>
      <c r="AF46" s="38">
        <v>629</v>
      </c>
    </row>
    <row r="47" spans="1:32" x14ac:dyDescent="0.35">
      <c r="A47" s="20" t="s">
        <v>775</v>
      </c>
      <c r="B47" s="21">
        <v>603</v>
      </c>
      <c r="AE47" s="37" t="s">
        <v>700</v>
      </c>
      <c r="AF47" s="38">
        <v>1373</v>
      </c>
    </row>
    <row r="48" spans="1:32" x14ac:dyDescent="0.35">
      <c r="A48" s="20" t="s">
        <v>729</v>
      </c>
      <c r="B48" s="21">
        <v>1426</v>
      </c>
      <c r="AE48" s="37" t="s">
        <v>704</v>
      </c>
      <c r="AF48" s="38">
        <v>1377</v>
      </c>
    </row>
    <row r="49" spans="1:32" x14ac:dyDescent="0.35">
      <c r="A49" s="20" t="s">
        <v>771</v>
      </c>
      <c r="B49" s="21">
        <v>-160</v>
      </c>
      <c r="AE49" s="37" t="s">
        <v>775</v>
      </c>
      <c r="AF49" s="38">
        <v>603</v>
      </c>
    </row>
    <row r="50" spans="1:32" x14ac:dyDescent="0.35">
      <c r="A50" s="20" t="s">
        <v>660</v>
      </c>
      <c r="B50" s="21">
        <v>-179</v>
      </c>
      <c r="AE50" s="37" t="s">
        <v>729</v>
      </c>
      <c r="AF50" s="38">
        <v>1426</v>
      </c>
    </row>
    <row r="51" spans="1:32" x14ac:dyDescent="0.35">
      <c r="A51" s="20" t="s">
        <v>767</v>
      </c>
      <c r="B51" s="21">
        <v>167</v>
      </c>
      <c r="AE51" s="37" t="s">
        <v>771</v>
      </c>
      <c r="AF51" s="38">
        <v>-160</v>
      </c>
    </row>
    <row r="52" spans="1:32" x14ac:dyDescent="0.35">
      <c r="A52" s="20" t="s">
        <v>717</v>
      </c>
      <c r="B52" s="21">
        <v>1188</v>
      </c>
      <c r="AE52" s="37" t="s">
        <v>660</v>
      </c>
      <c r="AF52" s="38">
        <v>-179</v>
      </c>
    </row>
    <row r="53" spans="1:32" x14ac:dyDescent="0.35">
      <c r="A53" s="20" t="s">
        <v>613</v>
      </c>
      <c r="B53" s="21">
        <v>547</v>
      </c>
      <c r="AE53" s="37" t="s">
        <v>767</v>
      </c>
      <c r="AF53" s="38">
        <v>167</v>
      </c>
    </row>
    <row r="54" spans="1:32" x14ac:dyDescent="0.35">
      <c r="A54" s="20" t="s">
        <v>787</v>
      </c>
      <c r="B54" s="21">
        <v>1656</v>
      </c>
      <c r="AE54" s="37" t="s">
        <v>717</v>
      </c>
      <c r="AF54" s="38">
        <v>1188</v>
      </c>
    </row>
    <row r="55" spans="1:32" x14ac:dyDescent="0.35">
      <c r="A55" s="20" t="s">
        <v>762</v>
      </c>
      <c r="B55" s="21">
        <v>389</v>
      </c>
      <c r="AE55" s="37" t="s">
        <v>613</v>
      </c>
      <c r="AF55" s="38">
        <v>547</v>
      </c>
    </row>
    <row r="56" spans="1:32" x14ac:dyDescent="0.35">
      <c r="A56" s="20" t="s">
        <v>748</v>
      </c>
      <c r="B56" s="21">
        <v>-119</v>
      </c>
      <c r="AE56" s="37" t="s">
        <v>787</v>
      </c>
      <c r="AF56" s="38">
        <v>1656</v>
      </c>
    </row>
    <row r="57" spans="1:32" x14ac:dyDescent="0.35">
      <c r="A57" s="20" t="s">
        <v>728</v>
      </c>
      <c r="B57" s="21">
        <v>898</v>
      </c>
      <c r="AE57" s="37" t="s">
        <v>762</v>
      </c>
      <c r="AF57" s="38">
        <v>389</v>
      </c>
    </row>
    <row r="58" spans="1:32" x14ac:dyDescent="0.35">
      <c r="A58" s="20" t="s">
        <v>703</v>
      </c>
      <c r="B58" s="21">
        <v>1432</v>
      </c>
      <c r="AE58" s="37" t="s">
        <v>748</v>
      </c>
      <c r="AF58" s="38">
        <v>-119</v>
      </c>
    </row>
    <row r="59" spans="1:32" x14ac:dyDescent="0.35">
      <c r="A59" s="20" t="s">
        <v>774</v>
      </c>
      <c r="B59" s="21">
        <v>145</v>
      </c>
      <c r="AE59" s="37" t="s">
        <v>728</v>
      </c>
      <c r="AF59" s="38">
        <v>898</v>
      </c>
    </row>
    <row r="60" spans="1:32" x14ac:dyDescent="0.35">
      <c r="A60" s="20" t="s">
        <v>701</v>
      </c>
      <c r="B60" s="21">
        <v>1727</v>
      </c>
      <c r="AE60" s="37" t="s">
        <v>703</v>
      </c>
      <c r="AF60" s="38">
        <v>1432</v>
      </c>
    </row>
    <row r="61" spans="1:32" x14ac:dyDescent="0.35">
      <c r="A61" s="20" t="s">
        <v>761</v>
      </c>
      <c r="B61" s="21">
        <v>292</v>
      </c>
      <c r="AE61" s="37" t="s">
        <v>774</v>
      </c>
      <c r="AF61" s="38">
        <v>145</v>
      </c>
    </row>
    <row r="62" spans="1:32" x14ac:dyDescent="0.35">
      <c r="A62" s="20" t="s">
        <v>599</v>
      </c>
      <c r="B62" s="21">
        <v>994</v>
      </c>
      <c r="AE62" s="37" t="s">
        <v>701</v>
      </c>
      <c r="AF62" s="38">
        <v>1727</v>
      </c>
    </row>
    <row r="63" spans="1:32" x14ac:dyDescent="0.35">
      <c r="A63" s="20" t="s">
        <v>673</v>
      </c>
      <c r="B63" s="21">
        <v>636</v>
      </c>
      <c r="AE63" s="37" t="s">
        <v>761</v>
      </c>
      <c r="AF63" s="38">
        <v>292</v>
      </c>
    </row>
    <row r="64" spans="1:32" x14ac:dyDescent="0.35">
      <c r="A64" s="20" t="s">
        <v>760</v>
      </c>
      <c r="B64" s="21">
        <v>474</v>
      </c>
      <c r="AE64" s="37" t="s">
        <v>599</v>
      </c>
      <c r="AF64" s="38">
        <v>994</v>
      </c>
    </row>
    <row r="65" spans="1:32" x14ac:dyDescent="0.35">
      <c r="A65" s="20" t="s">
        <v>752</v>
      </c>
      <c r="B65" s="21">
        <v>908</v>
      </c>
      <c r="AE65" s="37" t="s">
        <v>673</v>
      </c>
      <c r="AF65" s="38">
        <v>636</v>
      </c>
    </row>
    <row r="66" spans="1:32" x14ac:dyDescent="0.35">
      <c r="A66" s="20" t="s">
        <v>651</v>
      </c>
      <c r="B66" s="21">
        <v>377</v>
      </c>
      <c r="AE66" s="37" t="s">
        <v>760</v>
      </c>
      <c r="AF66" s="38">
        <v>474</v>
      </c>
    </row>
    <row r="67" spans="1:32" x14ac:dyDescent="0.35">
      <c r="A67" s="20" t="s">
        <v>637</v>
      </c>
      <c r="B67" s="21">
        <v>1665</v>
      </c>
      <c r="AE67" s="37" t="s">
        <v>752</v>
      </c>
      <c r="AF67" s="38">
        <v>908</v>
      </c>
    </row>
    <row r="68" spans="1:32" x14ac:dyDescent="0.35">
      <c r="A68" s="20" t="s">
        <v>690</v>
      </c>
      <c r="B68" s="21">
        <v>60</v>
      </c>
      <c r="AE68" s="37" t="s">
        <v>651</v>
      </c>
      <c r="AF68" s="38">
        <v>377</v>
      </c>
    </row>
    <row r="69" spans="1:32" x14ac:dyDescent="0.35">
      <c r="A69" s="20" t="s">
        <v>602</v>
      </c>
      <c r="B69" s="21">
        <v>1295</v>
      </c>
      <c r="AE69" s="37" t="s">
        <v>637</v>
      </c>
      <c r="AF69" s="38">
        <v>1665</v>
      </c>
    </row>
    <row r="70" spans="1:32" x14ac:dyDescent="0.35">
      <c r="A70" s="20" t="s">
        <v>744</v>
      </c>
      <c r="B70" s="21">
        <v>1707</v>
      </c>
      <c r="AE70" s="37" t="s">
        <v>690</v>
      </c>
      <c r="AF70" s="38">
        <v>60</v>
      </c>
    </row>
    <row r="71" spans="1:32" x14ac:dyDescent="0.35">
      <c r="A71" s="20" t="s">
        <v>699</v>
      </c>
      <c r="B71" s="21">
        <v>1119</v>
      </c>
      <c r="AE71" s="37" t="s">
        <v>602</v>
      </c>
      <c r="AF71" s="38">
        <v>1295</v>
      </c>
    </row>
    <row r="72" spans="1:32" x14ac:dyDescent="0.35">
      <c r="A72" s="20" t="s">
        <v>611</v>
      </c>
      <c r="B72" s="21">
        <v>1672</v>
      </c>
      <c r="AE72" s="37" t="s">
        <v>744</v>
      </c>
      <c r="AF72" s="38">
        <v>1707</v>
      </c>
    </row>
    <row r="73" spans="1:32" x14ac:dyDescent="0.35">
      <c r="A73" s="20" t="s">
        <v>742</v>
      </c>
      <c r="B73" s="21">
        <v>1175</v>
      </c>
      <c r="AE73" s="37" t="s">
        <v>699</v>
      </c>
      <c r="AF73" s="38">
        <v>1119</v>
      </c>
    </row>
    <row r="74" spans="1:32" x14ac:dyDescent="0.35">
      <c r="A74" s="20" t="s">
        <v>763</v>
      </c>
      <c r="B74" s="21">
        <v>641</v>
      </c>
      <c r="AE74" s="37" t="s">
        <v>611</v>
      </c>
      <c r="AF74" s="38">
        <v>1672</v>
      </c>
    </row>
    <row r="75" spans="1:32" x14ac:dyDescent="0.35">
      <c r="A75" s="20" t="s">
        <v>764</v>
      </c>
      <c r="B75" s="21">
        <v>514</v>
      </c>
      <c r="AE75" s="37" t="s">
        <v>742</v>
      </c>
      <c r="AF75" s="38">
        <v>1175</v>
      </c>
    </row>
    <row r="76" spans="1:32" x14ac:dyDescent="0.35">
      <c r="A76" s="20" t="s">
        <v>736</v>
      </c>
      <c r="B76" s="21">
        <v>912</v>
      </c>
      <c r="AE76" s="37" t="s">
        <v>763</v>
      </c>
      <c r="AF76" s="38">
        <v>641</v>
      </c>
    </row>
    <row r="77" spans="1:32" x14ac:dyDescent="0.35">
      <c r="A77" s="20" t="s">
        <v>724</v>
      </c>
      <c r="B77" s="21">
        <v>427</v>
      </c>
      <c r="AE77" s="37" t="s">
        <v>764</v>
      </c>
      <c r="AF77" s="38">
        <v>514</v>
      </c>
    </row>
    <row r="78" spans="1:32" x14ac:dyDescent="0.35">
      <c r="A78" s="20" t="s">
        <v>657</v>
      </c>
      <c r="B78" s="21">
        <v>1680</v>
      </c>
      <c r="AE78" s="37" t="s">
        <v>736</v>
      </c>
      <c r="AF78" s="38">
        <v>912</v>
      </c>
    </row>
    <row r="79" spans="1:32" x14ac:dyDescent="0.35">
      <c r="A79" s="20" t="s">
        <v>603</v>
      </c>
      <c r="B79" s="21">
        <v>337</v>
      </c>
      <c r="AE79" s="37" t="s">
        <v>724</v>
      </c>
      <c r="AF79" s="38">
        <v>427</v>
      </c>
    </row>
    <row r="80" spans="1:32" x14ac:dyDescent="0.35">
      <c r="A80" s="20" t="s">
        <v>644</v>
      </c>
      <c r="B80" s="21">
        <v>1045</v>
      </c>
      <c r="AE80" s="37" t="s">
        <v>657</v>
      </c>
      <c r="AF80" s="38">
        <v>1680</v>
      </c>
    </row>
    <row r="81" spans="1:32" x14ac:dyDescent="0.35">
      <c r="A81" s="20" t="s">
        <v>738</v>
      </c>
      <c r="B81" s="21">
        <v>1444</v>
      </c>
      <c r="AE81" s="37" t="s">
        <v>603</v>
      </c>
      <c r="AF81" s="38">
        <v>337</v>
      </c>
    </row>
    <row r="82" spans="1:32" x14ac:dyDescent="0.35">
      <c r="A82" s="20" t="s">
        <v>639</v>
      </c>
      <c r="B82" s="21">
        <v>1609</v>
      </c>
      <c r="AE82" s="37" t="s">
        <v>644</v>
      </c>
      <c r="AF82" s="38">
        <v>1045</v>
      </c>
    </row>
    <row r="83" spans="1:32" x14ac:dyDescent="0.35">
      <c r="A83" s="20" t="s">
        <v>712</v>
      </c>
      <c r="B83" s="21">
        <v>1776</v>
      </c>
      <c r="AE83" s="37" t="s">
        <v>738</v>
      </c>
      <c r="AF83" s="38">
        <v>1444</v>
      </c>
    </row>
    <row r="84" spans="1:32" x14ac:dyDescent="0.35">
      <c r="A84" s="20" t="s">
        <v>727</v>
      </c>
      <c r="B84" s="21">
        <v>-166</v>
      </c>
      <c r="AE84" s="37" t="s">
        <v>639</v>
      </c>
      <c r="AF84" s="38">
        <v>1609</v>
      </c>
    </row>
    <row r="85" spans="1:32" x14ac:dyDescent="0.35">
      <c r="A85" s="20" t="s">
        <v>645</v>
      </c>
      <c r="B85" s="21">
        <v>197</v>
      </c>
      <c r="AE85" s="37" t="s">
        <v>712</v>
      </c>
      <c r="AF85" s="38">
        <v>1776</v>
      </c>
    </row>
    <row r="86" spans="1:32" x14ac:dyDescent="0.35">
      <c r="A86" s="20" t="s">
        <v>772</v>
      </c>
      <c r="B86" s="21">
        <v>-175</v>
      </c>
      <c r="AE86" s="37" t="s">
        <v>727</v>
      </c>
      <c r="AF86" s="38">
        <v>-166</v>
      </c>
    </row>
    <row r="87" spans="1:32" x14ac:dyDescent="0.35">
      <c r="A87" s="20" t="s">
        <v>620</v>
      </c>
      <c r="B87" s="21">
        <v>961</v>
      </c>
      <c r="AE87" s="37" t="s">
        <v>645</v>
      </c>
      <c r="AF87" s="38">
        <v>197</v>
      </c>
    </row>
    <row r="88" spans="1:32" x14ac:dyDescent="0.35">
      <c r="A88" s="20" t="s">
        <v>696</v>
      </c>
      <c r="B88" s="21">
        <v>1706</v>
      </c>
      <c r="AE88" s="37" t="s">
        <v>772</v>
      </c>
      <c r="AF88" s="38">
        <v>-175</v>
      </c>
    </row>
    <row r="89" spans="1:32" x14ac:dyDescent="0.35">
      <c r="A89" s="20" t="s">
        <v>622</v>
      </c>
      <c r="B89" s="21">
        <v>317</v>
      </c>
      <c r="AE89" s="37" t="s">
        <v>620</v>
      </c>
      <c r="AF89" s="38">
        <v>961</v>
      </c>
    </row>
    <row r="90" spans="1:32" x14ac:dyDescent="0.35">
      <c r="A90" s="20" t="s">
        <v>628</v>
      </c>
      <c r="B90" s="21">
        <v>-197</v>
      </c>
      <c r="AE90" s="37" t="s">
        <v>696</v>
      </c>
      <c r="AF90" s="38">
        <v>1706</v>
      </c>
    </row>
    <row r="91" spans="1:32" x14ac:dyDescent="0.35">
      <c r="A91" s="20" t="s">
        <v>647</v>
      </c>
      <c r="B91" s="21">
        <v>1572</v>
      </c>
      <c r="AE91" s="37" t="s">
        <v>622</v>
      </c>
      <c r="AF91" s="38">
        <v>317</v>
      </c>
    </row>
    <row r="92" spans="1:32" x14ac:dyDescent="0.35">
      <c r="A92" s="20" t="s">
        <v>594</v>
      </c>
      <c r="B92" s="21">
        <v>415</v>
      </c>
      <c r="AE92" s="37" t="s">
        <v>628</v>
      </c>
      <c r="AF92" s="38">
        <v>-197</v>
      </c>
    </row>
    <row r="93" spans="1:32" x14ac:dyDescent="0.35">
      <c r="A93" s="20" t="s">
        <v>640</v>
      </c>
      <c r="B93" s="21">
        <v>37</v>
      </c>
      <c r="AE93" s="37" t="s">
        <v>647</v>
      </c>
      <c r="AF93" s="38">
        <v>1572</v>
      </c>
    </row>
    <row r="94" spans="1:32" x14ac:dyDescent="0.35">
      <c r="A94" s="20" t="s">
        <v>666</v>
      </c>
      <c r="B94" s="21">
        <v>118</v>
      </c>
      <c r="AE94" s="37" t="s">
        <v>594</v>
      </c>
      <c r="AF94" s="38">
        <v>415</v>
      </c>
    </row>
    <row r="95" spans="1:32" x14ac:dyDescent="0.35">
      <c r="A95" s="20" t="s">
        <v>618</v>
      </c>
      <c r="B95" s="21">
        <v>160</v>
      </c>
      <c r="AE95" s="37" t="s">
        <v>640</v>
      </c>
      <c r="AF95" s="38">
        <v>37</v>
      </c>
    </row>
    <row r="96" spans="1:32" x14ac:dyDescent="0.35">
      <c r="A96" s="20" t="s">
        <v>692</v>
      </c>
      <c r="B96" s="21">
        <v>1332</v>
      </c>
      <c r="AE96" s="37" t="s">
        <v>666</v>
      </c>
      <c r="AF96" s="38">
        <v>118</v>
      </c>
    </row>
    <row r="97" spans="1:32" x14ac:dyDescent="0.35">
      <c r="A97" s="20" t="s">
        <v>756</v>
      </c>
      <c r="B97" s="21">
        <v>1116</v>
      </c>
      <c r="AE97" s="37" t="s">
        <v>618</v>
      </c>
      <c r="AF97" s="38">
        <v>160</v>
      </c>
    </row>
    <row r="98" spans="1:32" x14ac:dyDescent="0.35">
      <c r="A98" s="20" t="s">
        <v>687</v>
      </c>
      <c r="B98" s="21">
        <v>-49</v>
      </c>
      <c r="AE98" s="37" t="s">
        <v>692</v>
      </c>
      <c r="AF98" s="38">
        <v>1332</v>
      </c>
    </row>
    <row r="99" spans="1:32" x14ac:dyDescent="0.35">
      <c r="A99" s="20" t="s">
        <v>735</v>
      </c>
      <c r="B99" s="21">
        <v>1723</v>
      </c>
      <c r="AE99" s="37" t="s">
        <v>756</v>
      </c>
      <c r="AF99" s="38">
        <v>1116</v>
      </c>
    </row>
    <row r="100" spans="1:32" x14ac:dyDescent="0.35">
      <c r="A100" s="20" t="s">
        <v>697</v>
      </c>
      <c r="B100" s="21">
        <v>1173</v>
      </c>
      <c r="AE100" s="37" t="s">
        <v>687</v>
      </c>
      <c r="AF100" s="38">
        <v>-49</v>
      </c>
    </row>
    <row r="101" spans="1:32" x14ac:dyDescent="0.35">
      <c r="A101" s="20" t="s">
        <v>780</v>
      </c>
      <c r="B101" s="21">
        <v>453</v>
      </c>
      <c r="AE101" s="37" t="s">
        <v>735</v>
      </c>
      <c r="AF101" s="38">
        <v>1723</v>
      </c>
    </row>
    <row r="102" spans="1:32" x14ac:dyDescent="0.35">
      <c r="A102" s="20" t="s">
        <v>610</v>
      </c>
      <c r="B102" s="21">
        <v>91</v>
      </c>
      <c r="AE102" s="37" t="s">
        <v>697</v>
      </c>
      <c r="AF102" s="38">
        <v>1173</v>
      </c>
    </row>
    <row r="103" spans="1:32" x14ac:dyDescent="0.35">
      <c r="A103" s="20" t="s">
        <v>676</v>
      </c>
      <c r="B103" s="21">
        <v>386</v>
      </c>
      <c r="AE103" s="37" t="s">
        <v>780</v>
      </c>
      <c r="AF103" s="38">
        <v>453</v>
      </c>
    </row>
    <row r="104" spans="1:32" x14ac:dyDescent="0.35">
      <c r="A104" s="20" t="s">
        <v>653</v>
      </c>
      <c r="B104" s="21">
        <v>1125</v>
      </c>
      <c r="AE104" s="37" t="s">
        <v>610</v>
      </c>
      <c r="AF104" s="38">
        <v>91</v>
      </c>
    </row>
    <row r="105" spans="1:32" x14ac:dyDescent="0.35">
      <c r="A105" s="20" t="s">
        <v>685</v>
      </c>
      <c r="B105" s="21">
        <v>1150</v>
      </c>
      <c r="AE105" s="37" t="s">
        <v>676</v>
      </c>
      <c r="AF105" s="38">
        <v>386</v>
      </c>
    </row>
    <row r="106" spans="1:32" x14ac:dyDescent="0.35">
      <c r="A106" s="20" t="s">
        <v>659</v>
      </c>
      <c r="B106" s="21">
        <v>1025</v>
      </c>
      <c r="AE106" s="37" t="s">
        <v>653</v>
      </c>
      <c r="AF106" s="38">
        <v>1125</v>
      </c>
    </row>
    <row r="107" spans="1:32" x14ac:dyDescent="0.35">
      <c r="A107" s="20" t="s">
        <v>605</v>
      </c>
      <c r="B107" s="21">
        <v>1670</v>
      </c>
      <c r="AE107" s="37" t="s">
        <v>685</v>
      </c>
      <c r="AF107" s="38">
        <v>1150</v>
      </c>
    </row>
    <row r="108" spans="1:32" x14ac:dyDescent="0.35">
      <c r="A108" s="20" t="s">
        <v>595</v>
      </c>
      <c r="B108" s="21">
        <v>1090</v>
      </c>
      <c r="AE108" s="37" t="s">
        <v>659</v>
      </c>
      <c r="AF108" s="38">
        <v>1025</v>
      </c>
    </row>
    <row r="109" spans="1:32" x14ac:dyDescent="0.35">
      <c r="A109" s="20" t="s">
        <v>750</v>
      </c>
      <c r="B109" s="21">
        <v>315</v>
      </c>
      <c r="AE109" s="37" t="s">
        <v>605</v>
      </c>
      <c r="AF109" s="38">
        <v>1670</v>
      </c>
    </row>
    <row r="110" spans="1:32" x14ac:dyDescent="0.35">
      <c r="A110" s="20" t="s">
        <v>606</v>
      </c>
      <c r="B110" s="21">
        <v>835</v>
      </c>
      <c r="AE110" s="37" t="s">
        <v>595</v>
      </c>
      <c r="AF110" s="38">
        <v>1090</v>
      </c>
    </row>
    <row r="111" spans="1:32" x14ac:dyDescent="0.35">
      <c r="A111" s="20" t="s">
        <v>740</v>
      </c>
      <c r="B111" s="21">
        <v>1590</v>
      </c>
      <c r="AE111" s="37" t="s">
        <v>750</v>
      </c>
      <c r="AF111" s="38">
        <v>315</v>
      </c>
    </row>
    <row r="112" spans="1:32" x14ac:dyDescent="0.35">
      <c r="A112" s="20" t="s">
        <v>617</v>
      </c>
      <c r="B112" s="21">
        <v>429</v>
      </c>
      <c r="AE112" s="37" t="s">
        <v>606</v>
      </c>
      <c r="AF112" s="38">
        <v>835</v>
      </c>
    </row>
    <row r="113" spans="1:32" x14ac:dyDescent="0.35">
      <c r="A113" s="20" t="s">
        <v>671</v>
      </c>
      <c r="B113" s="21">
        <v>262</v>
      </c>
      <c r="AE113" s="37" t="s">
        <v>740</v>
      </c>
      <c r="AF113" s="38">
        <v>1590</v>
      </c>
    </row>
    <row r="114" spans="1:32" x14ac:dyDescent="0.35">
      <c r="A114" s="20" t="s">
        <v>781</v>
      </c>
      <c r="B114" s="21">
        <v>948</v>
      </c>
      <c r="AE114" s="37" t="s">
        <v>617</v>
      </c>
      <c r="AF114" s="38">
        <v>429</v>
      </c>
    </row>
    <row r="115" spans="1:32" x14ac:dyDescent="0.35">
      <c r="A115" s="20" t="s">
        <v>621</v>
      </c>
      <c r="B115" s="21">
        <v>1316</v>
      </c>
      <c r="AE115" s="37" t="s">
        <v>671</v>
      </c>
      <c r="AF115" s="38">
        <v>262</v>
      </c>
    </row>
    <row r="116" spans="1:32" x14ac:dyDescent="0.35">
      <c r="A116" s="20" t="s">
        <v>642</v>
      </c>
      <c r="B116" s="21">
        <v>28</v>
      </c>
      <c r="AE116" s="37" t="s">
        <v>781</v>
      </c>
      <c r="AF116" s="38">
        <v>948</v>
      </c>
    </row>
    <row r="117" spans="1:32" x14ac:dyDescent="0.35">
      <c r="A117" s="20" t="s">
        <v>669</v>
      </c>
      <c r="B117" s="21">
        <v>-20</v>
      </c>
      <c r="AE117" s="37" t="s">
        <v>621</v>
      </c>
      <c r="AF117" s="38">
        <v>1316</v>
      </c>
    </row>
    <row r="118" spans="1:32" x14ac:dyDescent="0.35">
      <c r="A118" s="20" t="s">
        <v>633</v>
      </c>
      <c r="B118" s="21">
        <v>37</v>
      </c>
      <c r="AE118" s="37" t="s">
        <v>642</v>
      </c>
      <c r="AF118" s="38">
        <v>28</v>
      </c>
    </row>
    <row r="119" spans="1:32" x14ac:dyDescent="0.35">
      <c r="A119" s="20" t="s">
        <v>783</v>
      </c>
      <c r="B119" s="21">
        <v>1881</v>
      </c>
      <c r="AE119" s="37" t="s">
        <v>669</v>
      </c>
      <c r="AF119" s="38">
        <v>-20</v>
      </c>
    </row>
    <row r="120" spans="1:32" x14ac:dyDescent="0.35">
      <c r="A120" s="20" t="s">
        <v>747</v>
      </c>
      <c r="B120" s="21">
        <v>1315</v>
      </c>
      <c r="AE120" s="37" t="s">
        <v>633</v>
      </c>
      <c r="AF120" s="38">
        <v>37</v>
      </c>
    </row>
    <row r="121" spans="1:32" x14ac:dyDescent="0.35">
      <c r="A121" s="20" t="s">
        <v>709</v>
      </c>
      <c r="B121" s="21">
        <v>911</v>
      </c>
      <c r="AE121" s="37" t="s">
        <v>783</v>
      </c>
      <c r="AF121" s="38">
        <v>1881</v>
      </c>
    </row>
    <row r="122" spans="1:32" x14ac:dyDescent="0.35">
      <c r="A122" s="20" t="s">
        <v>635</v>
      </c>
      <c r="B122" s="21">
        <v>76</v>
      </c>
      <c r="AE122" s="37" t="s">
        <v>747</v>
      </c>
      <c r="AF122" s="38">
        <v>1315</v>
      </c>
    </row>
    <row r="123" spans="1:32" x14ac:dyDescent="0.35">
      <c r="A123" s="20" t="s">
        <v>758</v>
      </c>
      <c r="B123" s="21">
        <v>1385</v>
      </c>
      <c r="AE123" s="37" t="s">
        <v>709</v>
      </c>
      <c r="AF123" s="38">
        <v>911</v>
      </c>
    </row>
    <row r="124" spans="1:32" x14ac:dyDescent="0.35">
      <c r="A124" s="20" t="s">
        <v>681</v>
      </c>
      <c r="B124" s="21">
        <v>1603</v>
      </c>
      <c r="AE124" s="37" t="s">
        <v>635</v>
      </c>
      <c r="AF124" s="38">
        <v>76</v>
      </c>
    </row>
    <row r="125" spans="1:32" x14ac:dyDescent="0.35">
      <c r="A125" s="20" t="s">
        <v>695</v>
      </c>
      <c r="B125" s="21">
        <v>1625</v>
      </c>
      <c r="AE125" s="37" t="s">
        <v>758</v>
      </c>
      <c r="AF125" s="38">
        <v>1385</v>
      </c>
    </row>
    <row r="126" spans="1:32" x14ac:dyDescent="0.35">
      <c r="A126" s="20" t="s">
        <v>667</v>
      </c>
      <c r="B126" s="21">
        <v>1224</v>
      </c>
      <c r="AE126" s="37" t="s">
        <v>681</v>
      </c>
      <c r="AF126" s="38">
        <v>1603</v>
      </c>
    </row>
    <row r="127" spans="1:32" x14ac:dyDescent="0.35">
      <c r="A127" s="20" t="s">
        <v>679</v>
      </c>
      <c r="B127" s="21">
        <v>1397</v>
      </c>
      <c r="AE127" s="37" t="s">
        <v>695</v>
      </c>
      <c r="AF127" s="38">
        <v>1625</v>
      </c>
    </row>
    <row r="128" spans="1:32" x14ac:dyDescent="0.35">
      <c r="A128" s="20" t="s">
        <v>662</v>
      </c>
      <c r="B128" s="21">
        <v>1706</v>
      </c>
      <c r="AE128" s="37" t="s">
        <v>667</v>
      </c>
      <c r="AF128" s="38">
        <v>1224</v>
      </c>
    </row>
    <row r="129" spans="1:32" x14ac:dyDescent="0.35">
      <c r="A129" s="20" t="s">
        <v>715</v>
      </c>
      <c r="B129" s="21">
        <v>903</v>
      </c>
      <c r="AE129" s="37" t="s">
        <v>679</v>
      </c>
      <c r="AF129" s="38">
        <v>1397</v>
      </c>
    </row>
    <row r="130" spans="1:32" x14ac:dyDescent="0.35">
      <c r="A130" s="20" t="s">
        <v>741</v>
      </c>
      <c r="B130" s="21">
        <v>-37</v>
      </c>
      <c r="AE130" s="37" t="s">
        <v>662</v>
      </c>
      <c r="AF130" s="38">
        <v>1706</v>
      </c>
    </row>
    <row r="131" spans="1:32" x14ac:dyDescent="0.35">
      <c r="A131" s="20" t="s">
        <v>643</v>
      </c>
      <c r="B131" s="21">
        <v>1247</v>
      </c>
      <c r="AE131" s="37" t="s">
        <v>715</v>
      </c>
      <c r="AF131" s="38">
        <v>903</v>
      </c>
    </row>
    <row r="132" spans="1:32" x14ac:dyDescent="0.35">
      <c r="A132" s="20" t="s">
        <v>694</v>
      </c>
      <c r="B132" s="21">
        <v>885</v>
      </c>
      <c r="AE132" s="37" t="s">
        <v>741</v>
      </c>
      <c r="AF132" s="38">
        <v>-37</v>
      </c>
    </row>
    <row r="133" spans="1:32" x14ac:dyDescent="0.35">
      <c r="A133" s="20" t="s">
        <v>632</v>
      </c>
      <c r="B133" s="21">
        <v>1334</v>
      </c>
      <c r="AE133" s="37" t="s">
        <v>643</v>
      </c>
      <c r="AF133" s="38">
        <v>1247</v>
      </c>
    </row>
    <row r="134" spans="1:32" x14ac:dyDescent="0.35">
      <c r="A134" s="20" t="s">
        <v>684</v>
      </c>
      <c r="B134" s="21">
        <v>-106</v>
      </c>
      <c r="AE134" s="37" t="s">
        <v>694</v>
      </c>
      <c r="AF134" s="38">
        <v>885</v>
      </c>
    </row>
    <row r="135" spans="1:32" x14ac:dyDescent="0.35">
      <c r="A135" s="20" t="s">
        <v>612</v>
      </c>
      <c r="B135" s="21">
        <v>309</v>
      </c>
      <c r="AE135" s="37" t="s">
        <v>632</v>
      </c>
      <c r="AF135" s="38">
        <v>1334</v>
      </c>
    </row>
    <row r="136" spans="1:32" x14ac:dyDescent="0.35">
      <c r="A136" s="20" t="s">
        <v>658</v>
      </c>
      <c r="B136" s="21">
        <v>1006</v>
      </c>
      <c r="AE136" s="37" t="s">
        <v>684</v>
      </c>
      <c r="AF136" s="38">
        <v>-106</v>
      </c>
    </row>
    <row r="137" spans="1:32" x14ac:dyDescent="0.35">
      <c r="A137" s="20" t="s">
        <v>746</v>
      </c>
      <c r="B137" s="21">
        <v>1016</v>
      </c>
      <c r="AE137" s="37" t="s">
        <v>612</v>
      </c>
      <c r="AF137" s="38">
        <v>309</v>
      </c>
    </row>
    <row r="138" spans="1:32" x14ac:dyDescent="0.35">
      <c r="A138" s="20" t="s">
        <v>625</v>
      </c>
      <c r="B138" s="21">
        <v>1495</v>
      </c>
      <c r="AE138" s="37" t="s">
        <v>658</v>
      </c>
      <c r="AF138" s="38">
        <v>1006</v>
      </c>
    </row>
    <row r="139" spans="1:32" x14ac:dyDescent="0.35">
      <c r="A139" s="20" t="s">
        <v>693</v>
      </c>
      <c r="B139" s="21">
        <v>98</v>
      </c>
      <c r="AE139" s="37" t="s">
        <v>746</v>
      </c>
      <c r="AF139" s="38">
        <v>1016</v>
      </c>
    </row>
    <row r="140" spans="1:32" x14ac:dyDescent="0.35">
      <c r="A140" s="20" t="s">
        <v>770</v>
      </c>
      <c r="B140" s="21">
        <v>209</v>
      </c>
      <c r="AE140" s="37" t="s">
        <v>625</v>
      </c>
      <c r="AF140" s="38">
        <v>1495</v>
      </c>
    </row>
    <row r="141" spans="1:32" x14ac:dyDescent="0.35">
      <c r="A141" s="20" t="s">
        <v>714</v>
      </c>
      <c r="B141" s="21">
        <v>1460</v>
      </c>
      <c r="AE141" s="37" t="s">
        <v>693</v>
      </c>
      <c r="AF141" s="38">
        <v>98</v>
      </c>
    </row>
    <row r="142" spans="1:32" x14ac:dyDescent="0.35">
      <c r="A142" s="20" t="s">
        <v>688</v>
      </c>
      <c r="B142" s="21">
        <v>72</v>
      </c>
      <c r="AE142" s="37" t="s">
        <v>770</v>
      </c>
      <c r="AF142" s="38">
        <v>209</v>
      </c>
    </row>
    <row r="143" spans="1:32" x14ac:dyDescent="0.35">
      <c r="A143" s="20" t="s">
        <v>789</v>
      </c>
      <c r="B143" s="21">
        <v>269</v>
      </c>
      <c r="AE143" s="37" t="s">
        <v>714</v>
      </c>
      <c r="AF143" s="38">
        <v>1460</v>
      </c>
    </row>
    <row r="144" spans="1:32" x14ac:dyDescent="0.35">
      <c r="A144" s="20" t="s">
        <v>711</v>
      </c>
      <c r="B144" s="21">
        <v>1765</v>
      </c>
      <c r="AE144" s="37" t="s">
        <v>688</v>
      </c>
      <c r="AF144" s="38">
        <v>72</v>
      </c>
    </row>
    <row r="145" spans="1:32" x14ac:dyDescent="0.35">
      <c r="A145" s="20" t="s">
        <v>665</v>
      </c>
      <c r="B145" s="21">
        <v>107</v>
      </c>
      <c r="AE145" s="37" t="s">
        <v>789</v>
      </c>
      <c r="AF145" s="38">
        <v>269</v>
      </c>
    </row>
    <row r="146" spans="1:32" x14ac:dyDescent="0.35">
      <c r="A146" s="20" t="s">
        <v>707</v>
      </c>
      <c r="B146" s="21">
        <v>684</v>
      </c>
      <c r="AE146" s="37" t="s">
        <v>711</v>
      </c>
      <c r="AF146" s="38">
        <v>1765</v>
      </c>
    </row>
    <row r="147" spans="1:32" x14ac:dyDescent="0.35">
      <c r="A147" s="20" t="s">
        <v>624</v>
      </c>
      <c r="B147" s="21">
        <v>-318</v>
      </c>
      <c r="AE147" s="37" t="s">
        <v>665</v>
      </c>
      <c r="AF147" s="38">
        <v>107</v>
      </c>
    </row>
    <row r="148" spans="1:32" x14ac:dyDescent="0.35">
      <c r="A148" s="20" t="s">
        <v>680</v>
      </c>
      <c r="B148" s="21">
        <v>540</v>
      </c>
      <c r="AE148" s="37" t="s">
        <v>707</v>
      </c>
      <c r="AF148" s="38">
        <v>684</v>
      </c>
    </row>
    <row r="149" spans="1:32" x14ac:dyDescent="0.35">
      <c r="A149" s="20" t="s">
        <v>732</v>
      </c>
      <c r="B149" s="21">
        <v>748</v>
      </c>
      <c r="AE149" s="37" t="s">
        <v>624</v>
      </c>
      <c r="AF149" s="38">
        <v>-318</v>
      </c>
    </row>
    <row r="150" spans="1:32" x14ac:dyDescent="0.35">
      <c r="A150" s="20" t="s">
        <v>648</v>
      </c>
      <c r="B150" s="21">
        <v>1428</v>
      </c>
      <c r="AE150" s="37" t="s">
        <v>680</v>
      </c>
      <c r="AF150" s="38">
        <v>540</v>
      </c>
    </row>
    <row r="151" spans="1:32" x14ac:dyDescent="0.35">
      <c r="A151" s="20" t="s">
        <v>722</v>
      </c>
      <c r="B151" s="21">
        <v>901</v>
      </c>
      <c r="AE151" s="37" t="s">
        <v>732</v>
      </c>
      <c r="AF151" s="38">
        <v>748</v>
      </c>
    </row>
    <row r="152" spans="1:32" x14ac:dyDescent="0.35">
      <c r="A152" s="20" t="s">
        <v>698</v>
      </c>
      <c r="B152" s="21">
        <v>291</v>
      </c>
      <c r="AE152" s="37" t="s">
        <v>648</v>
      </c>
      <c r="AF152" s="38">
        <v>1428</v>
      </c>
    </row>
    <row r="153" spans="1:32" x14ac:dyDescent="0.35">
      <c r="A153" s="20" t="s">
        <v>663</v>
      </c>
      <c r="B153" s="21">
        <v>1872</v>
      </c>
      <c r="AE153" s="37" t="s">
        <v>722</v>
      </c>
      <c r="AF153" s="38">
        <v>901</v>
      </c>
    </row>
    <row r="154" spans="1:32" x14ac:dyDescent="0.35">
      <c r="A154" s="20" t="s">
        <v>608</v>
      </c>
      <c r="B154" s="21">
        <v>64</v>
      </c>
      <c r="AE154" s="37" t="s">
        <v>698</v>
      </c>
      <c r="AF154" s="38">
        <v>291</v>
      </c>
    </row>
    <row r="155" spans="1:32" x14ac:dyDescent="0.35">
      <c r="A155" s="20" t="s">
        <v>672</v>
      </c>
      <c r="B155" s="21">
        <v>439</v>
      </c>
      <c r="AE155" s="37" t="s">
        <v>663</v>
      </c>
      <c r="AF155" s="38">
        <v>1872</v>
      </c>
    </row>
    <row r="156" spans="1:32" x14ac:dyDescent="0.35">
      <c r="A156" s="20" t="s">
        <v>737</v>
      </c>
      <c r="B156" s="21">
        <v>1202</v>
      </c>
      <c r="AE156" s="37" t="s">
        <v>608</v>
      </c>
      <c r="AF156" s="38">
        <v>64</v>
      </c>
    </row>
    <row r="157" spans="1:32" x14ac:dyDescent="0.35">
      <c r="A157" s="20" t="s">
        <v>769</v>
      </c>
      <c r="B157" s="21">
        <v>1007</v>
      </c>
      <c r="AE157" s="37" t="s">
        <v>672</v>
      </c>
      <c r="AF157" s="38">
        <v>439</v>
      </c>
    </row>
    <row r="158" spans="1:32" x14ac:dyDescent="0.35">
      <c r="A158" s="20" t="s">
        <v>723</v>
      </c>
      <c r="B158" s="21">
        <v>1572</v>
      </c>
      <c r="AE158" s="37" t="s">
        <v>737</v>
      </c>
      <c r="AF158" s="38">
        <v>1202</v>
      </c>
    </row>
    <row r="159" spans="1:32" x14ac:dyDescent="0.35">
      <c r="A159" s="20" t="s">
        <v>616</v>
      </c>
      <c r="B159" s="21">
        <v>-164</v>
      </c>
      <c r="AE159" s="37" t="s">
        <v>769</v>
      </c>
      <c r="AF159" s="38">
        <v>1007</v>
      </c>
    </row>
    <row r="160" spans="1:32" x14ac:dyDescent="0.35">
      <c r="A160" s="20" t="s">
        <v>664</v>
      </c>
      <c r="B160" s="21">
        <v>1662</v>
      </c>
      <c r="AE160" s="37" t="s">
        <v>723</v>
      </c>
      <c r="AF160" s="38">
        <v>1572</v>
      </c>
    </row>
    <row r="161" spans="1:32" x14ac:dyDescent="0.35">
      <c r="A161" s="20" t="s">
        <v>730</v>
      </c>
      <c r="B161" s="21">
        <v>1225</v>
      </c>
      <c r="AE161" s="37" t="s">
        <v>616</v>
      </c>
      <c r="AF161" s="38">
        <v>-164</v>
      </c>
    </row>
    <row r="162" spans="1:32" x14ac:dyDescent="0.35">
      <c r="A162" s="20" t="s">
        <v>739</v>
      </c>
      <c r="B162" s="21">
        <v>965</v>
      </c>
      <c r="AE162" s="37" t="s">
        <v>664</v>
      </c>
      <c r="AF162" s="38">
        <v>1662</v>
      </c>
    </row>
    <row r="163" spans="1:32" x14ac:dyDescent="0.35">
      <c r="A163" s="20" t="s">
        <v>674</v>
      </c>
      <c r="B163" s="21">
        <v>1484</v>
      </c>
      <c r="AE163" s="37" t="s">
        <v>730</v>
      </c>
      <c r="AF163" s="38">
        <v>1225</v>
      </c>
    </row>
    <row r="164" spans="1:32" x14ac:dyDescent="0.35">
      <c r="A164" s="20" t="s">
        <v>725</v>
      </c>
      <c r="B164" s="21">
        <v>891</v>
      </c>
      <c r="AE164" s="37" t="s">
        <v>739</v>
      </c>
      <c r="AF164" s="38">
        <v>965</v>
      </c>
    </row>
    <row r="165" spans="1:32" x14ac:dyDescent="0.35">
      <c r="A165" s="20" t="s">
        <v>720</v>
      </c>
      <c r="B165" s="21">
        <v>298</v>
      </c>
      <c r="AE165" s="37" t="s">
        <v>674</v>
      </c>
      <c r="AF165" s="38">
        <v>1484</v>
      </c>
    </row>
    <row r="166" spans="1:32" x14ac:dyDescent="0.35">
      <c r="A166" s="20" t="s">
        <v>702</v>
      </c>
      <c r="B166" s="21">
        <v>573</v>
      </c>
      <c r="AE166" s="37" t="s">
        <v>725</v>
      </c>
      <c r="AF166" s="38">
        <v>891</v>
      </c>
    </row>
    <row r="167" spans="1:32" x14ac:dyDescent="0.35">
      <c r="A167" s="20" t="s">
        <v>678</v>
      </c>
      <c r="B167" s="21">
        <v>1657</v>
      </c>
      <c r="AE167" s="37" t="s">
        <v>720</v>
      </c>
      <c r="AF167" s="38">
        <v>298</v>
      </c>
    </row>
    <row r="168" spans="1:32" x14ac:dyDescent="0.35">
      <c r="A168" s="20" t="s">
        <v>601</v>
      </c>
      <c r="B168" s="21">
        <v>1382</v>
      </c>
      <c r="AE168" s="37" t="s">
        <v>702</v>
      </c>
      <c r="AF168" s="38">
        <v>573</v>
      </c>
    </row>
    <row r="169" spans="1:32" x14ac:dyDescent="0.35">
      <c r="A169" s="20" t="s">
        <v>631</v>
      </c>
      <c r="B169" s="21">
        <v>1325</v>
      </c>
      <c r="AE169" s="37" t="s">
        <v>678</v>
      </c>
      <c r="AF169" s="38">
        <v>1657</v>
      </c>
    </row>
    <row r="170" spans="1:32" x14ac:dyDescent="0.35">
      <c r="A170" s="20" t="s">
        <v>652</v>
      </c>
      <c r="B170" s="21">
        <v>98</v>
      </c>
      <c r="AE170" s="37" t="s">
        <v>601</v>
      </c>
      <c r="AF170" s="38">
        <v>1382</v>
      </c>
    </row>
    <row r="171" spans="1:32" x14ac:dyDescent="0.35">
      <c r="A171" s="20" t="s">
        <v>708</v>
      </c>
      <c r="B171" s="21">
        <v>730</v>
      </c>
      <c r="AE171" s="37" t="s">
        <v>631</v>
      </c>
      <c r="AF171" s="38">
        <v>1325</v>
      </c>
    </row>
    <row r="172" spans="1:32" x14ac:dyDescent="0.35">
      <c r="A172" s="20" t="s">
        <v>768</v>
      </c>
      <c r="B172" s="21">
        <v>1029</v>
      </c>
      <c r="AE172" s="37" t="s">
        <v>652</v>
      </c>
      <c r="AF172" s="38">
        <v>98</v>
      </c>
    </row>
    <row r="173" spans="1:32" x14ac:dyDescent="0.35">
      <c r="A173" s="20" t="s">
        <v>683</v>
      </c>
      <c r="B173" s="21">
        <v>902</v>
      </c>
      <c r="AE173" s="37" t="s">
        <v>708</v>
      </c>
      <c r="AF173" s="38">
        <v>730</v>
      </c>
    </row>
    <row r="174" spans="1:32" x14ac:dyDescent="0.35">
      <c r="A174" s="20" t="s">
        <v>733</v>
      </c>
      <c r="B174" s="21">
        <v>569</v>
      </c>
      <c r="AE174" s="37" t="s">
        <v>768</v>
      </c>
      <c r="AF174" s="38">
        <v>1029</v>
      </c>
    </row>
    <row r="175" spans="1:32" x14ac:dyDescent="0.35">
      <c r="A175" s="20" t="s">
        <v>784</v>
      </c>
      <c r="B175" s="21">
        <v>339</v>
      </c>
      <c r="AE175" s="37" t="s">
        <v>683</v>
      </c>
      <c r="AF175" s="38">
        <v>902</v>
      </c>
    </row>
    <row r="176" spans="1:32" x14ac:dyDescent="0.35">
      <c r="A176" s="20" t="s">
        <v>759</v>
      </c>
      <c r="B176" s="21">
        <v>461</v>
      </c>
      <c r="AE176" s="37" t="s">
        <v>733</v>
      </c>
      <c r="AF176" s="38">
        <v>569</v>
      </c>
    </row>
    <row r="177" spans="1:32" x14ac:dyDescent="0.35">
      <c r="A177" s="20" t="s">
        <v>627</v>
      </c>
      <c r="B177" s="21">
        <v>352</v>
      </c>
      <c r="AE177" s="37" t="s">
        <v>784</v>
      </c>
      <c r="AF177" s="38">
        <v>339</v>
      </c>
    </row>
    <row r="178" spans="1:32" x14ac:dyDescent="0.35">
      <c r="A178" s="20" t="s">
        <v>630</v>
      </c>
      <c r="B178" s="21">
        <v>319</v>
      </c>
      <c r="AE178" s="37" t="s">
        <v>759</v>
      </c>
      <c r="AF178" s="38">
        <v>461</v>
      </c>
    </row>
    <row r="179" spans="1:32" x14ac:dyDescent="0.35">
      <c r="A179" s="20" t="s">
        <v>788</v>
      </c>
      <c r="B179" s="21">
        <v>407</v>
      </c>
      <c r="AE179" s="37" t="s">
        <v>627</v>
      </c>
      <c r="AF179" s="38">
        <v>352</v>
      </c>
    </row>
    <row r="180" spans="1:32" x14ac:dyDescent="0.35">
      <c r="A180" s="20" t="s">
        <v>706</v>
      </c>
      <c r="B180" s="21">
        <v>876</v>
      </c>
      <c r="AE180" s="37" t="s">
        <v>630</v>
      </c>
      <c r="AF180" s="38">
        <v>319</v>
      </c>
    </row>
    <row r="181" spans="1:32" x14ac:dyDescent="0.35">
      <c r="A181" s="20" t="s">
        <v>743</v>
      </c>
      <c r="B181" s="21">
        <v>1375</v>
      </c>
      <c r="AE181" s="37" t="s">
        <v>788</v>
      </c>
      <c r="AF181" s="38">
        <v>407</v>
      </c>
    </row>
    <row r="182" spans="1:32" x14ac:dyDescent="0.35">
      <c r="A182" s="20" t="s">
        <v>689</v>
      </c>
      <c r="B182" s="21">
        <v>445</v>
      </c>
      <c r="AE182" s="37" t="s">
        <v>706</v>
      </c>
      <c r="AF182" s="38">
        <v>876</v>
      </c>
    </row>
    <row r="183" spans="1:32" x14ac:dyDescent="0.35">
      <c r="A183" s="20" t="s">
        <v>654</v>
      </c>
      <c r="B183" s="21">
        <v>-32</v>
      </c>
      <c r="AE183" s="37" t="s">
        <v>743</v>
      </c>
      <c r="AF183" s="38">
        <v>1375</v>
      </c>
    </row>
    <row r="184" spans="1:32" x14ac:dyDescent="0.35">
      <c r="A184" s="20" t="s">
        <v>592</v>
      </c>
      <c r="B184" s="21">
        <v>1047</v>
      </c>
      <c r="AE184" s="37" t="s">
        <v>689</v>
      </c>
      <c r="AF184" s="38">
        <v>445</v>
      </c>
    </row>
    <row r="185" spans="1:32" x14ac:dyDescent="0.35">
      <c r="A185" s="20" t="s">
        <v>609</v>
      </c>
      <c r="B185" s="21">
        <v>1357</v>
      </c>
      <c r="AE185" s="37" t="s">
        <v>654</v>
      </c>
      <c r="AF185" s="38">
        <v>-32</v>
      </c>
    </row>
    <row r="186" spans="1:32" x14ac:dyDescent="0.35">
      <c r="A186" s="20" t="s">
        <v>751</v>
      </c>
      <c r="B186" s="21">
        <v>212</v>
      </c>
      <c r="AE186" s="37" t="s">
        <v>592</v>
      </c>
      <c r="AF186" s="38">
        <v>1047</v>
      </c>
    </row>
    <row r="187" spans="1:32" x14ac:dyDescent="0.35">
      <c r="A187" s="20" t="s">
        <v>670</v>
      </c>
      <c r="B187" s="21">
        <v>367</v>
      </c>
      <c r="AE187" s="37" t="s">
        <v>609</v>
      </c>
      <c r="AF187" s="38">
        <v>1357</v>
      </c>
    </row>
    <row r="188" spans="1:32" x14ac:dyDescent="0.35">
      <c r="A188" s="20" t="s">
        <v>782</v>
      </c>
      <c r="B188" s="21">
        <v>637</v>
      </c>
      <c r="AE188" s="37" t="s">
        <v>751</v>
      </c>
      <c r="AF188" s="38">
        <v>212</v>
      </c>
    </row>
    <row r="189" spans="1:32" x14ac:dyDescent="0.35">
      <c r="A189" s="20" t="s">
        <v>634</v>
      </c>
      <c r="B189" s="21">
        <v>1032</v>
      </c>
      <c r="AE189" s="37" t="s">
        <v>670</v>
      </c>
      <c r="AF189" s="38">
        <v>367</v>
      </c>
    </row>
    <row r="190" spans="1:32" x14ac:dyDescent="0.35">
      <c r="A190" s="20" t="s">
        <v>668</v>
      </c>
      <c r="B190" s="21">
        <v>285</v>
      </c>
      <c r="AE190" s="37" t="s">
        <v>782</v>
      </c>
      <c r="AF190" s="38">
        <v>637</v>
      </c>
    </row>
    <row r="191" spans="1:32" x14ac:dyDescent="0.35">
      <c r="A191" s="20" t="s">
        <v>786</v>
      </c>
      <c r="B191" s="21">
        <v>864</v>
      </c>
      <c r="AE191" s="37" t="s">
        <v>634</v>
      </c>
      <c r="AF191" s="38">
        <v>1032</v>
      </c>
    </row>
    <row r="192" spans="1:32" x14ac:dyDescent="0.35">
      <c r="A192" s="20" t="s">
        <v>726</v>
      </c>
      <c r="B192" s="21">
        <v>724</v>
      </c>
      <c r="AE192" s="37" t="s">
        <v>668</v>
      </c>
      <c r="AF192" s="38">
        <v>285</v>
      </c>
    </row>
    <row r="193" spans="1:32" x14ac:dyDescent="0.35">
      <c r="A193" s="20" t="s">
        <v>776</v>
      </c>
      <c r="B193" s="21">
        <v>1045</v>
      </c>
      <c r="AE193" s="37" t="s">
        <v>786</v>
      </c>
      <c r="AF193" s="38">
        <v>864</v>
      </c>
    </row>
    <row r="194" spans="1:32" x14ac:dyDescent="0.35">
      <c r="A194" s="20" t="s">
        <v>597</v>
      </c>
      <c r="B194" s="21">
        <v>1283</v>
      </c>
      <c r="AE194" s="37" t="s">
        <v>726</v>
      </c>
      <c r="AF194" s="38">
        <v>724</v>
      </c>
    </row>
    <row r="195" spans="1:32" x14ac:dyDescent="0.35">
      <c r="A195" s="20" t="s">
        <v>777</v>
      </c>
      <c r="B195" s="21">
        <v>759</v>
      </c>
      <c r="AE195" s="37" t="s">
        <v>776</v>
      </c>
      <c r="AF195" s="38">
        <v>1045</v>
      </c>
    </row>
    <row r="196" spans="1:32" x14ac:dyDescent="0.35">
      <c r="A196" s="20" t="s">
        <v>745</v>
      </c>
      <c r="B196" s="21">
        <v>708</v>
      </c>
      <c r="AE196" s="37" t="s">
        <v>597</v>
      </c>
      <c r="AF196" s="38">
        <v>1283</v>
      </c>
    </row>
    <row r="197" spans="1:32" x14ac:dyDescent="0.35">
      <c r="A197" s="20" t="s">
        <v>598</v>
      </c>
      <c r="B197" s="21">
        <v>186</v>
      </c>
      <c r="AE197" s="37" t="s">
        <v>777</v>
      </c>
      <c r="AF197" s="38">
        <v>759</v>
      </c>
    </row>
    <row r="198" spans="1:32" x14ac:dyDescent="0.35">
      <c r="A198" s="20" t="s">
        <v>713</v>
      </c>
      <c r="B198" s="21">
        <v>1529</v>
      </c>
      <c r="AE198" s="37" t="s">
        <v>745</v>
      </c>
      <c r="AF198" s="38">
        <v>708</v>
      </c>
    </row>
    <row r="199" spans="1:32" x14ac:dyDescent="0.35">
      <c r="A199" s="20" t="s">
        <v>686</v>
      </c>
      <c r="B199" s="21">
        <v>349</v>
      </c>
      <c r="AE199" s="37" t="s">
        <v>598</v>
      </c>
      <c r="AF199" s="38">
        <v>186</v>
      </c>
    </row>
    <row r="200" spans="1:32" x14ac:dyDescent="0.35">
      <c r="A200" s="20" t="s">
        <v>755</v>
      </c>
      <c r="B200" s="21">
        <v>680</v>
      </c>
      <c r="AE200" s="37" t="s">
        <v>713</v>
      </c>
      <c r="AF200" s="38">
        <v>1529</v>
      </c>
    </row>
    <row r="201" spans="1:32" x14ac:dyDescent="0.35">
      <c r="A201" s="20" t="s">
        <v>593</v>
      </c>
      <c r="B201" s="21">
        <v>1002</v>
      </c>
      <c r="AE201" s="37" t="s">
        <v>686</v>
      </c>
      <c r="AF201" s="38">
        <v>349</v>
      </c>
    </row>
    <row r="202" spans="1:32" x14ac:dyDescent="0.35">
      <c r="A202" s="20" t="s">
        <v>596</v>
      </c>
      <c r="B202" s="21">
        <v>517</v>
      </c>
      <c r="AE202" s="37" t="s">
        <v>755</v>
      </c>
      <c r="AF202" s="38">
        <v>680</v>
      </c>
    </row>
    <row r="203" spans="1:32" x14ac:dyDescent="0.35">
      <c r="A203" s="20" t="s">
        <v>641</v>
      </c>
      <c r="B203" s="21">
        <v>1229</v>
      </c>
      <c r="AE203" s="37" t="s">
        <v>593</v>
      </c>
      <c r="AF203" s="38">
        <v>1002</v>
      </c>
    </row>
    <row r="204" spans="1:32" x14ac:dyDescent="0.35">
      <c r="A204" s="10" t="s">
        <v>791</v>
      </c>
      <c r="B204" s="9">
        <v>160324</v>
      </c>
      <c r="AE204" s="37" t="s">
        <v>596</v>
      </c>
      <c r="AF204" s="38">
        <v>517</v>
      </c>
    </row>
    <row r="205" spans="1:32" x14ac:dyDescent="0.35">
      <c r="B205" s="31"/>
      <c r="AE205" s="37" t="s">
        <v>641</v>
      </c>
      <c r="AF205" s="38">
        <v>1229</v>
      </c>
    </row>
  </sheetData>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C930C2-3464-4D90-A8BC-67756C3912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Posts</vt:lpstr>
      <vt:lpstr>Engagement Summary correlation</vt:lpstr>
      <vt:lpstr>Engagement Summary (2)</vt:lpstr>
      <vt:lpstr>Weekly follower growth line cha</vt:lpstr>
      <vt:lpstr>highest net follower gain</vt:lpstr>
      <vt:lpstr>Moving Average</vt:lpstr>
      <vt:lpstr>Correlation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Rashmita Pradhan</cp:lastModifiedBy>
  <dcterms:created xsi:type="dcterms:W3CDTF">2025-05-26T02:16:03Z</dcterms:created>
  <dcterms:modified xsi:type="dcterms:W3CDTF">2026-01-21T17:55:32Z</dcterms:modified>
</cp:coreProperties>
</file>