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mia\Downloads\PEPSICO PROJECT (DS)\"/>
    </mc:Choice>
  </mc:AlternateContent>
  <xr:revisionPtr revIDLastSave="0" documentId="13_ncr:1_{90695736-09EE-4D32-9DCC-14383FAF72F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 tables and charts" sheetId="4" r:id="rId1"/>
    <sheet name="Engagement Summary (2)" sheetId="6" r:id="rId2"/>
    <sheet name="Engagement Summary" sheetId="2" r:id="rId3"/>
  </sheets>
  <definedNames>
    <definedName name="_xlnm._FilterDatabase" localSheetId="2" hidden="1">'Engagement Summary'!$A$1:$I$201</definedName>
    <definedName name="_xlcn.WorksheetConnection_EngagementSummaryA1G2011" hidden="1">'Engagement Summary'!$A$1:$G$201</definedName>
    <definedName name="_xlcn.WorksheetConnection_TASK3SocialMediaPlatformanalysis.xlsxEngagement_Summary1" hidden="1">Engagement_Summary[]</definedName>
    <definedName name="ExternalData_1" localSheetId="1" hidden="1">'Engagement Summary (2)'!$A$1:$I$1000</definedName>
  </definedNames>
  <calcPr calcId="191029"/>
  <pivotCaches>
    <pivotCache cacheId="11" r:id="rId4"/>
    <pivotCache cacheId="12" r:id="rId5"/>
    <pivotCache cacheId="13" r:id="rId6"/>
  </pivotCaches>
  <extLst>
    <ext xmlns:x15="http://schemas.microsoft.com/office/spreadsheetml/2010/11/main" uri="{FCE2AD5D-F65C-4FA6-A056-5C36A1767C68}">
      <x15:dataModel>
        <x15:modelTables>
          <x15:modelTable id="Engagement_Summary" name="Engagement_Summary" connection="WorksheetConnection_TASK 3 Social Media Platform analysis.xlsx!Engagement_Summary"/>
          <x15:modelTable id="Range" name="Range" connection="WorksheetConnection_Engagement Summary!$A$1:$G$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bhSlxfWvTgv8XKEk2OsP6o8jWik31LnAbkDVGdJdyIg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9D914F-F285-410B-9DE3-CA2286189325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2" xr16:uid="{FD3D1F25-10B8-417E-8495-B8409F3FE83B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798A844-B553-4B4A-A8EE-2AAEEFFB6484}" name="WorksheetConnection_Engagement Summary!$A$1:$G$20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gagementSummaryA1G2011"/>
        </x15:connection>
      </ext>
    </extLst>
  </connection>
  <connection id="4" xr16:uid="{D8564B64-0CA7-4011-AB94-5F27B83C76FD}" name="WorksheetConnection_TASK 3 Social Media Platform analysis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TASK3SocialMediaPlatformanalysis.xlsxEngagement_Summary1"/>
        </x15:connection>
      </ext>
    </extLst>
  </connection>
</connections>
</file>

<file path=xl/sharedStrings.xml><?xml version="1.0" encoding="utf-8"?>
<sst xmlns="http://schemas.openxmlformats.org/spreadsheetml/2006/main" count="644" uniqueCount="72">
  <si>
    <t>Platform</t>
  </si>
  <si>
    <t>Twitter</t>
  </si>
  <si>
    <t>2024-12-23</t>
  </si>
  <si>
    <t>YouTube</t>
  </si>
  <si>
    <t>2025-05-12</t>
  </si>
  <si>
    <t>Instagram</t>
  </si>
  <si>
    <t>2024-08-12</t>
  </si>
  <si>
    <t>Facebook</t>
  </si>
  <si>
    <t>2024-06-24</t>
  </si>
  <si>
    <t>2024-11-18</t>
  </si>
  <si>
    <t>2024-08-26</t>
  </si>
  <si>
    <t>2025-05-05</t>
  </si>
  <si>
    <t>2024-08-19</t>
  </si>
  <si>
    <t>2024-09-09</t>
  </si>
  <si>
    <t>2024-12-16</t>
  </si>
  <si>
    <t>2025-01-06</t>
  </si>
  <si>
    <t>2025-02-17</t>
  </si>
  <si>
    <t>2024-11-25</t>
  </si>
  <si>
    <t>2025-02-24</t>
  </si>
  <si>
    <t>2024-06-10</t>
  </si>
  <si>
    <t>2024-06-17</t>
  </si>
  <si>
    <t>2024-10-21</t>
  </si>
  <si>
    <t>2024-09-02</t>
  </si>
  <si>
    <t>2025-03-03</t>
  </si>
  <si>
    <t>2024-10-28</t>
  </si>
  <si>
    <t>2024-12-09</t>
  </si>
  <si>
    <t>2025-01-27</t>
  </si>
  <si>
    <t>2024-06-03</t>
  </si>
  <si>
    <t>2025-03-24</t>
  </si>
  <si>
    <t>2025-02-10</t>
  </si>
  <si>
    <t>2024-07-29</t>
  </si>
  <si>
    <t>2024-11-04</t>
  </si>
  <si>
    <t>2024-07-15</t>
  </si>
  <si>
    <t>2025-04-28</t>
  </si>
  <si>
    <t>2025-04-07</t>
  </si>
  <si>
    <t>2024-07-01</t>
  </si>
  <si>
    <t>2024-08-05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</si>
  <si>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</si>
  <si>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</si>
  <si>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</si>
  <si>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</si>
  <si>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</si>
  <si>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</si>
  <si>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</si>
  <si>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</si>
  <si>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</si>
  <si>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</si>
  <si>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</si>
  <si>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</si>
  <si>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</si>
  <si>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</si>
  <si>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</si>
  <si>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</si>
  <si>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</si>
  <si>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</si>
  <si>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</si>
  <si>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</si>
  <si>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</si>
  <si>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</si>
  <si>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</si>
  <si>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</si>
  <si>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Row Labels</t>
  </si>
  <si>
    <t>Grand Total</t>
  </si>
  <si>
    <t>Sum of Engagement_Rate</t>
  </si>
  <si>
    <t>Current_user</t>
  </si>
  <si>
    <t>Growth_rate</t>
  </si>
  <si>
    <t>Platform with highest engagement</t>
  </si>
  <si>
    <t>The highlighted one is the highest engagement rate.I.E-INSTAGRAM</t>
  </si>
  <si>
    <t>Sum of Growth_rate</t>
  </si>
  <si>
    <t>Growth Rates of Followers Across Platforms</t>
  </si>
  <si>
    <t>Sum of Ad_Spend</t>
  </si>
  <si>
    <t>Engagement  rates and ad spend across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</si>
</sst>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8"/>
      <color theme="1"/>
      <name val="Arial Black"/>
      <family val="2"/>
    </font>
    <font>
      <b/>
      <sz val="12"/>
      <color theme="1"/>
      <name val="Arial Black"/>
      <family val="2"/>
    </font>
    <font>
      <sz val="12"/>
      <color rgb="FF000000"/>
      <name val="Calibri"/>
      <family val="2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0" fillId="0" borderId="0" xfId="0" applyNumberFormat="1" applyFont="1" applyAlignment="1"/>
    <xf numFmtId="0" fontId="1" fillId="0" borderId="2" xfId="0" applyFont="1" applyFill="1" applyBorder="1" applyAlignment="1">
      <alignment horizontal="center" vertical="top" wrapText="1"/>
    </xf>
    <xf numFmtId="9" fontId="0" fillId="0" borderId="0" xfId="1" applyFont="1" applyAlignment="1"/>
    <xf numFmtId="164" fontId="2" fillId="0" borderId="0" xfId="0" applyNumberFormat="1" applyFont="1"/>
    <xf numFmtId="2" fontId="0" fillId="0" borderId="0" xfId="0" applyNumberFormat="1" applyFont="1" applyAlignment="1"/>
    <xf numFmtId="0" fontId="5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0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>
      <alignment horizontal="left"/>
    </xf>
    <xf numFmtId="0" fontId="0" fillId="0" borderId="9" xfId="0" applyFont="1" applyBorder="1" applyAlignment="1"/>
    <xf numFmtId="0" fontId="0" fillId="0" borderId="10" xfId="0" applyFont="1" applyBorder="1" applyAlignment="1"/>
    <xf numFmtId="14" fontId="0" fillId="0" borderId="0" xfId="0" applyNumberFormat="1" applyFont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0" fillId="0" borderId="3" xfId="0" applyFont="1" applyBorder="1" applyAlignment="1"/>
    <xf numFmtId="0" fontId="0" fillId="0" borderId="6" xfId="0" applyFont="1" applyBorder="1" applyAlignment="1"/>
    <xf numFmtId="0" fontId="0" fillId="0" borderId="8" xfId="0" applyFont="1" applyBorder="1" applyAlignment="1"/>
    <xf numFmtId="0" fontId="7" fillId="0" borderId="4" xfId="0" applyFont="1" applyBorder="1" applyAlignment="1"/>
    <xf numFmtId="0" fontId="8" fillId="0" borderId="0" xfId="0" applyFont="1" applyAlignment="1">
      <alignment horizontal="left" vertical="top" indent="1"/>
    </xf>
    <xf numFmtId="10" fontId="0" fillId="0" borderId="7" xfId="0" applyNumberFormat="1" applyFont="1" applyBorder="1" applyAlignment="1"/>
    <xf numFmtId="10" fontId="0" fillId="0" borderId="10" xfId="0" applyNumberFormat="1" applyFont="1" applyBorder="1" applyAlignment="1"/>
    <xf numFmtId="10" fontId="0" fillId="0" borderId="12" xfId="0" applyNumberFormat="1" applyFont="1" applyBorder="1" applyAlignment="1"/>
    <xf numFmtId="10" fontId="9" fillId="2" borderId="13" xfId="0" applyNumberFormat="1" applyFont="1" applyFill="1" applyBorder="1" applyAlignment="1"/>
    <xf numFmtId="10" fontId="0" fillId="0" borderId="13" xfId="0" applyNumberFormat="1" applyFont="1" applyBorder="1" applyAlignment="1"/>
    <xf numFmtId="10" fontId="0" fillId="0" borderId="14" xfId="0" applyNumberFormat="1" applyFont="1" applyBorder="1" applyAlignment="1"/>
    <xf numFmtId="0" fontId="0" fillId="0" borderId="11" xfId="0" pivotButton="1" applyFont="1" applyBorder="1" applyAlignment="1"/>
    <xf numFmtId="0" fontId="0" fillId="0" borderId="12" xfId="0" applyFont="1" applyBorder="1" applyAlignment="1">
      <alignment horizontal="left"/>
    </xf>
    <xf numFmtId="0" fontId="9" fillId="2" borderId="13" xfId="0" applyFont="1" applyFill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0" fillId="0" borderId="11" xfId="0" applyFont="1" applyBorder="1" applyAlignment="1"/>
    <xf numFmtId="10" fontId="0" fillId="0" borderId="5" xfId="0" applyNumberFormat="1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64" fontId="0" fillId="0" borderId="3" xfId="0" applyNumberFormat="1" applyFont="1" applyBorder="1" applyAlignment="1"/>
    <xf numFmtId="164" fontId="0" fillId="0" borderId="6" xfId="0" applyNumberFormat="1" applyFont="1" applyBorder="1" applyAlignment="1"/>
    <xf numFmtId="164" fontId="0" fillId="0" borderId="8" xfId="0" applyNumberFormat="1" applyFont="1" applyBorder="1" applyAlignment="1"/>
  </cellXfs>
  <cellStyles count="2">
    <cellStyle name="Normal" xfId="0" builtinId="0"/>
    <cellStyle name="Percent" xfId="1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rgb="FFFFFF00"/>
        </patternFill>
      </fill>
    </dxf>
    <dxf>
      <font>
        <color theme="3"/>
      </font>
    </dxf>
    <dxf>
      <numFmt numFmtId="14" formatCode="0.00%"/>
    </dxf>
    <dxf>
      <numFmt numFmtId="164" formatCode="&quot;₹&quot;\ #,##0.00"/>
    </dxf>
    <dxf>
      <numFmt numFmtId="164" formatCode="&quot;₹&quot;\ 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Social Media Platform analysis.xlsx]Pivot tables and charts!PivotTable20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and charts'!$I$3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and charts'!$H$4:$H$8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tables and charts'!$I$4:$I$8</c:f>
              <c:numCache>
                <c:formatCode>"₹"\ #,##0.00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B-4348-B558-D4CEED355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53503"/>
        <c:axId val="149054335"/>
      </c:barChart>
      <c:lineChart>
        <c:grouping val="standard"/>
        <c:varyColors val="0"/>
        <c:ser>
          <c:idx val="1"/>
          <c:order val="1"/>
          <c:tx>
            <c:strRef>
              <c:f>'Pivot tables and charts'!$J$3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 and charts'!$H$4:$H$8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'Pivot tables and charts'!$J$4:$J$8</c:f>
              <c:numCache>
                <c:formatCode>0.00%</c:formatCode>
                <c:ptCount val="4"/>
                <c:pt idx="0">
                  <c:v>0.25017272840009219</c:v>
                </c:pt>
                <c:pt idx="1">
                  <c:v>0.25314011373500817</c:v>
                </c:pt>
                <c:pt idx="2">
                  <c:v>0.25049161160026229</c:v>
                </c:pt>
                <c:pt idx="3">
                  <c:v>0.24619554626463772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B-4348-B558-D4CEED355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55167"/>
        <c:axId val="149054751"/>
      </c:lineChart>
      <c:catAx>
        <c:axId val="1490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4335"/>
        <c:crosses val="autoZero"/>
        <c:auto val="1"/>
        <c:lblAlgn val="ctr"/>
        <c:lblOffset val="100"/>
        <c:noMultiLvlLbl val="0"/>
      </c:catAx>
      <c:valAx>
        <c:axId val="1490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3503"/>
        <c:crosses val="autoZero"/>
        <c:crossBetween val="between"/>
      </c:valAx>
      <c:valAx>
        <c:axId val="1490547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55167"/>
        <c:crosses val="max"/>
        <c:crossBetween val="between"/>
      </c:valAx>
      <c:catAx>
        <c:axId val="149055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9054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825500</xdr:colOff>
      <xdr:row>9</xdr:row>
      <xdr:rowOff>19050</xdr:rowOff>
    </xdr:from>
    <xdr:to>
      <xdr:col>11</xdr:col>
      <xdr:colOff>393700</xdr:colOff>
      <xdr:row>23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8337D0-3978-4B46-98B4-D3372B00C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234950</xdr:colOff>
      <xdr:row>25</xdr:row>
      <xdr:rowOff>165100</xdr:rowOff>
    </xdr:from>
    <xdr:to>
      <xdr:col>12</xdr:col>
      <xdr:colOff>438150</xdr:colOff>
      <xdr:row>30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9431A04-73AE-4B82-AE40-B98DEE5BAB7C}"/>
            </a:ext>
          </a:extLst>
        </xdr:cNvPr>
        <xdr:cNvSpPr/>
      </xdr:nvSpPr>
      <xdr:spPr>
        <a:xfrm>
          <a:off x="1962150" y="4845050"/>
          <a:ext cx="8909050" cy="8064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As per study, Instagram has the highest engagement and YouTube has highest growth rates. I highly advise to focus on a specific target group, Establish a business model first, which is then expanded to a platform business model, grow a “private business network” on the platform, highly controlled by the platform owner and platform owners have to strengthen their digital platform in competition with other platforms.</a:t>
          </a:r>
          <a:r>
            <a:rPr lang="en-IN" sz="1200" b="1">
              <a:solidFill>
                <a:schemeClr val="accent1">
                  <a:lumMod val="50000"/>
                </a:schemeClr>
              </a:solidFill>
            </a:rPr>
            <a:t> 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1.64229560185" backgroundQuery="1" createdVersion="7" refreshedVersion="7" minRefreshableVersion="3" recordCount="0" supportSubquery="1" supportAdvancedDrill="1" xr:uid="{69E2D420-36BD-42A1-BDBA-1D4960654E12}">
  <cacheSource type="external" connectionId="2"/>
  <cacheFields count="2">
    <cacheField name="[Range].[Platform].[Platform]" caption="Platform" numFmtId="0" hierarchy="10" level="1">
      <sharedItems count="4">
        <s v="Facebook"/>
        <s v="Instagram"/>
        <s v="Twitter"/>
        <s v="YouTube"/>
      </sharedItems>
    </cacheField>
    <cacheField name="[Measures].[Sum of Engagement_Rate]" caption="Sum of Engagement_Rate" numFmtId="0" hierarchy="19" level="32767"/>
  </cacheFields>
  <cacheHierarchies count="23"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0" memberValueDatatype="130" unbalanced="0"/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Engagement_Summary].[Current_user]" caption="Current_user" attribute="1" defaultMemberUniqueName="[Engagement_Summary].[Current_user].[All]" allUniqueName="[Engagement_Summary].[Current_user].[All]" dimensionUniqueName="[Engagement_Summary]" displayFolder="" count="0" memberValueDatatype="20" unbalanced="0"/>
    <cacheHierarchy uniqueName="[Engagement_Summary].[Growth_rate]" caption="Growth_rate" attribute="1" defaultMemberUniqueName="[Engagement_Summary].[Growth_rate].[All]" allUniqueName="[Engagement_Summary].[Growth_rate].[All]" dimensionUniqueName="[Engagement_Summary]" displayFolder="" count="0" memberValueDatatype="5" unbalanced="0"/>
    <cacheHierarchy uniqueName="[Range].[Week_Start_Date]" caption="Week_Start_Date" attribute="1" defaultMemberUniqueName="[Range].[Week_Start_Date].[All]" allUniqueName="[Range].[Week_Start_Date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2" memberValueDatatype="130" unbalanced="0">
      <fieldsUsage count="2">
        <fieldUsage x="-1"/>
        <fieldUsage x="0"/>
      </fieldsUsage>
    </cacheHierarchy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Engagement_Summary]" caption="__XL_Count Engagement_Summary" measure="1" displayFolder="" measureGroup="Engage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Growth_rate]" caption="Sum of Growth_rate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d_Spend]" caption="Sum of Ad_Spend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ement_Summary" uniqueName="[Engagement_Summary]" caption="Engagement_Summary"/>
    <dimension measure="1" name="Measures" uniqueName="[Measures]" caption="Measures"/>
    <dimension name="Range" uniqueName="[Range]" caption="Range"/>
  </dimensions>
  <measureGroups count="2">
    <measureGroup name="Engagement_Summary" caption="Engagement_Summary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1.642483217591" backgroundQuery="1" createdVersion="7" refreshedVersion="7" minRefreshableVersion="3" recordCount="0" supportSubquery="1" supportAdvancedDrill="1" xr:uid="{29B9E696-9804-4ABC-BE89-1033F9783285}">
  <cacheSource type="external" connectionId="2"/>
  <cacheFields count="2">
    <cacheField name="[Engagement_Summary].[Platform].[Platform]" caption="Platform" numFmtId="0" hierarchy="1" level="1">
      <sharedItems count="4">
        <s v="Facebook"/>
        <s v="Instagram"/>
        <s v="Twitter"/>
        <s v="YouTube"/>
      </sharedItems>
    </cacheField>
    <cacheField name="[Measures].[Sum of Growth_rate]" caption="Sum of Growth_rate" numFmtId="0" hierarchy="20" level="32767"/>
  </cacheFields>
  <cacheHierarchies count="23"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2" memberValueDatatype="130" unbalanced="0">
      <fieldsUsage count="2">
        <fieldUsage x="-1"/>
        <fieldUsage x="0"/>
      </fieldsUsage>
    </cacheHierarchy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Engagement_Summary].[Current_user]" caption="Current_user" attribute="1" defaultMemberUniqueName="[Engagement_Summary].[Current_user].[All]" allUniqueName="[Engagement_Summary].[Current_user].[All]" dimensionUniqueName="[Engagement_Summary]" displayFolder="" count="0" memberValueDatatype="20" unbalanced="0"/>
    <cacheHierarchy uniqueName="[Engagement_Summary].[Growth_rate]" caption="Growth_rate" attribute="1" defaultMemberUniqueName="[Engagement_Summary].[Growth_rate].[All]" allUniqueName="[Engagement_Summary].[Growth_rate].[All]" dimensionUniqueName="[Engagement_Summary]" displayFolder="" count="0" memberValueDatatype="5" unbalanced="0"/>
    <cacheHierarchy uniqueName="[Range].[Week_Start_Date]" caption="Week_Start_Date" attribute="1" defaultMemberUniqueName="[Range].[Week_Start_Date].[All]" allUniqueName="[Range].[Week_Start_Date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Engagement_Summary]" caption="__XL_Count Engagement_Summary" measure="1" displayFolder="" measureGroup="Engage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Growth_rate]" caption="Sum of Growth_rate" measure="1" displayFolder="" measureGroup="Engagement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d_Spend]" caption="Sum of Ad_Spend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ement_Summary" uniqueName="[Engagement_Summary]" caption="Engagement_Summary"/>
    <dimension measure="1" name="Measures" uniqueName="[Measures]" caption="Measures"/>
    <dimension name="Range" uniqueName="[Range]" caption="Range"/>
  </dimensions>
  <measureGroups count="2">
    <measureGroup name="Engagement_Summary" caption="Engagement_Summary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mita Pradhan" refreshedDate="46041.642573726851" backgroundQuery="1" createdVersion="7" refreshedVersion="7" minRefreshableVersion="3" recordCount="0" supportSubquery="1" supportAdvancedDrill="1" xr:uid="{183271D7-307B-41B9-9F72-4240762ACDB7}">
  <cacheSource type="external" connectionId="2"/>
  <cacheFields count="3">
    <cacheField name="[Engagement_Summary].[Platform].[Platform]" caption="Platform" numFmtId="0" hierarchy="1" level="1">
      <sharedItems count="4">
        <s v="Facebook"/>
        <s v="Instagram"/>
        <s v="Twitter"/>
        <s v="YouTube"/>
      </sharedItems>
    </cacheField>
    <cacheField name="[Measures].[Sum of Ad_Spend]" caption="Sum of Ad_Spend" numFmtId="0" hierarchy="21" level="32767"/>
    <cacheField name="[Measures].[Sum of Engagement_Rate 2]" caption="Sum of Engagement_Rate 2" numFmtId="0" hierarchy="22" level="32767"/>
  </cacheFields>
  <cacheHierarchies count="23">
    <cacheHierarchy uniqueName="[Engagement_Summary].[Week_Start_Date]" caption="Week_Start_Date" attribute="1" time="1" defaultMemberUniqueName="[Engagement_Summary].[Week_Start_Date].[All]" allUniqueName="[Engagement_Summary].[Week_Start_Date].[All]" dimensionUniqueName="[Engagement_Summary]" displayFolder="" count="0" memberValueDatatype="7" unbalanced="0"/>
    <cacheHierarchy uniqueName="[Engagement_Summary].[Platform]" caption="Platform" attribute="1" defaultMemberUniqueName="[Engagement_Summary].[Platform].[All]" allUniqueName="[Engagement_Summary].[Platform].[All]" dimensionUniqueName="[Engagement_Summary]" displayFolder="" count="2" memberValueDatatype="130" unbalanced="0">
      <fieldsUsage count="2">
        <fieldUsage x="-1"/>
        <fieldUsage x="0"/>
      </fieldsUsage>
    </cacheHierarchy>
    <cacheHierarchy uniqueName="[Engagement_Summary].[New_Followers]" caption="New_Followers" attribute="1" defaultMemberUniqueName="[Engagement_Summary].[New_Followers].[All]" allUniqueName="[Engagement_Summary].[New_Followers].[All]" dimensionUniqueName="[Engagement_Summary]" displayFolder="" count="0" memberValueDatatype="20" unbalanced="0"/>
    <cacheHierarchy uniqueName="[Engagement_Summary].[Unfollows]" caption="Unfollows" attribute="1" defaultMemberUniqueName="[Engagement_Summary].[Unfollows].[All]" allUniqueName="[Engagement_Summary].[Unfollows].[All]" dimensionUniqueName="[Engagement_Summary]" displayFolder="" count="0" memberValueDatatype="20" unbalanced="0"/>
    <cacheHierarchy uniqueName="[Engagement_Summary].[Total_Followers]" caption="Total_Followers" attribute="1" defaultMemberUniqueName="[Engagement_Summary].[Total_Followers].[All]" allUniqueName="[Engagement_Summary].[Total_Followers].[All]" dimensionUniqueName="[Engagement_Summary]" displayFolder="" count="0" memberValueDatatype="20" unbalanced="0"/>
    <cacheHierarchy uniqueName="[Engagement_Summary].[Engagement_Rate]" caption="Engagement_Rate" attribute="1" defaultMemberUniqueName="[Engagement_Summary].[Engagement_Rate].[All]" allUniqueName="[Engagement_Summary].[Engagement_Rate].[All]" dimensionUniqueName="[Engagement_Summary]" displayFolder="" count="0" memberValueDatatype="5" unbalanced="0"/>
    <cacheHierarchy uniqueName="[Engagement_Summary].[Ad_Spend]" caption="Ad_Spend" attribute="1" defaultMemberUniqueName="[Engagement_Summary].[Ad_Spend].[All]" allUniqueName="[Engagement_Summary].[Ad_Spend].[All]" dimensionUniqueName="[Engagement_Summary]" displayFolder="" count="0" memberValueDatatype="20" unbalanced="0"/>
    <cacheHierarchy uniqueName="[Engagement_Summary].[Current_user]" caption="Current_user" attribute="1" defaultMemberUniqueName="[Engagement_Summary].[Current_user].[All]" allUniqueName="[Engagement_Summary].[Current_user].[All]" dimensionUniqueName="[Engagement_Summary]" displayFolder="" count="0" memberValueDatatype="20" unbalanced="0"/>
    <cacheHierarchy uniqueName="[Engagement_Summary].[Growth_rate]" caption="Growth_rate" attribute="1" defaultMemberUniqueName="[Engagement_Summary].[Growth_rate].[All]" allUniqueName="[Engagement_Summary].[Growth_rate].[All]" dimensionUniqueName="[Engagement_Summary]" displayFolder="" count="0" memberValueDatatype="5" unbalanced="0"/>
    <cacheHierarchy uniqueName="[Range].[Week_Start_Date]" caption="Week_Start_Date" attribute="1" defaultMemberUniqueName="[Range].[Week_Start_Date].[All]" allUniqueName="[Range].[Week_Start_Date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XL_Count Engagement_Summary]" caption="__XL_Count Engagement_Summary" measure="1" displayFolder="" measureGroup="Engagement_Summary" count="0" hidden="1"/>
    <cacheHierarchy uniqueName="[Measures].[__No measures defined]" caption="__No measures defined" measure="1" displayFolder="" count="0" hidden="1"/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Growth_rate]" caption="Sum of Growth_rate" measure="1" displayFolder="" measureGroup="Engagement_Summ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d_Spend]" caption="Sum of Ad_Spend" measure="1" displayFolder="" measureGroup="Engagement_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 2]" caption="Sum of Engagement_Rate 2" measure="1" displayFolder="" measureGroup="Engagement_Summary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3">
    <dimension name="Engagement_Summary" uniqueName="[Engagement_Summary]" caption="Engagement_Summary"/>
    <dimension measure="1" name="Measures" uniqueName="[Measures]" caption="Measures"/>
    <dimension name="Range" uniqueName="[Range]" caption="Range"/>
  </dimensions>
  <measureGroups count="2">
    <measureGroup name="Engagement_Summary" caption="Engagement_Summary"/>
    <measureGroup name="Range" caption="Range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BD2A5-8731-41C6-AA6A-DBC965DDA506}" name="PivotTable19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13:C1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wth_rate" fld="1" showDataAs="percentOfTotal" baseField="0" baseItem="0" numFmtId="10"/>
  </dataFields>
  <formats count="7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agement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69325-793E-401E-BDD7-03D16230C23A}" name="PivotTable14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ngagement_Rate" fld="1" showDataAs="percentOfTotal" baseField="0" baseItem="0" numFmtId="10"/>
  </dataFields>
  <formats count="10">
    <format dxfId="18">
      <pivotArea dataOnly="0" fieldPosition="0">
        <references count="1">
          <reference field="0" count="1">
            <x v="1"/>
          </reference>
        </references>
      </pivotArea>
    </format>
    <format dxfId="17">
      <pivotArea dataOnly="0" fieldPosition="0">
        <references count="1">
          <reference field="0" count="1">
            <x v="1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0" count="0"/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 Engagement_Rat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agement Summary!$A$1:$G$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DF9E9-D1B1-430B-A694-7DF0BF96D78F}" name="PivotTable20" cacheId="1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H3:J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1" baseField="0" baseItem="0"/>
    <dataField name="Sum of Engagement_Rate" fld="2" showDataAs="percentOfTotal" baseField="0" baseItem="0" numFmtId="10"/>
  </dataFields>
  <formats count="9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0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2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gagement_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A1E711-EEFC-4F83-A337-F8076505684D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8" name="Current_user" tableColumnId="8"/>
      <queryTableField id="9" name="Growth_r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FF634-8B65-44B0-8269-C82F3392CCC6}" name="Engagement_Summary" displayName="Engagement_Summary" ref="A1:I1000" tableType="queryTable" totalsRowShown="0">
  <autoFilter ref="A1:I1000" xr:uid="{7C2FF634-8B65-44B0-8269-C82F3392CCC6}"/>
  <tableColumns count="9">
    <tableColumn id="1" xr3:uid="{C0E2FD1F-5FAA-44C5-A6DF-29CE1359A738}" uniqueName="1" name="Week_Start_Date" queryTableFieldId="1" dataDxfId="1"/>
    <tableColumn id="2" xr3:uid="{68694EC4-A890-41CB-88FD-A7E2D636F639}" uniqueName="2" name="Platform" queryTableFieldId="2" dataDxfId="0"/>
    <tableColumn id="3" xr3:uid="{3EF7E37A-76BE-4567-A629-663F61D6A8C1}" uniqueName="3" name="New_Followers" queryTableFieldId="3"/>
    <tableColumn id="4" xr3:uid="{E37D8768-CEA3-4CDB-A248-9F586763AFFF}" uniqueName="4" name="Unfollows" queryTableFieldId="4"/>
    <tableColumn id="5" xr3:uid="{F12622D7-0FCF-424A-A77B-5F9961CA7282}" uniqueName="5" name="Total_Followers" queryTableFieldId="5"/>
    <tableColumn id="6" xr3:uid="{8D1E32C8-D859-49B8-A44A-F97400BEEF4C}" uniqueName="6" name="Engagement_Rate" queryTableFieldId="6"/>
    <tableColumn id="7" xr3:uid="{31717BF6-5CFE-4498-890F-E2E892E8270A}" uniqueName="7" name="Ad_Spend" queryTableFieldId="7"/>
    <tableColumn id="8" xr3:uid="{59F37E5D-BBFE-4034-B211-06833D20CEE7}" uniqueName="8" name="Current_user" queryTableFieldId="8"/>
    <tableColumn id="9" xr3:uid="{A869D285-DD75-43AF-89B3-356B3DAEF1AA}" uniqueName="9" name="Growth_ra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C95C-7289-4B4B-9A1B-0CCE4C70DEE9}">
  <dimension ref="B1:L27"/>
  <sheetViews>
    <sheetView topLeftCell="B1" workbookViewId="0">
      <selection activeCell="C22" sqref="C22"/>
    </sheetView>
  </sheetViews>
  <sheetFormatPr defaultRowHeight="14.5" x14ac:dyDescent="0.35"/>
  <cols>
    <col min="1" max="2" width="12.36328125" bestFit="1" customWidth="1"/>
    <col min="3" max="3" width="18.08984375" bestFit="1" customWidth="1"/>
    <col min="7" max="8" width="12.36328125" bestFit="1" customWidth="1"/>
    <col min="9" max="9" width="15.6328125" bestFit="1" customWidth="1"/>
    <col min="10" max="10" width="22.54296875" bestFit="1" customWidth="1"/>
  </cols>
  <sheetData>
    <row r="1" spans="2:12" ht="15" thickBot="1" x14ac:dyDescent="0.4"/>
    <row r="2" spans="2:12" ht="18.5" thickBot="1" x14ac:dyDescent="0.55000000000000004">
      <c r="B2" s="9" t="s">
        <v>66</v>
      </c>
      <c r="C2" s="10"/>
      <c r="D2" s="10"/>
      <c r="E2" s="11"/>
      <c r="G2" s="21"/>
      <c r="H2" s="24" t="s">
        <v>71</v>
      </c>
      <c r="I2" s="10"/>
      <c r="J2" s="10"/>
      <c r="K2" s="10"/>
      <c r="L2" s="11"/>
    </row>
    <row r="3" spans="2:12" ht="15" thickBot="1" x14ac:dyDescent="0.4">
      <c r="B3" s="32" t="s">
        <v>61</v>
      </c>
      <c r="C3" s="38" t="s">
        <v>41</v>
      </c>
      <c r="D3" s="12"/>
      <c r="E3" s="13"/>
      <c r="G3" s="22"/>
      <c r="H3" s="32" t="s">
        <v>61</v>
      </c>
      <c r="I3" s="40" t="s">
        <v>70</v>
      </c>
      <c r="J3" s="41" t="s">
        <v>63</v>
      </c>
      <c r="K3" s="12"/>
      <c r="L3" s="13"/>
    </row>
    <row r="4" spans="2:12" x14ac:dyDescent="0.35">
      <c r="B4" s="33" t="s">
        <v>7</v>
      </c>
      <c r="C4" s="28">
        <v>0.25017272840009214</v>
      </c>
      <c r="D4" s="12"/>
      <c r="E4" s="13"/>
      <c r="G4" s="22"/>
      <c r="H4" s="33" t="s">
        <v>7</v>
      </c>
      <c r="I4" s="42">
        <v>1379539</v>
      </c>
      <c r="J4" s="39">
        <v>0.25017272840009219</v>
      </c>
      <c r="K4" s="12"/>
      <c r="L4" s="13"/>
    </row>
    <row r="5" spans="2:12" x14ac:dyDescent="0.35">
      <c r="B5" s="34" t="s">
        <v>5</v>
      </c>
      <c r="C5" s="29">
        <v>0.253140113735008</v>
      </c>
      <c r="D5" s="12"/>
      <c r="E5" s="13"/>
      <c r="G5" s="22"/>
      <c r="H5" s="35" t="s">
        <v>5</v>
      </c>
      <c r="I5" s="43">
        <v>1164373</v>
      </c>
      <c r="J5" s="26">
        <v>0.25314011373500817</v>
      </c>
      <c r="K5" s="12"/>
      <c r="L5" s="13"/>
    </row>
    <row r="6" spans="2:12" x14ac:dyDescent="0.35">
      <c r="B6" s="35" t="s">
        <v>1</v>
      </c>
      <c r="C6" s="30">
        <v>0.25049161160026218</v>
      </c>
      <c r="D6" s="12"/>
      <c r="E6" s="13"/>
      <c r="G6" s="22"/>
      <c r="H6" s="35" t="s">
        <v>1</v>
      </c>
      <c r="I6" s="43">
        <v>1060357</v>
      </c>
      <c r="J6" s="26">
        <v>0.25049161160026229</v>
      </c>
      <c r="K6" s="12"/>
      <c r="L6" s="13"/>
    </row>
    <row r="7" spans="2:12" ht="15" thickBot="1" x14ac:dyDescent="0.4">
      <c r="B7" s="36" t="s">
        <v>3</v>
      </c>
      <c r="C7" s="30">
        <v>0.2461955462646376</v>
      </c>
      <c r="D7" s="12"/>
      <c r="E7" s="13"/>
      <c r="G7" s="22"/>
      <c r="H7" s="36" t="s">
        <v>3</v>
      </c>
      <c r="I7" s="43">
        <v>1228647</v>
      </c>
      <c r="J7" s="26">
        <v>0.24619554626463772</v>
      </c>
      <c r="K7" s="12"/>
      <c r="L7" s="13"/>
    </row>
    <row r="8" spans="2:12" ht="15" thickBot="1" x14ac:dyDescent="0.4">
      <c r="B8" s="37" t="s">
        <v>62</v>
      </c>
      <c r="C8" s="31">
        <v>1</v>
      </c>
      <c r="D8" s="12"/>
      <c r="E8" s="13"/>
      <c r="G8" s="22"/>
      <c r="H8" s="37" t="s">
        <v>62</v>
      </c>
      <c r="I8" s="44">
        <v>4832916</v>
      </c>
      <c r="J8" s="27">
        <v>1</v>
      </c>
      <c r="K8" s="12"/>
      <c r="L8" s="13"/>
    </row>
    <row r="9" spans="2:12" ht="15" thickBot="1" x14ac:dyDescent="0.4">
      <c r="B9" s="14" t="s">
        <v>67</v>
      </c>
      <c r="C9" s="15"/>
      <c r="D9" s="15"/>
      <c r="E9" s="16"/>
      <c r="G9" s="23"/>
      <c r="H9" s="15"/>
      <c r="I9" s="15"/>
      <c r="J9" s="15"/>
      <c r="K9" s="15"/>
      <c r="L9" s="16"/>
    </row>
    <row r="11" spans="2:12" ht="15" thickBot="1" x14ac:dyDescent="0.4"/>
    <row r="12" spans="2:12" ht="15.5" thickBot="1" x14ac:dyDescent="0.45">
      <c r="B12" s="18" t="s">
        <v>69</v>
      </c>
      <c r="C12" s="19"/>
      <c r="D12" s="20"/>
    </row>
    <row r="13" spans="2:12" ht="15" thickBot="1" x14ac:dyDescent="0.4">
      <c r="B13" s="32" t="s">
        <v>61</v>
      </c>
      <c r="C13" s="38" t="s">
        <v>68</v>
      </c>
      <c r="D13" s="13"/>
    </row>
    <row r="14" spans="2:12" x14ac:dyDescent="0.35">
      <c r="B14" s="33" t="s">
        <v>7</v>
      </c>
      <c r="C14" s="28">
        <v>0.19103611779750804</v>
      </c>
      <c r="D14" s="13"/>
    </row>
    <row r="15" spans="2:12" x14ac:dyDescent="0.35">
      <c r="B15" s="35" t="s">
        <v>5</v>
      </c>
      <c r="C15" s="30">
        <v>0.19472317597042207</v>
      </c>
      <c r="D15" s="13"/>
    </row>
    <row r="16" spans="2:12" x14ac:dyDescent="0.35">
      <c r="B16" s="35" t="s">
        <v>1</v>
      </c>
      <c r="C16" s="30">
        <v>0.30136556958121863</v>
      </c>
      <c r="D16" s="13"/>
    </row>
    <row r="17" spans="2:4" ht="15" thickBot="1" x14ac:dyDescent="0.4">
      <c r="B17" s="36" t="s">
        <v>3</v>
      </c>
      <c r="C17" s="30">
        <v>0.31287513665085115</v>
      </c>
      <c r="D17" s="13"/>
    </row>
    <row r="18" spans="2:4" ht="15" thickBot="1" x14ac:dyDescent="0.4">
      <c r="B18" s="37" t="s">
        <v>62</v>
      </c>
      <c r="C18" s="31">
        <v>1</v>
      </c>
      <c r="D18" s="16"/>
    </row>
    <row r="27" spans="2:4" ht="15.5" x14ac:dyDescent="0.35">
      <c r="C27" s="25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B3B7-1079-4F2E-B72A-CC5ED13436E7}">
  <dimension ref="A1:I1000"/>
  <sheetViews>
    <sheetView tabSelected="1" topLeftCell="D1" workbookViewId="0">
      <selection activeCell="I2" sqref="I2:I9"/>
    </sheetView>
  </sheetViews>
  <sheetFormatPr defaultRowHeight="14.5" x14ac:dyDescent="0.35"/>
  <cols>
    <col min="1" max="1" width="18.08984375" bestFit="1" customWidth="1"/>
    <col min="2" max="2" width="10.453125" bestFit="1" customWidth="1"/>
    <col min="3" max="3" width="15.90625" bestFit="1" customWidth="1"/>
    <col min="4" max="4" width="11.453125" bestFit="1" customWidth="1"/>
    <col min="5" max="5" width="16.453125" bestFit="1" customWidth="1"/>
    <col min="6" max="6" width="18.36328125" bestFit="1" customWidth="1"/>
    <col min="7" max="7" width="11.54296875" bestFit="1" customWidth="1"/>
    <col min="8" max="8" width="14.1796875" bestFit="1" customWidth="1"/>
    <col min="9" max="9" width="13.90625" bestFit="1" customWidth="1"/>
  </cols>
  <sheetData>
    <row r="1" spans="1:9" x14ac:dyDescent="0.35">
      <c r="A1" t="s">
        <v>37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64</v>
      </c>
      <c r="I1" t="s">
        <v>65</v>
      </c>
    </row>
    <row r="2" spans="1:9" x14ac:dyDescent="0.35">
      <c r="A2" s="17">
        <v>45446</v>
      </c>
      <c r="B2" s="4" t="s">
        <v>5</v>
      </c>
      <c r="C2">
        <v>1135</v>
      </c>
      <c r="D2">
        <v>88</v>
      </c>
      <c r="E2">
        <v>344084</v>
      </c>
      <c r="F2">
        <v>8.06</v>
      </c>
      <c r="G2">
        <v>5904</v>
      </c>
      <c r="H2">
        <v>1047</v>
      </c>
      <c r="I2" s="8">
        <v>0.32986131293521348</v>
      </c>
    </row>
    <row r="3" spans="1:9" x14ac:dyDescent="0.35">
      <c r="A3" s="17">
        <v>45446</v>
      </c>
      <c r="B3" s="4" t="s">
        <v>7</v>
      </c>
      <c r="C3">
        <v>1312</v>
      </c>
      <c r="D3">
        <v>310</v>
      </c>
      <c r="E3">
        <v>42654</v>
      </c>
      <c r="F3">
        <v>4.9800000000000004</v>
      </c>
      <c r="G3">
        <v>9566</v>
      </c>
      <c r="H3">
        <v>1002</v>
      </c>
      <c r="I3" s="8">
        <v>3.0759131617198854</v>
      </c>
    </row>
    <row r="4" spans="1:9" x14ac:dyDescent="0.35">
      <c r="A4" s="17">
        <v>45446</v>
      </c>
      <c r="B4" s="4" t="s">
        <v>1</v>
      </c>
      <c r="C4">
        <v>584</v>
      </c>
      <c r="D4">
        <v>169</v>
      </c>
      <c r="E4">
        <v>146834</v>
      </c>
      <c r="F4">
        <v>8.31</v>
      </c>
      <c r="G4">
        <v>26752</v>
      </c>
      <c r="H4">
        <v>415</v>
      </c>
      <c r="I4" s="8">
        <v>0.39772804663769978</v>
      </c>
    </row>
    <row r="5" spans="1:9" x14ac:dyDescent="0.35">
      <c r="A5" s="17">
        <v>45446</v>
      </c>
      <c r="B5" s="4" t="s">
        <v>3</v>
      </c>
      <c r="C5">
        <v>1535</v>
      </c>
      <c r="D5">
        <v>445</v>
      </c>
      <c r="E5">
        <v>395536</v>
      </c>
      <c r="F5">
        <v>4.1100000000000003</v>
      </c>
      <c r="G5">
        <v>30671</v>
      </c>
      <c r="H5">
        <v>1090</v>
      </c>
      <c r="I5" s="8">
        <v>0.38808098377897327</v>
      </c>
    </row>
    <row r="6" spans="1:9" x14ac:dyDescent="0.35">
      <c r="A6" s="17">
        <v>45453</v>
      </c>
      <c r="B6" s="4" t="s">
        <v>5</v>
      </c>
      <c r="C6">
        <v>656</v>
      </c>
      <c r="D6">
        <v>139</v>
      </c>
      <c r="E6">
        <v>49157</v>
      </c>
      <c r="F6">
        <v>9.0500000000000007</v>
      </c>
      <c r="G6">
        <v>9920</v>
      </c>
      <c r="H6">
        <v>517</v>
      </c>
      <c r="I6" s="8">
        <v>1.3344996643407856</v>
      </c>
    </row>
    <row r="7" spans="1:9" x14ac:dyDescent="0.35">
      <c r="A7" s="17">
        <v>45453</v>
      </c>
      <c r="B7" s="4" t="s">
        <v>7</v>
      </c>
      <c r="C7">
        <v>1697</v>
      </c>
      <c r="D7">
        <v>414</v>
      </c>
      <c r="E7">
        <v>316555</v>
      </c>
      <c r="F7">
        <v>2.37</v>
      </c>
      <c r="G7">
        <v>7924</v>
      </c>
      <c r="H7">
        <v>1283</v>
      </c>
      <c r="I7" s="8">
        <v>0.53608377691080533</v>
      </c>
    </row>
    <row r="8" spans="1:9" x14ac:dyDescent="0.35">
      <c r="A8" s="17">
        <v>45453</v>
      </c>
      <c r="B8" s="4" t="s">
        <v>1</v>
      </c>
      <c r="C8">
        <v>436</v>
      </c>
      <c r="D8">
        <v>250</v>
      </c>
      <c r="E8">
        <v>254347</v>
      </c>
      <c r="F8">
        <v>4.01</v>
      </c>
      <c r="G8">
        <v>8912</v>
      </c>
      <c r="H8">
        <v>186</v>
      </c>
      <c r="I8" s="8">
        <v>0.17141936016544329</v>
      </c>
    </row>
    <row r="9" spans="1:9" x14ac:dyDescent="0.35">
      <c r="A9" s="17">
        <v>45453</v>
      </c>
      <c r="B9" s="4" t="s">
        <v>3</v>
      </c>
      <c r="C9">
        <v>1197</v>
      </c>
      <c r="D9">
        <v>203</v>
      </c>
      <c r="E9">
        <v>413878</v>
      </c>
      <c r="F9">
        <v>3.16</v>
      </c>
      <c r="G9">
        <v>21205</v>
      </c>
      <c r="H9">
        <v>994</v>
      </c>
      <c r="I9" s="8">
        <v>0.28921566258655934</v>
      </c>
    </row>
    <row r="10" spans="1:9" x14ac:dyDescent="0.35">
      <c r="A10" s="17">
        <v>45460</v>
      </c>
      <c r="B10" s="4" t="s">
        <v>5</v>
      </c>
      <c r="C10">
        <v>1048</v>
      </c>
      <c r="D10">
        <v>155</v>
      </c>
      <c r="E10">
        <v>456946</v>
      </c>
      <c r="F10">
        <v>2.46</v>
      </c>
      <c r="G10">
        <v>11329</v>
      </c>
      <c r="H10">
        <v>893</v>
      </c>
      <c r="I10" s="8">
        <v>0.22934876331120088</v>
      </c>
    </row>
    <row r="11" spans="1:9" x14ac:dyDescent="0.35">
      <c r="A11" s="17">
        <v>45460</v>
      </c>
      <c r="B11" s="4" t="s">
        <v>7</v>
      </c>
      <c r="C11">
        <v>1753</v>
      </c>
      <c r="D11">
        <v>371</v>
      </c>
      <c r="E11">
        <v>169496</v>
      </c>
      <c r="F11">
        <v>8.11</v>
      </c>
      <c r="G11">
        <v>46670</v>
      </c>
      <c r="H11">
        <v>1382</v>
      </c>
      <c r="I11" s="8">
        <v>1.0342426959928259</v>
      </c>
    </row>
    <row r="12" spans="1:9" x14ac:dyDescent="0.35">
      <c r="A12" s="17">
        <v>45460</v>
      </c>
      <c r="B12" s="4" t="s">
        <v>1</v>
      </c>
      <c r="C12">
        <v>1335</v>
      </c>
      <c r="D12">
        <v>40</v>
      </c>
      <c r="E12">
        <v>122732</v>
      </c>
      <c r="F12">
        <v>8.19</v>
      </c>
      <c r="G12">
        <v>22482</v>
      </c>
      <c r="H12">
        <v>1295</v>
      </c>
      <c r="I12" s="8">
        <v>1.0877358798031482</v>
      </c>
    </row>
    <row r="13" spans="1:9" x14ac:dyDescent="0.35">
      <c r="A13" s="17">
        <v>45460</v>
      </c>
      <c r="B13" s="4" t="s">
        <v>3</v>
      </c>
      <c r="C13">
        <v>403</v>
      </c>
      <c r="D13">
        <v>66</v>
      </c>
      <c r="E13">
        <v>382851</v>
      </c>
      <c r="F13">
        <v>3.49</v>
      </c>
      <c r="G13">
        <v>24313</v>
      </c>
      <c r="H13">
        <v>337</v>
      </c>
      <c r="I13" s="8">
        <v>0.10526288294924134</v>
      </c>
    </row>
    <row r="14" spans="1:9" x14ac:dyDescent="0.35">
      <c r="A14" s="17">
        <v>45467</v>
      </c>
      <c r="B14" s="4" t="s">
        <v>5</v>
      </c>
      <c r="C14">
        <v>911</v>
      </c>
      <c r="D14">
        <v>282</v>
      </c>
      <c r="E14">
        <v>35664</v>
      </c>
      <c r="F14">
        <v>6.92</v>
      </c>
      <c r="G14">
        <v>18050</v>
      </c>
      <c r="H14">
        <v>629</v>
      </c>
      <c r="I14" s="8">
        <v>2.5543965903992825</v>
      </c>
    </row>
    <row r="15" spans="1:9" x14ac:dyDescent="0.35">
      <c r="A15" s="17">
        <v>45467</v>
      </c>
      <c r="B15" s="4" t="s">
        <v>7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  <c r="H15">
        <v>1670</v>
      </c>
      <c r="I15" s="8">
        <v>6.7655447803764979</v>
      </c>
    </row>
    <row r="16" spans="1:9" x14ac:dyDescent="0.35">
      <c r="A16" s="17">
        <v>45467</v>
      </c>
      <c r="B16" s="4" t="s">
        <v>1</v>
      </c>
      <c r="C16">
        <v>1238</v>
      </c>
      <c r="D16">
        <v>403</v>
      </c>
      <c r="E16">
        <v>298421</v>
      </c>
      <c r="F16">
        <v>3.5</v>
      </c>
      <c r="G16">
        <v>31280</v>
      </c>
      <c r="H16">
        <v>835</v>
      </c>
      <c r="I16" s="8">
        <v>0.4148501613492348</v>
      </c>
    </row>
    <row r="17" spans="1:9" x14ac:dyDescent="0.35">
      <c r="A17" s="17">
        <v>45467</v>
      </c>
      <c r="B17" s="4" t="s">
        <v>3</v>
      </c>
      <c r="C17">
        <v>308</v>
      </c>
      <c r="D17">
        <v>431</v>
      </c>
      <c r="E17">
        <v>426184</v>
      </c>
      <c r="F17">
        <v>2.62</v>
      </c>
      <c r="G17">
        <v>1783</v>
      </c>
      <c r="H17">
        <v>-123</v>
      </c>
      <c r="I17" s="8">
        <v>7.2269254594259758E-2</v>
      </c>
    </row>
    <row r="18" spans="1:9" x14ac:dyDescent="0.35">
      <c r="A18" s="17">
        <v>45474</v>
      </c>
      <c r="B18" s="4" t="s">
        <v>5</v>
      </c>
      <c r="C18">
        <v>226</v>
      </c>
      <c r="D18">
        <v>445</v>
      </c>
      <c r="E18">
        <v>419447</v>
      </c>
      <c r="F18">
        <v>9.36</v>
      </c>
      <c r="G18">
        <v>9566</v>
      </c>
      <c r="H18">
        <v>-219</v>
      </c>
      <c r="I18" s="8">
        <v>5.3880466423648278E-2</v>
      </c>
    </row>
    <row r="19" spans="1:9" x14ac:dyDescent="0.35">
      <c r="A19" s="17">
        <v>45474</v>
      </c>
      <c r="B19" s="4" t="s">
        <v>7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  <c r="H19">
        <v>64</v>
      </c>
      <c r="I19" s="8">
        <v>0.22952458867375691</v>
      </c>
    </row>
    <row r="20" spans="1:9" x14ac:dyDescent="0.35">
      <c r="A20" s="17">
        <v>45474</v>
      </c>
      <c r="B20" s="4" t="s">
        <v>1</v>
      </c>
      <c r="C20">
        <v>1420</v>
      </c>
      <c r="D20">
        <v>63</v>
      </c>
      <c r="E20">
        <v>315305</v>
      </c>
      <c r="F20">
        <v>6.19</v>
      </c>
      <c r="G20">
        <v>5914</v>
      </c>
      <c r="H20">
        <v>1357</v>
      </c>
      <c r="I20" s="8">
        <v>0.45035759026973882</v>
      </c>
    </row>
    <row r="21" spans="1:9" x14ac:dyDescent="0.35">
      <c r="A21" s="17">
        <v>45474</v>
      </c>
      <c r="B21" s="4" t="s">
        <v>3</v>
      </c>
      <c r="C21">
        <v>144</v>
      </c>
      <c r="D21">
        <v>53</v>
      </c>
      <c r="E21">
        <v>113678</v>
      </c>
      <c r="F21">
        <v>8.7200000000000006</v>
      </c>
      <c r="G21">
        <v>30060</v>
      </c>
      <c r="H21">
        <v>91</v>
      </c>
      <c r="I21" s="8">
        <v>0.12667358679779728</v>
      </c>
    </row>
    <row r="22" spans="1:9" x14ac:dyDescent="0.35">
      <c r="A22" s="17">
        <v>45481</v>
      </c>
      <c r="B22" s="4" t="s">
        <v>5</v>
      </c>
      <c r="C22">
        <v>1757</v>
      </c>
      <c r="D22">
        <v>85</v>
      </c>
      <c r="E22">
        <v>58223</v>
      </c>
      <c r="F22">
        <v>8.74</v>
      </c>
      <c r="G22">
        <v>22728</v>
      </c>
      <c r="H22">
        <v>1672</v>
      </c>
      <c r="I22" s="8">
        <v>3.0177077787128797</v>
      </c>
    </row>
    <row r="23" spans="1:9" x14ac:dyDescent="0.35">
      <c r="A23" s="17">
        <v>45481</v>
      </c>
      <c r="B23" s="4" t="s">
        <v>7</v>
      </c>
      <c r="C23">
        <v>350</v>
      </c>
      <c r="D23">
        <v>41</v>
      </c>
      <c r="E23">
        <v>251694</v>
      </c>
      <c r="F23">
        <v>1.91</v>
      </c>
      <c r="G23">
        <v>38610</v>
      </c>
      <c r="H23">
        <v>309</v>
      </c>
      <c r="I23" s="8">
        <v>0.13905774472176533</v>
      </c>
    </row>
    <row r="24" spans="1:9" x14ac:dyDescent="0.35">
      <c r="A24" s="17">
        <v>45481</v>
      </c>
      <c r="B24" s="4" t="s">
        <v>1</v>
      </c>
      <c r="C24">
        <v>987</v>
      </c>
      <c r="D24">
        <v>440</v>
      </c>
      <c r="E24">
        <v>389810</v>
      </c>
      <c r="F24">
        <v>4.66</v>
      </c>
      <c r="G24">
        <v>2932</v>
      </c>
      <c r="H24">
        <v>547</v>
      </c>
      <c r="I24" s="8">
        <v>0.25320027705805392</v>
      </c>
    </row>
    <row r="25" spans="1:9" x14ac:dyDescent="0.35">
      <c r="A25" s="17">
        <v>45481</v>
      </c>
      <c r="B25" s="4" t="s">
        <v>3</v>
      </c>
      <c r="C25">
        <v>883</v>
      </c>
      <c r="D25">
        <v>369</v>
      </c>
      <c r="E25">
        <v>233694</v>
      </c>
      <c r="F25">
        <v>2.88</v>
      </c>
      <c r="G25">
        <v>15071</v>
      </c>
      <c r="H25">
        <v>514</v>
      </c>
      <c r="I25" s="8">
        <v>0.37784453173808485</v>
      </c>
    </row>
    <row r="26" spans="1:9" x14ac:dyDescent="0.35">
      <c r="A26" s="17">
        <v>45488</v>
      </c>
      <c r="B26" s="4" t="s">
        <v>5</v>
      </c>
      <c r="C26">
        <v>1960</v>
      </c>
      <c r="D26">
        <v>115</v>
      </c>
      <c r="E26">
        <v>154169</v>
      </c>
      <c r="F26">
        <v>3.74</v>
      </c>
      <c r="G26">
        <v>10740</v>
      </c>
      <c r="H26">
        <v>1845</v>
      </c>
      <c r="I26" s="8">
        <v>1.2713321095680714</v>
      </c>
    </row>
    <row r="27" spans="1:9" x14ac:dyDescent="0.35">
      <c r="A27" s="17">
        <v>45488</v>
      </c>
      <c r="B27" s="4" t="s">
        <v>7</v>
      </c>
      <c r="C27">
        <v>170</v>
      </c>
      <c r="D27">
        <v>334</v>
      </c>
      <c r="E27">
        <v>334626</v>
      </c>
      <c r="F27">
        <v>6.44</v>
      </c>
      <c r="G27">
        <v>43420</v>
      </c>
      <c r="H27">
        <v>-164</v>
      </c>
      <c r="I27" s="8">
        <v>5.080298602021361E-2</v>
      </c>
    </row>
    <row r="28" spans="1:9" x14ac:dyDescent="0.35">
      <c r="A28" s="17">
        <v>45488</v>
      </c>
      <c r="B28" s="4" t="s">
        <v>1</v>
      </c>
      <c r="C28">
        <v>704</v>
      </c>
      <c r="D28">
        <v>275</v>
      </c>
      <c r="E28">
        <v>226002</v>
      </c>
      <c r="F28">
        <v>8.56</v>
      </c>
      <c r="G28">
        <v>32393</v>
      </c>
      <c r="H28">
        <v>429</v>
      </c>
      <c r="I28" s="8">
        <v>0.31150166812683072</v>
      </c>
    </row>
    <row r="29" spans="1:9" x14ac:dyDescent="0.35">
      <c r="A29" s="17">
        <v>45488</v>
      </c>
      <c r="B29" s="4" t="s">
        <v>3</v>
      </c>
      <c r="C29">
        <v>224</v>
      </c>
      <c r="D29">
        <v>64</v>
      </c>
      <c r="E29">
        <v>156683</v>
      </c>
      <c r="F29">
        <v>4.5599999999999996</v>
      </c>
      <c r="G29">
        <v>28474</v>
      </c>
      <c r="H29">
        <v>160</v>
      </c>
      <c r="I29" s="8">
        <v>0.14296381866571356</v>
      </c>
    </row>
    <row r="30" spans="1:9" x14ac:dyDescent="0.35">
      <c r="A30" s="17">
        <v>45495</v>
      </c>
      <c r="B30" s="4" t="s">
        <v>5</v>
      </c>
      <c r="C30">
        <v>508</v>
      </c>
      <c r="D30">
        <v>349</v>
      </c>
      <c r="E30">
        <v>473812</v>
      </c>
      <c r="F30">
        <v>7.88</v>
      </c>
      <c r="G30">
        <v>17328</v>
      </c>
      <c r="H30">
        <v>159</v>
      </c>
      <c r="I30" s="8">
        <v>0.10721552007969404</v>
      </c>
    </row>
    <row r="31" spans="1:9" x14ac:dyDescent="0.35">
      <c r="A31" s="17">
        <v>45495</v>
      </c>
      <c r="B31" s="4" t="s">
        <v>7</v>
      </c>
      <c r="C31">
        <v>1391</v>
      </c>
      <c r="D31">
        <v>430</v>
      </c>
      <c r="E31">
        <v>295032</v>
      </c>
      <c r="F31">
        <v>7.86</v>
      </c>
      <c r="G31">
        <v>26067</v>
      </c>
      <c r="H31">
        <v>961</v>
      </c>
      <c r="I31" s="8">
        <v>0.47147428075598574</v>
      </c>
    </row>
    <row r="32" spans="1:9" x14ac:dyDescent="0.35">
      <c r="A32" s="17">
        <v>45495</v>
      </c>
      <c r="B32" s="4" t="s">
        <v>1</v>
      </c>
      <c r="C32">
        <v>1701</v>
      </c>
      <c r="D32">
        <v>385</v>
      </c>
      <c r="E32">
        <v>198278</v>
      </c>
      <c r="F32">
        <v>5.34</v>
      </c>
      <c r="G32">
        <v>32763</v>
      </c>
      <c r="H32">
        <v>1316</v>
      </c>
      <c r="I32" s="8">
        <v>0.85788640192053589</v>
      </c>
    </row>
    <row r="33" spans="1:9" x14ac:dyDescent="0.35">
      <c r="A33" s="17">
        <v>45495</v>
      </c>
      <c r="B33" s="4" t="s">
        <v>3</v>
      </c>
      <c r="C33">
        <v>804</v>
      </c>
      <c r="D33">
        <v>487</v>
      </c>
      <c r="E33">
        <v>306564</v>
      </c>
      <c r="F33">
        <v>5.52</v>
      </c>
      <c r="G33">
        <v>26452</v>
      </c>
      <c r="H33">
        <v>317</v>
      </c>
      <c r="I33" s="8">
        <v>0.26226171370415313</v>
      </c>
    </row>
    <row r="34" spans="1:9" x14ac:dyDescent="0.35">
      <c r="A34" s="17">
        <v>45502</v>
      </c>
      <c r="B34" s="4" t="s">
        <v>5</v>
      </c>
      <c r="C34">
        <v>653</v>
      </c>
      <c r="D34">
        <v>112</v>
      </c>
      <c r="E34">
        <v>23664</v>
      </c>
      <c r="F34">
        <v>4.05</v>
      </c>
      <c r="G34">
        <v>15353</v>
      </c>
      <c r="H34">
        <v>541</v>
      </c>
      <c r="I34" s="8">
        <v>2.7594658553076403</v>
      </c>
    </row>
    <row r="35" spans="1:9" x14ac:dyDescent="0.35">
      <c r="A35" s="17">
        <v>45502</v>
      </c>
      <c r="B35" s="4" t="s">
        <v>7</v>
      </c>
      <c r="C35">
        <v>160</v>
      </c>
      <c r="D35">
        <v>478</v>
      </c>
      <c r="E35">
        <v>435034</v>
      </c>
      <c r="F35">
        <v>7.73</v>
      </c>
      <c r="G35">
        <v>4839</v>
      </c>
      <c r="H35">
        <v>-318</v>
      </c>
      <c r="I35" s="8">
        <v>3.6778734535691464E-2</v>
      </c>
    </row>
    <row r="36" spans="1:9" x14ac:dyDescent="0.35">
      <c r="A36" s="17">
        <v>45502</v>
      </c>
      <c r="B36" s="4" t="s">
        <v>1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  <c r="H36">
        <v>1495</v>
      </c>
      <c r="I36" s="8">
        <v>0.61062543901743549</v>
      </c>
    </row>
    <row r="37" spans="1:9" x14ac:dyDescent="0.35">
      <c r="A37" s="17">
        <v>45502</v>
      </c>
      <c r="B37" s="4" t="s">
        <v>3</v>
      </c>
      <c r="C37">
        <v>576</v>
      </c>
      <c r="D37">
        <v>101</v>
      </c>
      <c r="E37">
        <v>62499</v>
      </c>
      <c r="F37">
        <v>3.48</v>
      </c>
      <c r="G37">
        <v>16804</v>
      </c>
      <c r="H37">
        <v>475</v>
      </c>
      <c r="I37" s="8">
        <v>0.92161474583593339</v>
      </c>
    </row>
    <row r="38" spans="1:9" x14ac:dyDescent="0.35">
      <c r="A38" s="17">
        <v>45509</v>
      </c>
      <c r="B38" s="4" t="s">
        <v>5</v>
      </c>
      <c r="C38">
        <v>645</v>
      </c>
      <c r="D38">
        <v>293</v>
      </c>
      <c r="E38">
        <v>437968</v>
      </c>
      <c r="F38">
        <v>7.83</v>
      </c>
      <c r="G38">
        <v>49303</v>
      </c>
      <c r="H38">
        <v>352</v>
      </c>
      <c r="I38" s="8">
        <v>0.14727103350016441</v>
      </c>
    </row>
    <row r="39" spans="1:9" x14ac:dyDescent="0.35">
      <c r="A39" s="17">
        <v>45509</v>
      </c>
      <c r="B39" s="4" t="s">
        <v>7</v>
      </c>
      <c r="C39">
        <v>214</v>
      </c>
      <c r="D39">
        <v>411</v>
      </c>
      <c r="E39">
        <v>125034</v>
      </c>
      <c r="F39">
        <v>6.11</v>
      </c>
      <c r="G39">
        <v>26455</v>
      </c>
      <c r="H39">
        <v>-197</v>
      </c>
      <c r="I39" s="8">
        <v>0.17115344626261658</v>
      </c>
    </row>
    <row r="40" spans="1:9" x14ac:dyDescent="0.35">
      <c r="A40" s="17">
        <v>45509</v>
      </c>
      <c r="B40" s="4" t="s">
        <v>1</v>
      </c>
      <c r="C40">
        <v>826</v>
      </c>
      <c r="D40">
        <v>498</v>
      </c>
      <c r="E40">
        <v>449994</v>
      </c>
      <c r="F40">
        <v>9.43</v>
      </c>
      <c r="G40">
        <v>12384</v>
      </c>
      <c r="H40">
        <v>328</v>
      </c>
      <c r="I40" s="8">
        <v>0.18355800299559549</v>
      </c>
    </row>
    <row r="41" spans="1:9" x14ac:dyDescent="0.35">
      <c r="A41" s="17">
        <v>45509</v>
      </c>
      <c r="B41" s="4" t="s">
        <v>3</v>
      </c>
      <c r="C41">
        <v>460</v>
      </c>
      <c r="D41">
        <v>141</v>
      </c>
      <c r="E41">
        <v>320650</v>
      </c>
      <c r="F41">
        <v>4.04</v>
      </c>
      <c r="G41">
        <v>49372</v>
      </c>
      <c r="H41">
        <v>319</v>
      </c>
      <c r="I41" s="8">
        <v>0.14345859971932012</v>
      </c>
    </row>
    <row r="42" spans="1:9" x14ac:dyDescent="0.35">
      <c r="A42" s="17">
        <v>45516</v>
      </c>
      <c r="B42" s="4" t="s">
        <v>5</v>
      </c>
      <c r="C42">
        <v>1528</v>
      </c>
      <c r="D42">
        <v>203</v>
      </c>
      <c r="E42">
        <v>489188</v>
      </c>
      <c r="F42">
        <v>6.23</v>
      </c>
      <c r="G42">
        <v>47101</v>
      </c>
      <c r="H42">
        <v>1325</v>
      </c>
      <c r="I42" s="8">
        <v>0.31235435047466414</v>
      </c>
    </row>
    <row r="43" spans="1:9" x14ac:dyDescent="0.35">
      <c r="A43" s="17">
        <v>45516</v>
      </c>
      <c r="B43" s="4" t="s">
        <v>7</v>
      </c>
      <c r="C43">
        <v>1534</v>
      </c>
      <c r="D43">
        <v>200</v>
      </c>
      <c r="E43">
        <v>307612</v>
      </c>
      <c r="F43">
        <v>6.01</v>
      </c>
      <c r="G43">
        <v>37903</v>
      </c>
      <c r="H43">
        <v>1334</v>
      </c>
      <c r="I43" s="8">
        <v>0.49868015552059086</v>
      </c>
    </row>
    <row r="44" spans="1:9" x14ac:dyDescent="0.35">
      <c r="A44" s="17">
        <v>45516</v>
      </c>
      <c r="B44" s="4" t="s">
        <v>1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  <c r="H44">
        <v>37</v>
      </c>
      <c r="I44" s="8">
        <v>0.11152424905089414</v>
      </c>
    </row>
    <row r="45" spans="1:9" x14ac:dyDescent="0.35">
      <c r="A45" s="17">
        <v>45516</v>
      </c>
      <c r="B45" s="4" t="s">
        <v>3</v>
      </c>
      <c r="C45">
        <v>1210</v>
      </c>
      <c r="D45">
        <v>178</v>
      </c>
      <c r="E45">
        <v>102042</v>
      </c>
      <c r="F45">
        <v>5.42</v>
      </c>
      <c r="G45">
        <v>6915</v>
      </c>
      <c r="H45">
        <v>1032</v>
      </c>
      <c r="I45" s="8">
        <v>1.1857862448795595</v>
      </c>
    </row>
    <row r="46" spans="1:9" x14ac:dyDescent="0.35">
      <c r="A46" s="17">
        <v>45523</v>
      </c>
      <c r="B46" s="4" t="s">
        <v>5</v>
      </c>
      <c r="C46">
        <v>215</v>
      </c>
      <c r="D46">
        <v>139</v>
      </c>
      <c r="E46">
        <v>325444</v>
      </c>
      <c r="F46">
        <v>3.25</v>
      </c>
      <c r="G46">
        <v>35501</v>
      </c>
      <c r="H46">
        <v>76</v>
      </c>
      <c r="I46" s="8">
        <v>6.6063593122011779E-2</v>
      </c>
    </row>
    <row r="47" spans="1:9" x14ac:dyDescent="0.35">
      <c r="A47" s="17">
        <v>45523</v>
      </c>
      <c r="B47" s="4" t="s">
        <v>7</v>
      </c>
      <c r="C47">
        <v>1078</v>
      </c>
      <c r="D47">
        <v>20</v>
      </c>
      <c r="E47">
        <v>183924</v>
      </c>
      <c r="F47">
        <v>8.84</v>
      </c>
      <c r="G47">
        <v>14203</v>
      </c>
      <c r="H47">
        <v>1058</v>
      </c>
      <c r="I47" s="8">
        <v>0.58611165481394489</v>
      </c>
    </row>
    <row r="48" spans="1:9" x14ac:dyDescent="0.35">
      <c r="A48" s="17">
        <v>45523</v>
      </c>
      <c r="B48" s="4" t="s">
        <v>1</v>
      </c>
      <c r="C48">
        <v>1751</v>
      </c>
      <c r="D48">
        <v>86</v>
      </c>
      <c r="E48">
        <v>188655</v>
      </c>
      <c r="F48">
        <v>7.24</v>
      </c>
      <c r="G48">
        <v>22206</v>
      </c>
      <c r="H48">
        <v>1665</v>
      </c>
      <c r="I48" s="8">
        <v>0.92814926718083268</v>
      </c>
    </row>
    <row r="49" spans="1:9" x14ac:dyDescent="0.35">
      <c r="A49" s="17">
        <v>45523</v>
      </c>
      <c r="B49" s="4" t="s">
        <v>3</v>
      </c>
      <c r="C49">
        <v>221</v>
      </c>
      <c r="D49">
        <v>31</v>
      </c>
      <c r="E49">
        <v>87443</v>
      </c>
      <c r="F49">
        <v>6.19</v>
      </c>
      <c r="G49">
        <v>10283</v>
      </c>
      <c r="H49">
        <v>190</v>
      </c>
      <c r="I49" s="8">
        <v>0.25273606806719806</v>
      </c>
    </row>
    <row r="50" spans="1:9" x14ac:dyDescent="0.35">
      <c r="A50" s="17">
        <v>45530</v>
      </c>
      <c r="B50" s="4" t="s">
        <v>5</v>
      </c>
      <c r="C50">
        <v>1685</v>
      </c>
      <c r="D50">
        <v>76</v>
      </c>
      <c r="E50">
        <v>453799</v>
      </c>
      <c r="F50">
        <v>5.71</v>
      </c>
      <c r="G50">
        <v>24913</v>
      </c>
      <c r="H50">
        <v>1609</v>
      </c>
      <c r="I50" s="8">
        <v>0.37130976489591205</v>
      </c>
    </row>
    <row r="51" spans="1:9" x14ac:dyDescent="0.35">
      <c r="A51" s="17">
        <v>45530</v>
      </c>
      <c r="B51" s="4" t="s">
        <v>7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  <c r="H51">
        <v>37</v>
      </c>
      <c r="I51" s="8">
        <v>6.5369813906900734E-2</v>
      </c>
    </row>
    <row r="52" spans="1:9" x14ac:dyDescent="0.35">
      <c r="A52" s="17">
        <v>45530</v>
      </c>
      <c r="B52" s="4" t="s">
        <v>1</v>
      </c>
      <c r="C52">
        <v>1300</v>
      </c>
      <c r="D52">
        <v>71</v>
      </c>
      <c r="E52">
        <v>186454</v>
      </c>
      <c r="F52">
        <v>3.91</v>
      </c>
      <c r="G52">
        <v>9942</v>
      </c>
      <c r="H52">
        <v>1229</v>
      </c>
      <c r="I52" s="8">
        <v>0.69722290752678939</v>
      </c>
    </row>
    <row r="53" spans="1:9" x14ac:dyDescent="0.35">
      <c r="A53" s="17">
        <v>45530</v>
      </c>
      <c r="B53" s="4" t="s">
        <v>3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v>28</v>
      </c>
      <c r="I53" s="8">
        <v>0.17653653720653939</v>
      </c>
    </row>
    <row r="54" spans="1:9" x14ac:dyDescent="0.35">
      <c r="A54" s="17">
        <v>45537</v>
      </c>
      <c r="B54" s="4" t="s">
        <v>5</v>
      </c>
      <c r="C54">
        <v>1429</v>
      </c>
      <c r="D54">
        <v>182</v>
      </c>
      <c r="E54">
        <v>101332</v>
      </c>
      <c r="F54">
        <v>7.16</v>
      </c>
      <c r="G54">
        <v>37829</v>
      </c>
      <c r="H54">
        <v>1247</v>
      </c>
      <c r="I54" s="8">
        <v>1.4102159238937353</v>
      </c>
    </row>
    <row r="55" spans="1:9" x14ac:dyDescent="0.35">
      <c r="A55" s="17">
        <v>45537</v>
      </c>
      <c r="B55" s="4" t="s">
        <v>7</v>
      </c>
      <c r="C55">
        <v>1520</v>
      </c>
      <c r="D55">
        <v>475</v>
      </c>
      <c r="E55">
        <v>496982</v>
      </c>
      <c r="F55">
        <v>6.41</v>
      </c>
      <c r="G55">
        <v>24384</v>
      </c>
      <c r="H55">
        <v>1045</v>
      </c>
      <c r="I55" s="8">
        <v>0.30584608698101745</v>
      </c>
    </row>
    <row r="56" spans="1:9" x14ac:dyDescent="0.35">
      <c r="A56" s="17">
        <v>45537</v>
      </c>
      <c r="B56" s="4" t="s">
        <v>1</v>
      </c>
      <c r="C56">
        <v>557</v>
      </c>
      <c r="D56">
        <v>360</v>
      </c>
      <c r="E56">
        <v>318779</v>
      </c>
      <c r="F56">
        <v>8.02</v>
      </c>
      <c r="G56">
        <v>25797</v>
      </c>
      <c r="H56">
        <v>197</v>
      </c>
      <c r="I56" s="8">
        <v>0.17472920110797763</v>
      </c>
    </row>
    <row r="57" spans="1:9" x14ac:dyDescent="0.35">
      <c r="A57" s="17">
        <v>45537</v>
      </c>
      <c r="B57" s="4" t="s">
        <v>3</v>
      </c>
      <c r="C57">
        <v>728</v>
      </c>
      <c r="D57">
        <v>395</v>
      </c>
      <c r="E57">
        <v>370971</v>
      </c>
      <c r="F57">
        <v>3.86</v>
      </c>
      <c r="G57">
        <v>12646</v>
      </c>
      <c r="H57">
        <v>333</v>
      </c>
      <c r="I57" s="8">
        <v>0.19624175474632788</v>
      </c>
    </row>
    <row r="58" spans="1:9" x14ac:dyDescent="0.35">
      <c r="A58" s="17">
        <v>45544</v>
      </c>
      <c r="B58" s="4" t="s">
        <v>5</v>
      </c>
      <c r="C58">
        <v>1592</v>
      </c>
      <c r="D58">
        <v>20</v>
      </c>
      <c r="E58">
        <v>378054</v>
      </c>
      <c r="F58">
        <v>9.09</v>
      </c>
      <c r="G58">
        <v>26663</v>
      </c>
      <c r="H58">
        <v>1572</v>
      </c>
      <c r="I58" s="8">
        <v>0.42110386346923995</v>
      </c>
    </row>
    <row r="59" spans="1:9" x14ac:dyDescent="0.35">
      <c r="A59" s="17">
        <v>45544</v>
      </c>
      <c r="B59" s="4" t="s">
        <v>7</v>
      </c>
      <c r="C59">
        <v>1842</v>
      </c>
      <c r="D59">
        <v>414</v>
      </c>
      <c r="E59">
        <v>307524</v>
      </c>
      <c r="F59">
        <v>1.76</v>
      </c>
      <c r="G59">
        <v>40478</v>
      </c>
      <c r="H59">
        <v>1428</v>
      </c>
      <c r="I59" s="8">
        <v>0.59897764076950089</v>
      </c>
    </row>
    <row r="60" spans="1:9" x14ac:dyDescent="0.35">
      <c r="A60" s="17">
        <v>45544</v>
      </c>
      <c r="B60" s="4" t="s">
        <v>1</v>
      </c>
      <c r="C60">
        <v>751</v>
      </c>
      <c r="D60">
        <v>491</v>
      </c>
      <c r="E60">
        <v>434047</v>
      </c>
      <c r="F60">
        <v>9.24</v>
      </c>
      <c r="G60">
        <v>15476</v>
      </c>
      <c r="H60">
        <v>260</v>
      </c>
      <c r="I60" s="8">
        <v>0.17302273716901626</v>
      </c>
    </row>
    <row r="61" spans="1:9" x14ac:dyDescent="0.35">
      <c r="A61" s="17">
        <v>45544</v>
      </c>
      <c r="B61" s="4" t="s">
        <v>3</v>
      </c>
      <c r="C61">
        <v>1409</v>
      </c>
      <c r="D61">
        <v>309</v>
      </c>
      <c r="E61">
        <v>64583</v>
      </c>
      <c r="F61">
        <v>8.99</v>
      </c>
      <c r="G61">
        <v>10217</v>
      </c>
      <c r="H61">
        <v>1100</v>
      </c>
      <c r="I61" s="8">
        <v>2.181688679683508</v>
      </c>
    </row>
    <row r="62" spans="1:9" x14ac:dyDescent="0.35">
      <c r="A62" s="17">
        <v>45551</v>
      </c>
      <c r="B62" s="4" t="s">
        <v>5</v>
      </c>
      <c r="C62">
        <v>778</v>
      </c>
      <c r="D62">
        <v>401</v>
      </c>
      <c r="E62">
        <v>50793</v>
      </c>
      <c r="F62">
        <v>3.4</v>
      </c>
      <c r="G62">
        <v>21939</v>
      </c>
      <c r="H62">
        <v>377</v>
      </c>
      <c r="I62" s="8">
        <v>1.5317071249975391</v>
      </c>
    </row>
    <row r="63" spans="1:9" x14ac:dyDescent="0.35">
      <c r="A63" s="17">
        <v>45551</v>
      </c>
      <c r="B63" s="4" t="s">
        <v>7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  <c r="H63">
        <v>98</v>
      </c>
      <c r="I63" s="8">
        <v>9.3427984528494476E-2</v>
      </c>
    </row>
    <row r="64" spans="1:9" x14ac:dyDescent="0.35">
      <c r="A64" s="17">
        <v>45551</v>
      </c>
      <c r="B64" s="4" t="s">
        <v>1</v>
      </c>
      <c r="C64">
        <v>1472</v>
      </c>
      <c r="D64">
        <v>347</v>
      </c>
      <c r="E64">
        <v>392355</v>
      </c>
      <c r="F64">
        <v>8.59</v>
      </c>
      <c r="G64">
        <v>30270</v>
      </c>
      <c r="H64">
        <v>1125</v>
      </c>
      <c r="I64" s="8">
        <v>0.37517044513259679</v>
      </c>
    </row>
    <row r="65" spans="1:9" x14ac:dyDescent="0.35">
      <c r="A65" s="17">
        <v>45551</v>
      </c>
      <c r="B65" s="4" t="s">
        <v>3</v>
      </c>
      <c r="C65">
        <v>123</v>
      </c>
      <c r="D65">
        <v>155</v>
      </c>
      <c r="E65">
        <v>119934</v>
      </c>
      <c r="F65">
        <v>3.5</v>
      </c>
      <c r="G65">
        <v>5442</v>
      </c>
      <c r="H65">
        <v>-32</v>
      </c>
      <c r="I65" s="8">
        <v>0.10255640602331284</v>
      </c>
    </row>
    <row r="66" spans="1:9" x14ac:dyDescent="0.35">
      <c r="A66" s="17">
        <v>45558</v>
      </c>
      <c r="B66" s="4" t="s">
        <v>5</v>
      </c>
      <c r="C66">
        <v>817</v>
      </c>
      <c r="D66">
        <v>151</v>
      </c>
      <c r="E66">
        <v>422625</v>
      </c>
      <c r="F66">
        <v>2.36</v>
      </c>
      <c r="G66">
        <v>1083</v>
      </c>
      <c r="H66">
        <v>666</v>
      </c>
      <c r="I66" s="8">
        <v>0.19331558710440697</v>
      </c>
    </row>
    <row r="67" spans="1:9" x14ac:dyDescent="0.35">
      <c r="A67" s="17">
        <v>45558</v>
      </c>
      <c r="B67" s="4" t="s">
        <v>7</v>
      </c>
      <c r="C67">
        <v>198</v>
      </c>
      <c r="D67">
        <v>217</v>
      </c>
      <c r="E67">
        <v>239753</v>
      </c>
      <c r="F67">
        <v>7.36</v>
      </c>
      <c r="G67">
        <v>11901</v>
      </c>
      <c r="H67">
        <v>-19</v>
      </c>
      <c r="I67" s="8">
        <v>8.2584993722706265E-2</v>
      </c>
    </row>
    <row r="68" spans="1:9" x14ac:dyDescent="0.35">
      <c r="A68" s="17">
        <v>45558</v>
      </c>
      <c r="B68" s="4" t="s">
        <v>1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  <c r="H68">
        <v>1680</v>
      </c>
      <c r="I68" s="8">
        <v>0.7116894337767582</v>
      </c>
    </row>
    <row r="69" spans="1:9" x14ac:dyDescent="0.35">
      <c r="A69" s="17">
        <v>45558</v>
      </c>
      <c r="B69" s="4" t="s">
        <v>3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  <c r="H69">
        <v>1006</v>
      </c>
      <c r="I69" s="8">
        <v>1.927916805166437</v>
      </c>
    </row>
    <row r="70" spans="1:9" x14ac:dyDescent="0.35">
      <c r="A70" s="17">
        <v>45565</v>
      </c>
      <c r="B70" s="4" t="s">
        <v>5</v>
      </c>
      <c r="C70">
        <v>1433</v>
      </c>
      <c r="D70">
        <v>408</v>
      </c>
      <c r="E70">
        <v>370269</v>
      </c>
      <c r="F70">
        <v>3.3</v>
      </c>
      <c r="G70">
        <v>30575</v>
      </c>
      <c r="H70">
        <v>1025</v>
      </c>
      <c r="I70" s="8">
        <v>0.3870159262590171</v>
      </c>
    </row>
    <row r="71" spans="1:9" x14ac:dyDescent="0.35">
      <c r="A71" s="17">
        <v>45565</v>
      </c>
      <c r="B71" s="4" t="s">
        <v>7</v>
      </c>
      <c r="C71">
        <v>250</v>
      </c>
      <c r="D71">
        <v>429</v>
      </c>
      <c r="E71">
        <v>453423</v>
      </c>
      <c r="F71">
        <v>1.77</v>
      </c>
      <c r="G71">
        <v>2315</v>
      </c>
      <c r="H71">
        <v>-179</v>
      </c>
      <c r="I71" s="8">
        <v>5.5136153216753456E-2</v>
      </c>
    </row>
    <row r="72" spans="1:9" x14ac:dyDescent="0.35">
      <c r="A72" s="17">
        <v>45565</v>
      </c>
      <c r="B72" s="4" t="s">
        <v>1</v>
      </c>
      <c r="C72">
        <v>752</v>
      </c>
      <c r="D72">
        <v>153</v>
      </c>
      <c r="E72">
        <v>64906</v>
      </c>
      <c r="F72">
        <v>2.09</v>
      </c>
      <c r="G72">
        <v>12148</v>
      </c>
      <c r="H72">
        <v>599</v>
      </c>
      <c r="I72" s="8">
        <v>1.1585985887283148</v>
      </c>
    </row>
    <row r="73" spans="1:9" x14ac:dyDescent="0.35">
      <c r="A73" s="17">
        <v>45565</v>
      </c>
      <c r="B73" s="4" t="s">
        <v>3</v>
      </c>
      <c r="C73">
        <v>1918</v>
      </c>
      <c r="D73">
        <v>212</v>
      </c>
      <c r="E73">
        <v>94360</v>
      </c>
      <c r="F73">
        <v>7.36</v>
      </c>
      <c r="G73">
        <v>36851</v>
      </c>
      <c r="H73">
        <v>1706</v>
      </c>
      <c r="I73" s="8">
        <v>2.0326409495548963</v>
      </c>
    </row>
    <row r="74" spans="1:9" x14ac:dyDescent="0.35">
      <c r="A74" s="17">
        <v>45572</v>
      </c>
      <c r="B74" s="4" t="s">
        <v>5</v>
      </c>
      <c r="C74">
        <v>1939</v>
      </c>
      <c r="D74">
        <v>67</v>
      </c>
      <c r="E74">
        <v>187183</v>
      </c>
      <c r="F74">
        <v>6.25</v>
      </c>
      <c r="G74">
        <v>41215</v>
      </c>
      <c r="H74">
        <v>1872</v>
      </c>
      <c r="I74" s="8">
        <v>1.035884669013746</v>
      </c>
    </row>
    <row r="75" spans="1:9" x14ac:dyDescent="0.35">
      <c r="A75" s="17">
        <v>45572</v>
      </c>
      <c r="B75" s="4" t="s">
        <v>7</v>
      </c>
      <c r="C75">
        <v>1929</v>
      </c>
      <c r="D75">
        <v>267</v>
      </c>
      <c r="E75">
        <v>379363</v>
      </c>
      <c r="F75">
        <v>1.75</v>
      </c>
      <c r="G75">
        <v>43836</v>
      </c>
      <c r="H75">
        <v>1662</v>
      </c>
      <c r="I75" s="8">
        <v>0.50848395863592388</v>
      </c>
    </row>
    <row r="76" spans="1:9" x14ac:dyDescent="0.35">
      <c r="A76" s="17">
        <v>45572</v>
      </c>
      <c r="B76" s="4" t="s">
        <v>1</v>
      </c>
      <c r="C76">
        <v>437</v>
      </c>
      <c r="D76">
        <v>330</v>
      </c>
      <c r="E76">
        <v>476486</v>
      </c>
      <c r="F76">
        <v>4.97</v>
      </c>
      <c r="G76">
        <v>4509</v>
      </c>
      <c r="H76">
        <v>107</v>
      </c>
      <c r="I76" s="8">
        <v>9.1713082860776604E-2</v>
      </c>
    </row>
    <row r="77" spans="1:9" x14ac:dyDescent="0.35">
      <c r="A77" s="17">
        <v>45572</v>
      </c>
      <c r="B77" s="4" t="s">
        <v>3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  <c r="H77">
        <v>118</v>
      </c>
      <c r="I77" s="8">
        <v>0.26068423242504268</v>
      </c>
    </row>
    <row r="78" spans="1:9" x14ac:dyDescent="0.35">
      <c r="A78" s="17">
        <v>45579</v>
      </c>
      <c r="B78" s="4" t="s">
        <v>5</v>
      </c>
      <c r="C78">
        <v>1527</v>
      </c>
      <c r="D78">
        <v>303</v>
      </c>
      <c r="E78">
        <v>388555</v>
      </c>
      <c r="F78">
        <v>8.9</v>
      </c>
      <c r="G78">
        <v>36397</v>
      </c>
      <c r="H78">
        <v>1224</v>
      </c>
      <c r="I78" s="8">
        <v>0.39299455675515688</v>
      </c>
    </row>
    <row r="79" spans="1:9" x14ac:dyDescent="0.35">
      <c r="A79" s="17">
        <v>45579</v>
      </c>
      <c r="B79" s="4" t="s">
        <v>7</v>
      </c>
      <c r="C79">
        <v>643</v>
      </c>
      <c r="D79">
        <v>358</v>
      </c>
      <c r="E79">
        <v>157599</v>
      </c>
      <c r="F79">
        <v>3.88</v>
      </c>
      <c r="G79">
        <v>7285</v>
      </c>
      <c r="H79">
        <v>285</v>
      </c>
      <c r="I79" s="8">
        <v>0.40799751267457279</v>
      </c>
    </row>
    <row r="80" spans="1:9" x14ac:dyDescent="0.35">
      <c r="A80" s="17">
        <v>45579</v>
      </c>
      <c r="B80" s="4" t="s">
        <v>1</v>
      </c>
      <c r="C80">
        <v>201</v>
      </c>
      <c r="D80">
        <v>221</v>
      </c>
      <c r="E80">
        <v>309772</v>
      </c>
      <c r="F80">
        <v>5.9</v>
      </c>
      <c r="G80">
        <v>33174</v>
      </c>
      <c r="H80">
        <v>-20</v>
      </c>
      <c r="I80" s="8">
        <v>6.4886432602042798E-2</v>
      </c>
    </row>
    <row r="81" spans="1:9" x14ac:dyDescent="0.35">
      <c r="A81" s="17">
        <v>45579</v>
      </c>
      <c r="B81" s="4" t="s">
        <v>3</v>
      </c>
      <c r="C81">
        <v>414</v>
      </c>
      <c r="D81">
        <v>47</v>
      </c>
      <c r="E81">
        <v>199178</v>
      </c>
      <c r="F81">
        <v>1.53</v>
      </c>
      <c r="G81">
        <v>6742</v>
      </c>
      <c r="H81">
        <v>367</v>
      </c>
      <c r="I81" s="8">
        <v>0.20785428109530171</v>
      </c>
    </row>
    <row r="82" spans="1:9" x14ac:dyDescent="0.35">
      <c r="A82" s="17">
        <v>45586</v>
      </c>
      <c r="B82" s="4" t="s">
        <v>5</v>
      </c>
      <c r="C82">
        <v>703</v>
      </c>
      <c r="D82">
        <v>441</v>
      </c>
      <c r="E82">
        <v>357089</v>
      </c>
      <c r="F82">
        <v>6.5</v>
      </c>
      <c r="G82">
        <v>32478</v>
      </c>
      <c r="H82">
        <v>262</v>
      </c>
      <c r="I82" s="8">
        <v>0.19686968794894269</v>
      </c>
    </row>
    <row r="83" spans="1:9" x14ac:dyDescent="0.35">
      <c r="A83" s="17">
        <v>45586</v>
      </c>
      <c r="B83" s="4" t="s">
        <v>7</v>
      </c>
      <c r="C83">
        <v>508</v>
      </c>
      <c r="D83">
        <v>69</v>
      </c>
      <c r="E83">
        <v>23492</v>
      </c>
      <c r="F83">
        <v>3.16</v>
      </c>
      <c r="G83">
        <v>42824</v>
      </c>
      <c r="H83">
        <v>439</v>
      </c>
      <c r="I83" s="8">
        <v>2.162438276860208</v>
      </c>
    </row>
    <row r="84" spans="1:9" x14ac:dyDescent="0.35">
      <c r="A84" s="17">
        <v>45586</v>
      </c>
      <c r="B84" s="4" t="s">
        <v>1</v>
      </c>
      <c r="C84">
        <v>697</v>
      </c>
      <c r="D84">
        <v>61</v>
      </c>
      <c r="E84">
        <v>258287</v>
      </c>
      <c r="F84">
        <v>8.25</v>
      </c>
      <c r="G84">
        <v>21208</v>
      </c>
      <c r="H84">
        <v>636</v>
      </c>
      <c r="I84" s="8">
        <v>0.26985485138624865</v>
      </c>
    </row>
    <row r="85" spans="1:9" x14ac:dyDescent="0.35">
      <c r="A85" s="17">
        <v>45586</v>
      </c>
      <c r="B85" s="4" t="s">
        <v>3</v>
      </c>
      <c r="C85">
        <v>1707</v>
      </c>
      <c r="D85">
        <v>223</v>
      </c>
      <c r="E85">
        <v>256910</v>
      </c>
      <c r="F85">
        <v>5.41</v>
      </c>
      <c r="G85">
        <v>44321</v>
      </c>
      <c r="H85">
        <v>1484</v>
      </c>
      <c r="I85" s="8">
        <v>0.66443501615351686</v>
      </c>
    </row>
    <row r="86" spans="1:9" x14ac:dyDescent="0.35">
      <c r="A86" s="17">
        <v>45593</v>
      </c>
      <c r="B86" s="4" t="s">
        <v>5</v>
      </c>
      <c r="C86">
        <v>642</v>
      </c>
      <c r="D86">
        <v>66</v>
      </c>
      <c r="E86">
        <v>346522</v>
      </c>
      <c r="F86">
        <v>5.85</v>
      </c>
      <c r="G86">
        <v>13116</v>
      </c>
      <c r="H86">
        <v>576</v>
      </c>
      <c r="I86" s="8">
        <v>0.1852696221307738</v>
      </c>
    </row>
    <row r="87" spans="1:9" x14ac:dyDescent="0.35">
      <c r="A87" s="17">
        <v>45593</v>
      </c>
      <c r="B87" s="4" t="s">
        <v>7</v>
      </c>
      <c r="C87">
        <v>859</v>
      </c>
      <c r="D87">
        <v>473</v>
      </c>
      <c r="E87">
        <v>209987</v>
      </c>
      <c r="F87">
        <v>4.46</v>
      </c>
      <c r="G87">
        <v>30214</v>
      </c>
      <c r="H87">
        <v>386</v>
      </c>
      <c r="I87" s="8">
        <v>0.40907294261073301</v>
      </c>
    </row>
    <row r="88" spans="1:9" x14ac:dyDescent="0.35">
      <c r="A88" s="17">
        <v>45593</v>
      </c>
      <c r="B88" s="4" t="s">
        <v>1</v>
      </c>
      <c r="C88">
        <v>191</v>
      </c>
      <c r="D88">
        <v>154</v>
      </c>
      <c r="E88">
        <v>240550</v>
      </c>
      <c r="F88">
        <v>5.22</v>
      </c>
      <c r="G88">
        <v>15827</v>
      </c>
      <c r="H88">
        <v>37</v>
      </c>
      <c r="I88" s="8">
        <v>7.9401371856162958E-2</v>
      </c>
    </row>
    <row r="89" spans="1:9" x14ac:dyDescent="0.35">
      <c r="A89" s="17">
        <v>45593</v>
      </c>
      <c r="B89" s="4" t="s">
        <v>3</v>
      </c>
      <c r="C89">
        <v>1814</v>
      </c>
      <c r="D89">
        <v>157</v>
      </c>
      <c r="E89">
        <v>305827</v>
      </c>
      <c r="F89">
        <v>1.99</v>
      </c>
      <c r="G89">
        <v>46643</v>
      </c>
      <c r="H89">
        <v>1657</v>
      </c>
      <c r="I89" s="8">
        <v>0.59314579811462032</v>
      </c>
    </row>
    <row r="90" spans="1:9" x14ac:dyDescent="0.35">
      <c r="A90" s="17">
        <v>45600</v>
      </c>
      <c r="B90" s="4" t="s">
        <v>5</v>
      </c>
      <c r="C90">
        <v>1466</v>
      </c>
      <c r="D90">
        <v>69</v>
      </c>
      <c r="E90">
        <v>54935</v>
      </c>
      <c r="F90">
        <v>6.85</v>
      </c>
      <c r="G90">
        <v>36484</v>
      </c>
      <c r="H90">
        <v>1397</v>
      </c>
      <c r="I90" s="8">
        <v>2.6686083553290252</v>
      </c>
    </row>
    <row r="91" spans="1:9" x14ac:dyDescent="0.35">
      <c r="A91" s="17">
        <v>45600</v>
      </c>
      <c r="B91" s="4" t="s">
        <v>7</v>
      </c>
      <c r="C91">
        <v>947</v>
      </c>
      <c r="D91">
        <v>407</v>
      </c>
      <c r="E91">
        <v>319186</v>
      </c>
      <c r="F91">
        <v>3.32</v>
      </c>
      <c r="G91">
        <v>4996</v>
      </c>
      <c r="H91">
        <v>540</v>
      </c>
      <c r="I91" s="8">
        <v>0.29669221081125108</v>
      </c>
    </row>
    <row r="92" spans="1:9" x14ac:dyDescent="0.35">
      <c r="A92" s="17">
        <v>45600</v>
      </c>
      <c r="B92" s="4" t="s">
        <v>1</v>
      </c>
      <c r="C92">
        <v>1821</v>
      </c>
      <c r="D92">
        <v>218</v>
      </c>
      <c r="E92">
        <v>439080</v>
      </c>
      <c r="F92">
        <v>5.68</v>
      </c>
      <c r="G92">
        <v>36095</v>
      </c>
      <c r="H92">
        <v>1603</v>
      </c>
      <c r="I92" s="8">
        <v>0.41473080076523638</v>
      </c>
    </row>
    <row r="93" spans="1:9" x14ac:dyDescent="0.35">
      <c r="A93" s="17">
        <v>45600</v>
      </c>
      <c r="B93" s="4" t="s">
        <v>3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v>1044</v>
      </c>
      <c r="I93" s="8">
        <v>0.58197911517548195</v>
      </c>
    </row>
    <row r="94" spans="1:9" x14ac:dyDescent="0.35">
      <c r="A94" s="17">
        <v>45607</v>
      </c>
      <c r="B94" s="4" t="s">
        <v>5</v>
      </c>
      <c r="C94">
        <v>1075</v>
      </c>
      <c r="D94">
        <v>173</v>
      </c>
      <c r="E94">
        <v>51395</v>
      </c>
      <c r="F94">
        <v>4.66</v>
      </c>
      <c r="G94">
        <v>47812</v>
      </c>
      <c r="H94">
        <v>902</v>
      </c>
      <c r="I94" s="8">
        <v>2.0916431559490225</v>
      </c>
    </row>
    <row r="95" spans="1:9" x14ac:dyDescent="0.35">
      <c r="A95" s="17">
        <v>45607</v>
      </c>
      <c r="B95" s="4" t="s">
        <v>7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  <c r="H95">
        <v>-106</v>
      </c>
      <c r="I95" s="8">
        <v>5.5253438799546334E-2</v>
      </c>
    </row>
    <row r="96" spans="1:9" x14ac:dyDescent="0.35">
      <c r="A96" s="17">
        <v>45607</v>
      </c>
      <c r="B96" s="4" t="s">
        <v>1</v>
      </c>
      <c r="C96">
        <v>1487</v>
      </c>
      <c r="D96">
        <v>337</v>
      </c>
      <c r="E96">
        <v>87305</v>
      </c>
      <c r="F96">
        <v>2.46</v>
      </c>
      <c r="G96">
        <v>30428</v>
      </c>
      <c r="H96">
        <v>1150</v>
      </c>
      <c r="I96" s="8">
        <v>1.703224328503522</v>
      </c>
    </row>
    <row r="97" spans="1:9" x14ac:dyDescent="0.35">
      <c r="A97" s="17">
        <v>45607</v>
      </c>
      <c r="B97" s="4" t="s">
        <v>3</v>
      </c>
      <c r="C97">
        <v>454</v>
      </c>
      <c r="D97">
        <v>105</v>
      </c>
      <c r="E97">
        <v>121091</v>
      </c>
      <c r="F97">
        <v>7.97</v>
      </c>
      <c r="G97">
        <v>9269</v>
      </c>
      <c r="H97">
        <v>349</v>
      </c>
      <c r="I97" s="8">
        <v>0.3749246434499674</v>
      </c>
    </row>
    <row r="98" spans="1:9" x14ac:dyDescent="0.35">
      <c r="A98" s="17">
        <v>45614</v>
      </c>
      <c r="B98" s="4" t="s">
        <v>5</v>
      </c>
      <c r="C98">
        <v>187</v>
      </c>
      <c r="D98">
        <v>236</v>
      </c>
      <c r="E98">
        <v>51087</v>
      </c>
      <c r="F98">
        <v>9.41</v>
      </c>
      <c r="G98">
        <v>29533</v>
      </c>
      <c r="H98">
        <v>-49</v>
      </c>
      <c r="I98" s="8">
        <v>0.36604224166617738</v>
      </c>
    </row>
    <row r="99" spans="1:9" x14ac:dyDescent="0.35">
      <c r="A99" s="17">
        <v>45614</v>
      </c>
      <c r="B99" s="4" t="s">
        <v>7</v>
      </c>
      <c r="C99">
        <v>513</v>
      </c>
      <c r="D99">
        <v>441</v>
      </c>
      <c r="E99">
        <v>338847</v>
      </c>
      <c r="F99">
        <v>2.68</v>
      </c>
      <c r="G99">
        <v>39997</v>
      </c>
      <c r="H99">
        <v>72</v>
      </c>
      <c r="I99" s="8">
        <v>0.15139576268935537</v>
      </c>
    </row>
    <row r="100" spans="1:9" x14ac:dyDescent="0.35">
      <c r="A100" s="17">
        <v>45614</v>
      </c>
      <c r="B100" s="4" t="s">
        <v>1</v>
      </c>
      <c r="C100">
        <v>628</v>
      </c>
      <c r="D100">
        <v>183</v>
      </c>
      <c r="E100">
        <v>487523</v>
      </c>
      <c r="F100">
        <v>7.32</v>
      </c>
      <c r="G100">
        <v>5391</v>
      </c>
      <c r="H100">
        <v>445</v>
      </c>
      <c r="I100" s="8">
        <v>0.12881443542150833</v>
      </c>
    </row>
    <row r="101" spans="1:9" x14ac:dyDescent="0.35">
      <c r="A101" s="17">
        <v>45614</v>
      </c>
      <c r="B101" s="4" t="s">
        <v>3</v>
      </c>
      <c r="C101">
        <v>278</v>
      </c>
      <c r="D101">
        <v>218</v>
      </c>
      <c r="E101">
        <v>301695</v>
      </c>
      <c r="F101">
        <v>4.68</v>
      </c>
      <c r="G101">
        <v>22373</v>
      </c>
      <c r="H101">
        <v>60</v>
      </c>
      <c r="I101" s="8">
        <v>9.2146041532010822E-2</v>
      </c>
    </row>
    <row r="102" spans="1:9" x14ac:dyDescent="0.35">
      <c r="A102" s="17">
        <v>45621</v>
      </c>
      <c r="B102" s="4" t="s">
        <v>5</v>
      </c>
      <c r="C102">
        <v>1854</v>
      </c>
      <c r="D102">
        <v>161</v>
      </c>
      <c r="E102">
        <v>282466</v>
      </c>
      <c r="F102">
        <v>5.17</v>
      </c>
      <c r="G102">
        <v>1810</v>
      </c>
      <c r="H102">
        <v>1693</v>
      </c>
      <c r="I102" s="8">
        <v>0.65636218164310034</v>
      </c>
    </row>
    <row r="103" spans="1:9" x14ac:dyDescent="0.35">
      <c r="A103" s="17">
        <v>45621</v>
      </c>
      <c r="B103" s="4" t="s">
        <v>7</v>
      </c>
      <c r="C103">
        <v>1710</v>
      </c>
      <c r="D103">
        <v>378</v>
      </c>
      <c r="E103">
        <v>336661</v>
      </c>
      <c r="F103">
        <v>6.2</v>
      </c>
      <c r="G103">
        <v>28498</v>
      </c>
      <c r="H103">
        <v>1332</v>
      </c>
      <c r="I103" s="8">
        <v>0.50792934138495405</v>
      </c>
    </row>
    <row r="104" spans="1:9" x14ac:dyDescent="0.35">
      <c r="A104" s="17">
        <v>45621</v>
      </c>
      <c r="B104" s="4" t="s">
        <v>1</v>
      </c>
      <c r="C104">
        <v>330</v>
      </c>
      <c r="D104">
        <v>232</v>
      </c>
      <c r="E104">
        <v>88455</v>
      </c>
      <c r="F104">
        <v>2.69</v>
      </c>
      <c r="G104">
        <v>39530</v>
      </c>
      <c r="H104">
        <v>98</v>
      </c>
      <c r="I104" s="8">
        <v>0.37307105307783617</v>
      </c>
    </row>
    <row r="105" spans="1:9" x14ac:dyDescent="0.35">
      <c r="A105" s="17">
        <v>45621</v>
      </c>
      <c r="B105" s="4" t="s">
        <v>3</v>
      </c>
      <c r="C105">
        <v>1293</v>
      </c>
      <c r="D105">
        <v>408</v>
      </c>
      <c r="E105">
        <v>62535</v>
      </c>
      <c r="F105">
        <v>8.9</v>
      </c>
      <c r="G105">
        <v>37876</v>
      </c>
      <c r="H105">
        <v>885</v>
      </c>
      <c r="I105" s="8">
        <v>2.067642120412569</v>
      </c>
    </row>
    <row r="106" spans="1:9" x14ac:dyDescent="0.35">
      <c r="A106" s="17">
        <v>45628</v>
      </c>
      <c r="B106" s="4" t="s">
        <v>5</v>
      </c>
      <c r="C106">
        <v>1696</v>
      </c>
      <c r="D106">
        <v>71</v>
      </c>
      <c r="E106">
        <v>421957</v>
      </c>
      <c r="F106">
        <v>3.79</v>
      </c>
      <c r="G106">
        <v>36103</v>
      </c>
      <c r="H106">
        <v>1625</v>
      </c>
      <c r="I106" s="8">
        <v>0.40193669023146905</v>
      </c>
    </row>
    <row r="107" spans="1:9" x14ac:dyDescent="0.35">
      <c r="A107" s="17">
        <v>45628</v>
      </c>
      <c r="B107" s="4" t="s">
        <v>7</v>
      </c>
      <c r="C107">
        <v>1902</v>
      </c>
      <c r="D107">
        <v>196</v>
      </c>
      <c r="E107">
        <v>470269</v>
      </c>
      <c r="F107">
        <v>4.79</v>
      </c>
      <c r="G107">
        <v>26103</v>
      </c>
      <c r="H107">
        <v>1706</v>
      </c>
      <c r="I107" s="8">
        <v>0.40444936834024786</v>
      </c>
    </row>
    <row r="108" spans="1:9" x14ac:dyDescent="0.35">
      <c r="A108" s="17">
        <v>45628</v>
      </c>
      <c r="B108" s="4" t="s">
        <v>1</v>
      </c>
      <c r="C108">
        <v>1441</v>
      </c>
      <c r="D108">
        <v>268</v>
      </c>
      <c r="E108">
        <v>309904</v>
      </c>
      <c r="F108">
        <v>6.37</v>
      </c>
      <c r="G108">
        <v>3455</v>
      </c>
      <c r="H108">
        <v>1173</v>
      </c>
      <c r="I108" s="8">
        <v>0.4649827043213382</v>
      </c>
    </row>
    <row r="109" spans="1:9" x14ac:dyDescent="0.35">
      <c r="A109" s="17">
        <v>45628</v>
      </c>
      <c r="B109" s="4" t="s">
        <v>3</v>
      </c>
      <c r="C109">
        <v>452</v>
      </c>
      <c r="D109">
        <v>161</v>
      </c>
      <c r="E109">
        <v>221274</v>
      </c>
      <c r="F109">
        <v>2.65</v>
      </c>
      <c r="G109">
        <v>40888</v>
      </c>
      <c r="H109">
        <v>291</v>
      </c>
      <c r="I109" s="8">
        <v>0.20427162703254789</v>
      </c>
    </row>
    <row r="110" spans="1:9" x14ac:dyDescent="0.35">
      <c r="A110" s="17">
        <v>45635</v>
      </c>
      <c r="B110" s="4" t="s">
        <v>5</v>
      </c>
      <c r="C110">
        <v>1494</v>
      </c>
      <c r="D110">
        <v>375</v>
      </c>
      <c r="E110">
        <v>220616</v>
      </c>
      <c r="F110">
        <v>1.81</v>
      </c>
      <c r="G110">
        <v>22724</v>
      </c>
      <c r="H110">
        <v>1119</v>
      </c>
      <c r="I110" s="8">
        <v>0.6771947637524024</v>
      </c>
    </row>
    <row r="111" spans="1:9" x14ac:dyDescent="0.35">
      <c r="A111" s="17">
        <v>45635</v>
      </c>
      <c r="B111" s="4" t="s">
        <v>7</v>
      </c>
      <c r="C111">
        <v>1514</v>
      </c>
      <c r="D111">
        <v>141</v>
      </c>
      <c r="E111">
        <v>35842</v>
      </c>
      <c r="F111">
        <v>7.47</v>
      </c>
      <c r="G111">
        <v>18601</v>
      </c>
      <c r="H111">
        <v>1373</v>
      </c>
      <c r="I111" s="8">
        <v>4.2240946375760275</v>
      </c>
    </row>
    <row r="112" spans="1:9" x14ac:dyDescent="0.35">
      <c r="A112" s="17">
        <v>45635</v>
      </c>
      <c r="B112" s="4" t="s">
        <v>1</v>
      </c>
      <c r="C112">
        <v>1937</v>
      </c>
      <c r="D112">
        <v>210</v>
      </c>
      <c r="E112">
        <v>20607</v>
      </c>
      <c r="F112">
        <v>4.2</v>
      </c>
      <c r="G112">
        <v>20861</v>
      </c>
      <c r="H112">
        <v>1727</v>
      </c>
      <c r="I112" s="8">
        <v>9.3997185422429261</v>
      </c>
    </row>
    <row r="113" spans="1:9" x14ac:dyDescent="0.35">
      <c r="A113" s="17">
        <v>45635</v>
      </c>
      <c r="B113" s="4" t="s">
        <v>3</v>
      </c>
      <c r="C113">
        <v>736</v>
      </c>
      <c r="D113">
        <v>163</v>
      </c>
      <c r="E113">
        <v>451894</v>
      </c>
      <c r="F113">
        <v>5.43</v>
      </c>
      <c r="G113">
        <v>46625</v>
      </c>
      <c r="H113">
        <v>573</v>
      </c>
      <c r="I113" s="8">
        <v>0.16287005359663992</v>
      </c>
    </row>
    <row r="114" spans="1:9" x14ac:dyDescent="0.35">
      <c r="A114" s="17">
        <v>45642</v>
      </c>
      <c r="B114" s="4" t="s">
        <v>5</v>
      </c>
      <c r="C114">
        <v>1502</v>
      </c>
      <c r="D114">
        <v>70</v>
      </c>
      <c r="E114">
        <v>465553</v>
      </c>
      <c r="F114">
        <v>3.32</v>
      </c>
      <c r="G114">
        <v>20692</v>
      </c>
      <c r="H114">
        <v>1432</v>
      </c>
      <c r="I114" s="8">
        <v>0.32262706931326829</v>
      </c>
    </row>
    <row r="115" spans="1:9" x14ac:dyDescent="0.35">
      <c r="A115" s="17">
        <v>45642</v>
      </c>
      <c r="B115" s="4" t="s">
        <v>7</v>
      </c>
      <c r="C115">
        <v>1623</v>
      </c>
      <c r="D115">
        <v>246</v>
      </c>
      <c r="E115">
        <v>415815</v>
      </c>
      <c r="F115">
        <v>8.11</v>
      </c>
      <c r="G115">
        <v>18656</v>
      </c>
      <c r="H115">
        <v>1377</v>
      </c>
      <c r="I115" s="8">
        <v>0.39031780960282814</v>
      </c>
    </row>
    <row r="116" spans="1:9" x14ac:dyDescent="0.35">
      <c r="A116" s="17">
        <v>45642</v>
      </c>
      <c r="B116" s="4" t="s">
        <v>1</v>
      </c>
      <c r="C116">
        <v>1592</v>
      </c>
      <c r="D116">
        <v>233</v>
      </c>
      <c r="E116">
        <v>327183</v>
      </c>
      <c r="F116">
        <v>6.66</v>
      </c>
      <c r="G116">
        <v>13316</v>
      </c>
      <c r="H116">
        <v>1359</v>
      </c>
      <c r="I116" s="8">
        <v>0.48657784787106911</v>
      </c>
    </row>
    <row r="117" spans="1:9" x14ac:dyDescent="0.35">
      <c r="A117" s="17">
        <v>45642</v>
      </c>
      <c r="B117" s="4" t="s">
        <v>3</v>
      </c>
      <c r="C117">
        <v>1004</v>
      </c>
      <c r="D117">
        <v>128</v>
      </c>
      <c r="E117">
        <v>488901</v>
      </c>
      <c r="F117">
        <v>8.09</v>
      </c>
      <c r="G117">
        <v>49558</v>
      </c>
      <c r="H117">
        <v>876</v>
      </c>
      <c r="I117" s="8">
        <v>0.20535854907230708</v>
      </c>
    </row>
    <row r="118" spans="1:9" x14ac:dyDescent="0.35">
      <c r="A118" s="17">
        <v>45649</v>
      </c>
      <c r="B118" s="4" t="s">
        <v>5</v>
      </c>
      <c r="C118">
        <v>1092</v>
      </c>
      <c r="D118">
        <v>408</v>
      </c>
      <c r="E118">
        <v>280795</v>
      </c>
      <c r="F118">
        <v>8.44</v>
      </c>
      <c r="G118">
        <v>4683</v>
      </c>
      <c r="H118">
        <v>684</v>
      </c>
      <c r="I118" s="8">
        <v>0.38889581367189585</v>
      </c>
    </row>
    <row r="119" spans="1:9" x14ac:dyDescent="0.35">
      <c r="A119" s="17">
        <v>45649</v>
      </c>
      <c r="B119" s="4" t="s">
        <v>7</v>
      </c>
      <c r="C119">
        <v>1155</v>
      </c>
      <c r="D119">
        <v>425</v>
      </c>
      <c r="E119">
        <v>93347</v>
      </c>
      <c r="F119">
        <v>2.02</v>
      </c>
      <c r="G119">
        <v>47502</v>
      </c>
      <c r="H119">
        <v>730</v>
      </c>
      <c r="I119" s="8">
        <v>1.237318821172614</v>
      </c>
    </row>
    <row r="120" spans="1:9" x14ac:dyDescent="0.35">
      <c r="A120" s="17">
        <v>45649</v>
      </c>
      <c r="B120" s="4" t="s">
        <v>1</v>
      </c>
      <c r="C120">
        <v>1137</v>
      </c>
      <c r="D120">
        <v>226</v>
      </c>
      <c r="E120">
        <v>81119</v>
      </c>
      <c r="F120">
        <v>7.74</v>
      </c>
      <c r="G120">
        <v>35359</v>
      </c>
      <c r="H120">
        <v>911</v>
      </c>
      <c r="I120" s="8">
        <v>1.4016444975899605</v>
      </c>
    </row>
    <row r="121" spans="1:9" x14ac:dyDescent="0.35">
      <c r="A121" s="17">
        <v>45649</v>
      </c>
      <c r="B121" s="4" t="s">
        <v>3</v>
      </c>
      <c r="C121">
        <v>1900</v>
      </c>
      <c r="D121">
        <v>311</v>
      </c>
      <c r="E121">
        <v>25177</v>
      </c>
      <c r="F121">
        <v>2.89</v>
      </c>
      <c r="G121">
        <v>14154</v>
      </c>
      <c r="H121">
        <v>1589</v>
      </c>
      <c r="I121" s="8">
        <v>7.5465702824006051</v>
      </c>
    </row>
    <row r="122" spans="1:9" x14ac:dyDescent="0.35">
      <c r="A122" s="17">
        <v>45656</v>
      </c>
      <c r="B122" s="4" t="s">
        <v>5</v>
      </c>
      <c r="C122">
        <v>1814</v>
      </c>
      <c r="D122">
        <v>49</v>
      </c>
      <c r="E122">
        <v>140804</v>
      </c>
      <c r="F122">
        <v>1.76</v>
      </c>
      <c r="G122">
        <v>4313</v>
      </c>
      <c r="H122">
        <v>1765</v>
      </c>
      <c r="I122" s="8">
        <v>1.2883156728502032</v>
      </c>
    </row>
    <row r="123" spans="1:9" x14ac:dyDescent="0.35">
      <c r="A123" s="17">
        <v>45656</v>
      </c>
      <c r="B123" s="4" t="s">
        <v>7</v>
      </c>
      <c r="C123">
        <v>1980</v>
      </c>
      <c r="D123">
        <v>204</v>
      </c>
      <c r="E123">
        <v>379431</v>
      </c>
      <c r="F123">
        <v>3.09</v>
      </c>
      <c r="G123">
        <v>25140</v>
      </c>
      <c r="H123">
        <v>1776</v>
      </c>
      <c r="I123" s="8">
        <v>0.52183400934557267</v>
      </c>
    </row>
    <row r="124" spans="1:9" x14ac:dyDescent="0.35">
      <c r="A124" s="17">
        <v>45656</v>
      </c>
      <c r="B124" s="4" t="s">
        <v>1</v>
      </c>
      <c r="C124">
        <v>1786</v>
      </c>
      <c r="D124">
        <v>257</v>
      </c>
      <c r="E124">
        <v>274831</v>
      </c>
      <c r="F124">
        <v>4.68</v>
      </c>
      <c r="G124">
        <v>9118</v>
      </c>
      <c r="H124">
        <v>1529</v>
      </c>
      <c r="I124" s="8">
        <v>0.64985391022119054</v>
      </c>
    </row>
    <row r="125" spans="1:9" x14ac:dyDescent="0.35">
      <c r="A125" s="17">
        <v>45656</v>
      </c>
      <c r="B125" s="4" t="s">
        <v>3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  <c r="H125">
        <v>1460</v>
      </c>
      <c r="I125" s="8">
        <v>1.0924768899119439</v>
      </c>
    </row>
    <row r="126" spans="1:9" x14ac:dyDescent="0.35">
      <c r="A126" s="17">
        <v>45663</v>
      </c>
      <c r="B126" s="4" t="s">
        <v>5</v>
      </c>
      <c r="C126">
        <v>1013</v>
      </c>
      <c r="D126">
        <v>110</v>
      </c>
      <c r="E126">
        <v>466382</v>
      </c>
      <c r="F126">
        <v>5.3</v>
      </c>
      <c r="G126">
        <v>37132</v>
      </c>
      <c r="H126">
        <v>903</v>
      </c>
      <c r="I126" s="8">
        <v>0.21720392296443689</v>
      </c>
    </row>
    <row r="127" spans="1:9" x14ac:dyDescent="0.35">
      <c r="A127" s="17">
        <v>45663</v>
      </c>
      <c r="B127" s="4" t="s">
        <v>7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  <c r="H127">
        <v>620</v>
      </c>
      <c r="I127" s="8">
        <v>0.85241517633294339</v>
      </c>
    </row>
    <row r="128" spans="1:9" x14ac:dyDescent="0.35">
      <c r="A128" s="17">
        <v>45663</v>
      </c>
      <c r="B128" s="4" t="s">
        <v>1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  <c r="H128">
        <v>1188</v>
      </c>
      <c r="I128" s="8">
        <v>0.43997672137861166</v>
      </c>
    </row>
    <row r="129" spans="1:9" x14ac:dyDescent="0.35">
      <c r="A129" s="17">
        <v>45663</v>
      </c>
      <c r="B129" s="4" t="s">
        <v>3</v>
      </c>
      <c r="C129">
        <v>891</v>
      </c>
      <c r="D129">
        <v>45</v>
      </c>
      <c r="E129">
        <v>95410</v>
      </c>
      <c r="F129">
        <v>8.33</v>
      </c>
      <c r="G129">
        <v>15045</v>
      </c>
      <c r="H129">
        <v>846</v>
      </c>
      <c r="I129" s="8">
        <v>0.93386437480347984</v>
      </c>
    </row>
    <row r="130" spans="1:9" x14ac:dyDescent="0.35">
      <c r="A130" s="17">
        <v>45670</v>
      </c>
      <c r="B130" s="4" t="s">
        <v>5</v>
      </c>
      <c r="C130">
        <v>1855</v>
      </c>
      <c r="D130">
        <v>133</v>
      </c>
      <c r="E130">
        <v>349413</v>
      </c>
      <c r="F130">
        <v>3.3</v>
      </c>
      <c r="G130">
        <v>14548</v>
      </c>
      <c r="H130">
        <v>1722</v>
      </c>
      <c r="I130" s="8">
        <v>0.53089037900707758</v>
      </c>
    </row>
    <row r="131" spans="1:9" x14ac:dyDescent="0.35">
      <c r="A131" s="17">
        <v>45670</v>
      </c>
      <c r="B131" s="4" t="s">
        <v>7</v>
      </c>
      <c r="C131">
        <v>651</v>
      </c>
      <c r="D131">
        <v>353</v>
      </c>
      <c r="E131">
        <v>224699</v>
      </c>
      <c r="F131">
        <v>5.61</v>
      </c>
      <c r="G131">
        <v>45708</v>
      </c>
      <c r="H131">
        <v>298</v>
      </c>
      <c r="I131" s="8">
        <v>0.28972091553589469</v>
      </c>
    </row>
    <row r="132" spans="1:9" x14ac:dyDescent="0.35">
      <c r="A132" s="17">
        <v>45670</v>
      </c>
      <c r="B132" s="4" t="s">
        <v>1</v>
      </c>
      <c r="C132">
        <v>118</v>
      </c>
      <c r="D132">
        <v>262</v>
      </c>
      <c r="E132">
        <v>487896</v>
      </c>
      <c r="F132">
        <v>2.56</v>
      </c>
      <c r="G132">
        <v>12350</v>
      </c>
      <c r="H132">
        <v>-144</v>
      </c>
      <c r="I132" s="8">
        <v>2.4185482151934019E-2</v>
      </c>
    </row>
    <row r="133" spans="1:9" x14ac:dyDescent="0.35">
      <c r="A133" s="17">
        <v>45670</v>
      </c>
      <c r="B133" s="4" t="s">
        <v>3</v>
      </c>
      <c r="C133">
        <v>1331</v>
      </c>
      <c r="D133">
        <v>430</v>
      </c>
      <c r="E133">
        <v>14437</v>
      </c>
      <c r="F133">
        <v>3.29</v>
      </c>
      <c r="G133">
        <v>40868</v>
      </c>
      <c r="H133">
        <v>901</v>
      </c>
      <c r="I133" s="8">
        <v>9.2193669044815412</v>
      </c>
    </row>
    <row r="134" spans="1:9" x14ac:dyDescent="0.35">
      <c r="A134" s="17">
        <v>45677</v>
      </c>
      <c r="B134" s="4" t="s">
        <v>5</v>
      </c>
      <c r="C134">
        <v>1748</v>
      </c>
      <c r="D134">
        <v>176</v>
      </c>
      <c r="E134">
        <v>383681</v>
      </c>
      <c r="F134">
        <v>9.24</v>
      </c>
      <c r="G134">
        <v>43122</v>
      </c>
      <c r="H134">
        <v>1572</v>
      </c>
      <c r="I134" s="8">
        <v>0.45558680257818346</v>
      </c>
    </row>
    <row r="135" spans="1:9" x14ac:dyDescent="0.35">
      <c r="A135" s="17">
        <v>45677</v>
      </c>
      <c r="B135" s="4" t="s">
        <v>7</v>
      </c>
      <c r="C135">
        <v>663</v>
      </c>
      <c r="D135">
        <v>236</v>
      </c>
      <c r="E135">
        <v>479490</v>
      </c>
      <c r="F135">
        <v>4.51</v>
      </c>
      <c r="G135">
        <v>23853</v>
      </c>
      <c r="H135">
        <v>427</v>
      </c>
      <c r="I135" s="8">
        <v>0.1382719139085278</v>
      </c>
    </row>
    <row r="136" spans="1:9" x14ac:dyDescent="0.35">
      <c r="A136" s="17">
        <v>45677</v>
      </c>
      <c r="B136" s="4" t="s">
        <v>1</v>
      </c>
      <c r="C136">
        <v>1040</v>
      </c>
      <c r="D136">
        <v>149</v>
      </c>
      <c r="E136">
        <v>124404</v>
      </c>
      <c r="F136">
        <v>5.23</v>
      </c>
      <c r="G136">
        <v>45380</v>
      </c>
      <c r="H136">
        <v>891</v>
      </c>
      <c r="I136" s="8">
        <v>0.83598598115816203</v>
      </c>
    </row>
    <row r="137" spans="1:9" x14ac:dyDescent="0.35">
      <c r="A137" s="17">
        <v>45677</v>
      </c>
      <c r="B137" s="4" t="s">
        <v>3</v>
      </c>
      <c r="C137">
        <v>1166</v>
      </c>
      <c r="D137">
        <v>442</v>
      </c>
      <c r="E137">
        <v>336949</v>
      </c>
      <c r="F137">
        <v>4.68</v>
      </c>
      <c r="G137">
        <v>7705</v>
      </c>
      <c r="H137">
        <v>724</v>
      </c>
      <c r="I137" s="8">
        <v>0.34604643432685656</v>
      </c>
    </row>
    <row r="138" spans="1:9" x14ac:dyDescent="0.35">
      <c r="A138" s="17">
        <v>45684</v>
      </c>
      <c r="B138" s="4" t="s">
        <v>5</v>
      </c>
      <c r="C138">
        <v>115</v>
      </c>
      <c r="D138">
        <v>281</v>
      </c>
      <c r="E138">
        <v>357265</v>
      </c>
      <c r="F138">
        <v>9.23</v>
      </c>
      <c r="G138">
        <v>25525</v>
      </c>
      <c r="H138">
        <v>-166</v>
      </c>
      <c r="I138" s="8">
        <v>3.2188991364953186E-2</v>
      </c>
    </row>
    <row r="139" spans="1:9" x14ac:dyDescent="0.35">
      <c r="A139" s="17">
        <v>45684</v>
      </c>
      <c r="B139" s="4" t="s">
        <v>7</v>
      </c>
      <c r="C139">
        <v>1249</v>
      </c>
      <c r="D139">
        <v>351</v>
      </c>
      <c r="E139">
        <v>321307</v>
      </c>
      <c r="F139">
        <v>6.37</v>
      </c>
      <c r="G139">
        <v>20560</v>
      </c>
      <c r="H139">
        <v>898</v>
      </c>
      <c r="I139" s="8">
        <v>0.38872480213627464</v>
      </c>
    </row>
    <row r="140" spans="1:9" x14ac:dyDescent="0.35">
      <c r="A140" s="17">
        <v>45684</v>
      </c>
      <c r="B140" s="4" t="s">
        <v>1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  <c r="H140">
        <v>1426</v>
      </c>
      <c r="I140" s="8">
        <v>0.5716592590899916</v>
      </c>
    </row>
    <row r="141" spans="1:9" x14ac:dyDescent="0.35">
      <c r="A141" s="17">
        <v>45684</v>
      </c>
      <c r="B141" s="4" t="s">
        <v>3</v>
      </c>
      <c r="C141">
        <v>1411</v>
      </c>
      <c r="D141">
        <v>186</v>
      </c>
      <c r="E141">
        <v>461669</v>
      </c>
      <c r="F141">
        <v>3.72</v>
      </c>
      <c r="G141">
        <v>43999</v>
      </c>
      <c r="H141">
        <v>1225</v>
      </c>
      <c r="I141" s="8">
        <v>0.30563022425157416</v>
      </c>
    </row>
    <row r="142" spans="1:9" x14ac:dyDescent="0.35">
      <c r="A142" s="17">
        <v>45691</v>
      </c>
      <c r="B142" s="4" t="s">
        <v>5</v>
      </c>
      <c r="C142">
        <v>1556</v>
      </c>
      <c r="D142">
        <v>476</v>
      </c>
      <c r="E142">
        <v>351556</v>
      </c>
      <c r="F142">
        <v>3.89</v>
      </c>
      <c r="G142">
        <v>10825</v>
      </c>
      <c r="H142">
        <v>1080</v>
      </c>
      <c r="I142" s="8">
        <v>0.44260373880690418</v>
      </c>
    </row>
    <row r="143" spans="1:9" x14ac:dyDescent="0.35">
      <c r="A143" s="17">
        <v>45691</v>
      </c>
      <c r="B143" s="4" t="s">
        <v>7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  <c r="H143">
        <v>748</v>
      </c>
      <c r="I143" s="8">
        <v>0.85228735099678654</v>
      </c>
    </row>
    <row r="144" spans="1:9" x14ac:dyDescent="0.35">
      <c r="A144" s="17">
        <v>45691</v>
      </c>
      <c r="B144" s="4" t="s">
        <v>1</v>
      </c>
      <c r="C144">
        <v>927</v>
      </c>
      <c r="D144">
        <v>358</v>
      </c>
      <c r="E144">
        <v>177554</v>
      </c>
      <c r="F144">
        <v>6.95</v>
      </c>
      <c r="G144">
        <v>48270</v>
      </c>
      <c r="H144">
        <v>569</v>
      </c>
      <c r="I144" s="8">
        <v>0.52209468668686709</v>
      </c>
    </row>
    <row r="145" spans="1:9" x14ac:dyDescent="0.35">
      <c r="A145" s="17">
        <v>45691</v>
      </c>
      <c r="B145" s="4" t="s">
        <v>3</v>
      </c>
      <c r="C145">
        <v>152</v>
      </c>
      <c r="D145">
        <v>355</v>
      </c>
      <c r="E145">
        <v>270766</v>
      </c>
      <c r="F145">
        <v>9.48</v>
      </c>
      <c r="G145">
        <v>18001</v>
      </c>
      <c r="H145">
        <v>-203</v>
      </c>
      <c r="I145" s="8">
        <v>5.6137033453240066E-2</v>
      </c>
    </row>
    <row r="146" spans="1:9" x14ac:dyDescent="0.35">
      <c r="A146" s="17">
        <v>45698</v>
      </c>
      <c r="B146" s="4" t="s">
        <v>5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  <c r="H146">
        <v>1723</v>
      </c>
      <c r="I146" s="8">
        <v>0.88103148663371234</v>
      </c>
    </row>
    <row r="147" spans="1:9" x14ac:dyDescent="0.35">
      <c r="A147" s="17">
        <v>45698</v>
      </c>
      <c r="B147" s="4" t="s">
        <v>7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  <c r="H147">
        <v>912</v>
      </c>
      <c r="I147" s="8">
        <v>0.41753518718095983</v>
      </c>
    </row>
    <row r="148" spans="1:9" x14ac:dyDescent="0.35">
      <c r="A148" s="17">
        <v>45698</v>
      </c>
      <c r="B148" s="4" t="s">
        <v>1</v>
      </c>
      <c r="C148">
        <v>1587</v>
      </c>
      <c r="D148">
        <v>385</v>
      </c>
      <c r="E148">
        <v>126582</v>
      </c>
      <c r="F148">
        <v>6.99</v>
      </c>
      <c r="G148">
        <v>42832</v>
      </c>
      <c r="H148">
        <v>1202</v>
      </c>
      <c r="I148" s="8">
        <v>1.2537327582120681</v>
      </c>
    </row>
    <row r="149" spans="1:9" x14ac:dyDescent="0.35">
      <c r="A149" s="17">
        <v>45698</v>
      </c>
      <c r="B149" s="4" t="s">
        <v>3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  <c r="H149">
        <v>1444</v>
      </c>
      <c r="I149" s="8">
        <v>0.35175568743818003</v>
      </c>
    </row>
    <row r="150" spans="1:9" x14ac:dyDescent="0.35">
      <c r="A150" s="17">
        <v>45705</v>
      </c>
      <c r="B150" s="4" t="s">
        <v>5</v>
      </c>
      <c r="C150">
        <v>1138</v>
      </c>
      <c r="D150">
        <v>173</v>
      </c>
      <c r="E150">
        <v>453243</v>
      </c>
      <c r="F150">
        <v>2.86</v>
      </c>
      <c r="G150">
        <v>44097</v>
      </c>
      <c r="H150">
        <v>965</v>
      </c>
      <c r="I150" s="8">
        <v>0.25107944303607554</v>
      </c>
    </row>
    <row r="151" spans="1:9" x14ac:dyDescent="0.35">
      <c r="A151" s="17">
        <v>45705</v>
      </c>
      <c r="B151" s="4" t="s">
        <v>7</v>
      </c>
      <c r="C151">
        <v>1895</v>
      </c>
      <c r="D151">
        <v>305</v>
      </c>
      <c r="E151">
        <v>104967</v>
      </c>
      <c r="F151">
        <v>3.85</v>
      </c>
      <c r="G151">
        <v>31853</v>
      </c>
      <c r="H151">
        <v>1590</v>
      </c>
      <c r="I151" s="8">
        <v>1.8053292939685808</v>
      </c>
    </row>
    <row r="152" spans="1:9" x14ac:dyDescent="0.35">
      <c r="A152" s="17">
        <v>45705</v>
      </c>
      <c r="B152" s="4" t="s">
        <v>1</v>
      </c>
      <c r="C152">
        <v>362</v>
      </c>
      <c r="D152">
        <v>399</v>
      </c>
      <c r="E152">
        <v>145608</v>
      </c>
      <c r="F152">
        <v>7.3</v>
      </c>
      <c r="G152">
        <v>37636</v>
      </c>
      <c r="H152">
        <v>-37</v>
      </c>
      <c r="I152" s="8">
        <v>0.24861271358716552</v>
      </c>
    </row>
    <row r="153" spans="1:9" x14ac:dyDescent="0.35">
      <c r="A153" s="17">
        <v>45705</v>
      </c>
      <c r="B153" s="4" t="s">
        <v>3</v>
      </c>
      <c r="C153">
        <v>1662</v>
      </c>
      <c r="D153">
        <v>487</v>
      </c>
      <c r="E153">
        <v>105980</v>
      </c>
      <c r="F153">
        <v>9.08</v>
      </c>
      <c r="G153">
        <v>22996</v>
      </c>
      <c r="H153">
        <v>1175</v>
      </c>
      <c r="I153" s="8">
        <v>1.5682204189469713</v>
      </c>
    </row>
    <row r="154" spans="1:9" x14ac:dyDescent="0.35">
      <c r="A154" s="17">
        <v>45712</v>
      </c>
      <c r="B154" s="4" t="s">
        <v>5</v>
      </c>
      <c r="C154">
        <v>1440</v>
      </c>
      <c r="D154">
        <v>65</v>
      </c>
      <c r="E154">
        <v>126524</v>
      </c>
      <c r="F154">
        <v>4.34</v>
      </c>
      <c r="G154">
        <v>49772</v>
      </c>
      <c r="H154">
        <v>1375</v>
      </c>
      <c r="I154" s="8">
        <v>1.1381239922860489</v>
      </c>
    </row>
    <row r="155" spans="1:9" x14ac:dyDescent="0.35">
      <c r="A155" s="17">
        <v>45712</v>
      </c>
      <c r="B155" s="4" t="s">
        <v>7</v>
      </c>
      <c r="C155">
        <v>1884</v>
      </c>
      <c r="D155">
        <v>177</v>
      </c>
      <c r="E155">
        <v>230448</v>
      </c>
      <c r="F155">
        <v>7.8</v>
      </c>
      <c r="G155">
        <v>22713</v>
      </c>
      <c r="H155">
        <v>1707</v>
      </c>
      <c r="I155" s="8">
        <v>0.81753801291397621</v>
      </c>
    </row>
    <row r="156" spans="1:9" x14ac:dyDescent="0.35">
      <c r="A156" s="17">
        <v>45712</v>
      </c>
      <c r="B156" s="4" t="s">
        <v>1</v>
      </c>
      <c r="C156">
        <v>861</v>
      </c>
      <c r="D156">
        <v>153</v>
      </c>
      <c r="E156">
        <v>317007</v>
      </c>
      <c r="F156">
        <v>3.85</v>
      </c>
      <c r="G156">
        <v>8718</v>
      </c>
      <c r="H156">
        <v>708</v>
      </c>
      <c r="I156" s="8">
        <v>0.27160283526862183</v>
      </c>
    </row>
    <row r="157" spans="1:9" x14ac:dyDescent="0.35">
      <c r="A157" s="17">
        <v>45712</v>
      </c>
      <c r="B157" s="4" t="s">
        <v>3</v>
      </c>
      <c r="C157">
        <v>1063</v>
      </c>
      <c r="D157">
        <v>47</v>
      </c>
      <c r="E157">
        <v>464239</v>
      </c>
      <c r="F157">
        <v>6.58</v>
      </c>
      <c r="G157">
        <v>39031</v>
      </c>
      <c r="H157">
        <v>1016</v>
      </c>
      <c r="I157" s="8">
        <v>0.22897688475117345</v>
      </c>
    </row>
    <row r="158" spans="1:9" x14ac:dyDescent="0.35">
      <c r="A158" s="17">
        <v>45719</v>
      </c>
      <c r="B158" s="4" t="s">
        <v>5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  <c r="H158">
        <v>1315</v>
      </c>
      <c r="I158" s="8">
        <v>0.53226388797223378</v>
      </c>
    </row>
    <row r="159" spans="1:9" x14ac:dyDescent="0.35">
      <c r="A159" s="17">
        <v>45719</v>
      </c>
      <c r="B159" s="4" t="s">
        <v>7</v>
      </c>
      <c r="C159">
        <v>345</v>
      </c>
      <c r="D159">
        <v>464</v>
      </c>
      <c r="E159">
        <v>366881</v>
      </c>
      <c r="F159">
        <v>4.55</v>
      </c>
      <c r="G159">
        <v>20553</v>
      </c>
      <c r="H159">
        <v>-119</v>
      </c>
      <c r="I159" s="8">
        <v>9.4035940809145194E-2</v>
      </c>
    </row>
    <row r="160" spans="1:9" x14ac:dyDescent="0.35">
      <c r="A160" s="17">
        <v>45719</v>
      </c>
      <c r="B160" s="4" t="s">
        <v>1</v>
      </c>
      <c r="C160">
        <v>946</v>
      </c>
      <c r="D160">
        <v>47</v>
      </c>
      <c r="E160">
        <v>466575</v>
      </c>
      <c r="F160">
        <v>8.33</v>
      </c>
      <c r="G160">
        <v>10002</v>
      </c>
      <c r="H160">
        <v>899</v>
      </c>
      <c r="I160" s="8">
        <v>0.20275411241493865</v>
      </c>
    </row>
    <row r="161" spans="1:9" x14ac:dyDescent="0.35">
      <c r="A161" s="17">
        <v>45719</v>
      </c>
      <c r="B161" s="4" t="s">
        <v>3</v>
      </c>
      <c r="C161">
        <v>510</v>
      </c>
      <c r="D161">
        <v>195</v>
      </c>
      <c r="E161">
        <v>224534</v>
      </c>
      <c r="F161">
        <v>9.4</v>
      </c>
      <c r="G161">
        <v>30987</v>
      </c>
      <c r="H161">
        <v>315</v>
      </c>
      <c r="I161" s="8">
        <v>0.22713709282335859</v>
      </c>
    </row>
    <row r="162" spans="1:9" x14ac:dyDescent="0.35">
      <c r="A162" s="17">
        <v>45726</v>
      </c>
      <c r="B162" s="4" t="s">
        <v>5</v>
      </c>
      <c r="C162">
        <v>393</v>
      </c>
      <c r="D162">
        <v>181</v>
      </c>
      <c r="E162">
        <v>462142</v>
      </c>
      <c r="F162">
        <v>7.23</v>
      </c>
      <c r="G162">
        <v>6296</v>
      </c>
      <c r="H162">
        <v>212</v>
      </c>
      <c r="I162" s="8">
        <v>8.5038797599006372E-2</v>
      </c>
    </row>
    <row r="163" spans="1:9" x14ac:dyDescent="0.35">
      <c r="A163" s="17">
        <v>45726</v>
      </c>
      <c r="B163" s="4" t="s">
        <v>7</v>
      </c>
      <c r="C163">
        <v>1098</v>
      </c>
      <c r="D163">
        <v>190</v>
      </c>
      <c r="E163">
        <v>340842</v>
      </c>
      <c r="F163">
        <v>9.39</v>
      </c>
      <c r="G163">
        <v>21539</v>
      </c>
      <c r="H163">
        <v>908</v>
      </c>
      <c r="I163" s="8">
        <v>0.32214339782069112</v>
      </c>
    </row>
    <row r="164" spans="1:9" x14ac:dyDescent="0.35">
      <c r="A164" s="17">
        <v>45726</v>
      </c>
      <c r="B164" s="4" t="s">
        <v>1</v>
      </c>
      <c r="C164">
        <v>1399</v>
      </c>
      <c r="D164">
        <v>49</v>
      </c>
      <c r="E164">
        <v>12471</v>
      </c>
      <c r="F164">
        <v>5.12</v>
      </c>
      <c r="G164">
        <v>14722</v>
      </c>
      <c r="H164">
        <v>1350</v>
      </c>
      <c r="I164" s="8">
        <v>11.218025819902174</v>
      </c>
    </row>
    <row r="165" spans="1:9" x14ac:dyDescent="0.35">
      <c r="A165" s="17">
        <v>45726</v>
      </c>
      <c r="B165" s="4" t="s">
        <v>3</v>
      </c>
      <c r="C165">
        <v>1658</v>
      </c>
      <c r="D165">
        <v>416</v>
      </c>
      <c r="E165">
        <v>98397</v>
      </c>
      <c r="F165">
        <v>6.11</v>
      </c>
      <c r="G165">
        <v>11383</v>
      </c>
      <c r="H165">
        <v>1242</v>
      </c>
      <c r="I165" s="8">
        <v>1.6850107218716015</v>
      </c>
    </row>
    <row r="166" spans="1:9" x14ac:dyDescent="0.35">
      <c r="A166" s="17">
        <v>45733</v>
      </c>
      <c r="B166" s="4" t="s">
        <v>5</v>
      </c>
      <c r="C166">
        <v>1102</v>
      </c>
      <c r="D166">
        <v>422</v>
      </c>
      <c r="E166">
        <v>410330</v>
      </c>
      <c r="F166">
        <v>7.74</v>
      </c>
      <c r="G166">
        <v>9480</v>
      </c>
      <c r="H166">
        <v>680</v>
      </c>
      <c r="I166" s="8">
        <v>0.26856432627397459</v>
      </c>
    </row>
    <row r="167" spans="1:9" x14ac:dyDescent="0.35">
      <c r="A167" s="17">
        <v>45733</v>
      </c>
      <c r="B167" s="4" t="s">
        <v>7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  <c r="H167">
        <v>1116</v>
      </c>
      <c r="I167" s="8">
        <v>0.3969263055747978</v>
      </c>
    </row>
    <row r="168" spans="1:9" x14ac:dyDescent="0.35">
      <c r="A168" s="17">
        <v>45733</v>
      </c>
      <c r="B168" s="4" t="s">
        <v>1</v>
      </c>
      <c r="C168">
        <v>1077</v>
      </c>
      <c r="D168">
        <v>216</v>
      </c>
      <c r="E168">
        <v>12447</v>
      </c>
      <c r="F168">
        <v>1.8</v>
      </c>
      <c r="G168">
        <v>14068</v>
      </c>
      <c r="H168">
        <v>861</v>
      </c>
      <c r="I168" s="8">
        <v>8.6526873945529044</v>
      </c>
    </row>
    <row r="169" spans="1:9" x14ac:dyDescent="0.35">
      <c r="A169" s="17">
        <v>45733</v>
      </c>
      <c r="B169" s="4" t="s">
        <v>3</v>
      </c>
      <c r="C169">
        <v>1596</v>
      </c>
      <c r="D169">
        <v>211</v>
      </c>
      <c r="E169">
        <v>17380</v>
      </c>
      <c r="F169">
        <v>8.64</v>
      </c>
      <c r="G169">
        <v>35801</v>
      </c>
      <c r="H169">
        <v>1385</v>
      </c>
      <c r="I169" s="8">
        <v>9.1829689298043728</v>
      </c>
    </row>
    <row r="170" spans="1:9" x14ac:dyDescent="0.35">
      <c r="A170" s="17">
        <v>45740</v>
      </c>
      <c r="B170" s="4" t="s">
        <v>5</v>
      </c>
      <c r="C170">
        <v>490</v>
      </c>
      <c r="D170">
        <v>29</v>
      </c>
      <c r="E170">
        <v>364810</v>
      </c>
      <c r="F170">
        <v>1.53</v>
      </c>
      <c r="G170">
        <v>49077</v>
      </c>
      <c r="H170">
        <v>461</v>
      </c>
      <c r="I170" s="8">
        <v>0.13431649351717331</v>
      </c>
    </row>
    <row r="171" spans="1:9" x14ac:dyDescent="0.35">
      <c r="A171" s="17">
        <v>45740</v>
      </c>
      <c r="B171" s="4" t="s">
        <v>7</v>
      </c>
      <c r="C171">
        <v>609</v>
      </c>
      <c r="D171">
        <v>135</v>
      </c>
      <c r="E171">
        <v>373606</v>
      </c>
      <c r="F171">
        <v>8.52</v>
      </c>
      <c r="G171">
        <v>21453</v>
      </c>
      <c r="H171">
        <v>474</v>
      </c>
      <c r="I171" s="8">
        <v>0.16300594744195757</v>
      </c>
    </row>
    <row r="172" spans="1:9" x14ac:dyDescent="0.35">
      <c r="A172" s="17">
        <v>45740</v>
      </c>
      <c r="B172" s="4" t="s">
        <v>1</v>
      </c>
      <c r="C172">
        <v>364</v>
      </c>
      <c r="D172">
        <v>72</v>
      </c>
      <c r="E172">
        <v>211090</v>
      </c>
      <c r="F172">
        <v>5.53</v>
      </c>
      <c r="G172">
        <v>21061</v>
      </c>
      <c r="H172">
        <v>292</v>
      </c>
      <c r="I172" s="8">
        <v>0.17243829646122508</v>
      </c>
    </row>
    <row r="173" spans="1:9" x14ac:dyDescent="0.35">
      <c r="A173" s="17">
        <v>45740</v>
      </c>
      <c r="B173" s="4" t="s">
        <v>3</v>
      </c>
      <c r="C173">
        <v>442</v>
      </c>
      <c r="D173">
        <v>53</v>
      </c>
      <c r="E173">
        <v>441931</v>
      </c>
      <c r="F173">
        <v>1.87</v>
      </c>
      <c r="G173">
        <v>20059</v>
      </c>
      <c r="H173">
        <v>389</v>
      </c>
      <c r="I173" s="8">
        <v>0.10001561329709842</v>
      </c>
    </row>
    <row r="174" spans="1:9" x14ac:dyDescent="0.35">
      <c r="A174" s="17">
        <v>45747</v>
      </c>
      <c r="B174" s="4" t="s">
        <v>5</v>
      </c>
      <c r="C174">
        <v>1033</v>
      </c>
      <c r="D174">
        <v>392</v>
      </c>
      <c r="E174">
        <v>282780</v>
      </c>
      <c r="F174">
        <v>6.27</v>
      </c>
      <c r="G174">
        <v>23140</v>
      </c>
      <c r="H174">
        <v>641</v>
      </c>
      <c r="I174" s="8">
        <v>0.36530164792418135</v>
      </c>
    </row>
    <row r="175" spans="1:9" x14ac:dyDescent="0.35">
      <c r="A175" s="17">
        <v>45747</v>
      </c>
      <c r="B175" s="4" t="s">
        <v>7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  <c r="H175">
        <v>514</v>
      </c>
      <c r="I175" s="8">
        <v>0.26697651795606236</v>
      </c>
    </row>
    <row r="176" spans="1:9" x14ac:dyDescent="0.35">
      <c r="A176" s="17">
        <v>45747</v>
      </c>
      <c r="B176" s="4" t="s">
        <v>1</v>
      </c>
      <c r="C176">
        <v>1946</v>
      </c>
      <c r="D176">
        <v>270</v>
      </c>
      <c r="E176">
        <v>198350</v>
      </c>
      <c r="F176">
        <v>7.5</v>
      </c>
      <c r="G176">
        <v>11805</v>
      </c>
      <c r="H176">
        <v>1676</v>
      </c>
      <c r="I176" s="8">
        <v>0.98109402571212501</v>
      </c>
    </row>
    <row r="177" spans="1:9" x14ac:dyDescent="0.35">
      <c r="A177" s="17">
        <v>45747</v>
      </c>
      <c r="B177" s="4" t="s">
        <v>3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  <c r="H177">
        <v>1467</v>
      </c>
      <c r="I177" s="8">
        <v>0.4491354658661636</v>
      </c>
    </row>
    <row r="178" spans="1:9" x14ac:dyDescent="0.35">
      <c r="A178" s="17">
        <v>45754</v>
      </c>
      <c r="B178" s="4" t="s">
        <v>5</v>
      </c>
      <c r="C178">
        <v>559</v>
      </c>
      <c r="D178">
        <v>392</v>
      </c>
      <c r="E178">
        <v>78789</v>
      </c>
      <c r="F178">
        <v>3.19</v>
      </c>
      <c r="G178">
        <v>2436</v>
      </c>
      <c r="H178">
        <v>167</v>
      </c>
      <c r="I178" s="8">
        <v>0.70948990341291296</v>
      </c>
    </row>
    <row r="179" spans="1:9" x14ac:dyDescent="0.35">
      <c r="A179" s="17">
        <v>45754</v>
      </c>
      <c r="B179" s="4" t="s">
        <v>7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v>1029</v>
      </c>
      <c r="I179" s="8">
        <v>1.3256115866769442</v>
      </c>
    </row>
    <row r="180" spans="1:9" x14ac:dyDescent="0.35">
      <c r="A180" s="17">
        <v>45754</v>
      </c>
      <c r="B180" s="4" t="s">
        <v>1</v>
      </c>
      <c r="C180">
        <v>1432</v>
      </c>
      <c r="D180">
        <v>425</v>
      </c>
      <c r="E180">
        <v>29589</v>
      </c>
      <c r="F180">
        <v>4.5</v>
      </c>
      <c r="G180">
        <v>42964</v>
      </c>
      <c r="H180">
        <v>1007</v>
      </c>
      <c r="I180" s="8">
        <v>4.8396363513467842</v>
      </c>
    </row>
    <row r="181" spans="1:9" x14ac:dyDescent="0.35">
      <c r="A181" s="17">
        <v>45754</v>
      </c>
      <c r="B181" s="4" t="s">
        <v>3</v>
      </c>
      <c r="C181">
        <v>623</v>
      </c>
      <c r="D181">
        <v>414</v>
      </c>
      <c r="E181">
        <v>290354</v>
      </c>
      <c r="F181">
        <v>6.49</v>
      </c>
      <c r="G181">
        <v>39923</v>
      </c>
      <c r="H181">
        <v>209</v>
      </c>
      <c r="I181" s="8">
        <v>0.21456566811547281</v>
      </c>
    </row>
    <row r="182" spans="1:9" x14ac:dyDescent="0.35">
      <c r="A182" s="17">
        <v>45761</v>
      </c>
      <c r="B182" s="4" t="s">
        <v>5</v>
      </c>
      <c r="C182">
        <v>198</v>
      </c>
      <c r="D182">
        <v>358</v>
      </c>
      <c r="E182">
        <v>66682</v>
      </c>
      <c r="F182">
        <v>6.73</v>
      </c>
      <c r="G182">
        <v>2293</v>
      </c>
      <c r="H182">
        <v>-160</v>
      </c>
      <c r="I182" s="8">
        <v>0.29693170570768723</v>
      </c>
    </row>
    <row r="183" spans="1:9" x14ac:dyDescent="0.35">
      <c r="A183" s="17">
        <v>45761</v>
      </c>
      <c r="B183" s="4" t="s">
        <v>7</v>
      </c>
      <c r="C183">
        <v>198</v>
      </c>
      <c r="D183">
        <v>373</v>
      </c>
      <c r="E183">
        <v>70707</v>
      </c>
      <c r="F183">
        <v>4.83</v>
      </c>
      <c r="G183">
        <v>25920</v>
      </c>
      <c r="H183">
        <v>-175</v>
      </c>
      <c r="I183" s="8">
        <v>0.2800288514574229</v>
      </c>
    </row>
    <row r="184" spans="1:9" x14ac:dyDescent="0.35">
      <c r="A184" s="17">
        <v>45761</v>
      </c>
      <c r="B184" s="4" t="s">
        <v>1</v>
      </c>
      <c r="C184">
        <v>353</v>
      </c>
      <c r="D184">
        <v>300</v>
      </c>
      <c r="E184">
        <v>142507</v>
      </c>
      <c r="F184">
        <v>5.3</v>
      </c>
      <c r="G184">
        <v>11035</v>
      </c>
      <c r="H184">
        <v>53</v>
      </c>
      <c r="I184" s="8">
        <v>0.24770713017606152</v>
      </c>
    </row>
    <row r="185" spans="1:9" x14ac:dyDescent="0.35">
      <c r="A185" s="17">
        <v>45761</v>
      </c>
      <c r="B185" s="4" t="s">
        <v>3</v>
      </c>
      <c r="C185">
        <v>520</v>
      </c>
      <c r="D185">
        <v>375</v>
      </c>
      <c r="E185">
        <v>369525</v>
      </c>
      <c r="F185">
        <v>6.54</v>
      </c>
      <c r="G185">
        <v>20733</v>
      </c>
      <c r="H185">
        <v>145</v>
      </c>
      <c r="I185" s="8">
        <v>0.14072119613016712</v>
      </c>
    </row>
    <row r="186" spans="1:9" x14ac:dyDescent="0.35">
      <c r="A186" s="17">
        <v>45768</v>
      </c>
      <c r="B186" s="4" t="s">
        <v>5</v>
      </c>
      <c r="C186">
        <v>961</v>
      </c>
      <c r="D186">
        <v>358</v>
      </c>
      <c r="E186">
        <v>62942</v>
      </c>
      <c r="F186">
        <v>6.8</v>
      </c>
      <c r="G186">
        <v>18693</v>
      </c>
      <c r="H186">
        <v>603</v>
      </c>
      <c r="I186" s="8">
        <v>1.5268024530520159</v>
      </c>
    </row>
    <row r="187" spans="1:9" x14ac:dyDescent="0.35">
      <c r="A187" s="17">
        <v>45768</v>
      </c>
      <c r="B187" s="4" t="s">
        <v>7</v>
      </c>
      <c r="C187">
        <v>1375</v>
      </c>
      <c r="D187">
        <v>330</v>
      </c>
      <c r="E187">
        <v>377382</v>
      </c>
      <c r="F187">
        <v>2.6</v>
      </c>
      <c r="G187">
        <v>7875</v>
      </c>
      <c r="H187">
        <v>1045</v>
      </c>
      <c r="I187" s="8">
        <v>0.36435230085165698</v>
      </c>
    </row>
    <row r="188" spans="1:9" x14ac:dyDescent="0.35">
      <c r="A188" s="17">
        <v>45768</v>
      </c>
      <c r="B188" s="4" t="s">
        <v>1</v>
      </c>
      <c r="C188">
        <v>1147</v>
      </c>
      <c r="D188">
        <v>388</v>
      </c>
      <c r="E188">
        <v>333851</v>
      </c>
      <c r="F188">
        <v>2.44</v>
      </c>
      <c r="G188">
        <v>8471</v>
      </c>
      <c r="H188">
        <v>759</v>
      </c>
      <c r="I188" s="8">
        <v>0.34356644131663527</v>
      </c>
    </row>
    <row r="189" spans="1:9" x14ac:dyDescent="0.35">
      <c r="A189" s="17">
        <v>45768</v>
      </c>
      <c r="B189" s="4" t="s">
        <v>3</v>
      </c>
      <c r="C189">
        <v>1707</v>
      </c>
      <c r="D189">
        <v>74</v>
      </c>
      <c r="E189">
        <v>270958</v>
      </c>
      <c r="F189">
        <v>3.09</v>
      </c>
      <c r="G189">
        <v>14090</v>
      </c>
      <c r="H189">
        <v>1633</v>
      </c>
      <c r="I189" s="8">
        <v>0.62998693524457661</v>
      </c>
    </row>
    <row r="190" spans="1:9" x14ac:dyDescent="0.35">
      <c r="A190" s="17">
        <v>45775</v>
      </c>
      <c r="B190" s="4" t="s">
        <v>5</v>
      </c>
      <c r="C190">
        <v>1693</v>
      </c>
      <c r="D190">
        <v>154</v>
      </c>
      <c r="E190">
        <v>445944</v>
      </c>
      <c r="F190">
        <v>5.69</v>
      </c>
      <c r="G190">
        <v>14216</v>
      </c>
      <c r="H190">
        <v>1539</v>
      </c>
      <c r="I190" s="8">
        <v>0.37964408087114082</v>
      </c>
    </row>
    <row r="191" spans="1:9" x14ac:dyDescent="0.35">
      <c r="A191" s="17">
        <v>45775</v>
      </c>
      <c r="B191" s="4" t="s">
        <v>7</v>
      </c>
      <c r="C191">
        <v>833</v>
      </c>
      <c r="D191">
        <v>380</v>
      </c>
      <c r="E191">
        <v>224830</v>
      </c>
      <c r="F191">
        <v>3.86</v>
      </c>
      <c r="G191">
        <v>3582</v>
      </c>
      <c r="H191">
        <v>453</v>
      </c>
      <c r="I191" s="8">
        <v>0.370502157185429</v>
      </c>
    </row>
    <row r="192" spans="1:9" x14ac:dyDescent="0.35">
      <c r="A192" s="17">
        <v>45775</v>
      </c>
      <c r="B192" s="4" t="s">
        <v>1</v>
      </c>
      <c r="C192">
        <v>1222</v>
      </c>
      <c r="D192">
        <v>274</v>
      </c>
      <c r="E192">
        <v>487289</v>
      </c>
      <c r="F192">
        <v>3.16</v>
      </c>
      <c r="G192">
        <v>32500</v>
      </c>
      <c r="H192">
        <v>948</v>
      </c>
      <c r="I192" s="8">
        <v>0.25077520732050179</v>
      </c>
    </row>
    <row r="193" spans="1:9" x14ac:dyDescent="0.35">
      <c r="A193" s="17">
        <v>45775</v>
      </c>
      <c r="B193" s="4" t="s">
        <v>3</v>
      </c>
      <c r="C193">
        <v>777</v>
      </c>
      <c r="D193">
        <v>140</v>
      </c>
      <c r="E193">
        <v>11435</v>
      </c>
      <c r="F193">
        <v>1.6</v>
      </c>
      <c r="G193">
        <v>6832</v>
      </c>
      <c r="H193">
        <v>637</v>
      </c>
      <c r="I193" s="8">
        <v>6.7949278530826414</v>
      </c>
    </row>
    <row r="194" spans="1:9" x14ac:dyDescent="0.35">
      <c r="A194" s="17">
        <v>45782</v>
      </c>
      <c r="B194" s="4" t="s">
        <v>5</v>
      </c>
      <c r="C194">
        <v>1957</v>
      </c>
      <c r="D194">
        <v>76</v>
      </c>
      <c r="E194">
        <v>447902</v>
      </c>
      <c r="F194">
        <v>6.09</v>
      </c>
      <c r="G194">
        <v>33381</v>
      </c>
      <c r="H194">
        <v>1881</v>
      </c>
      <c r="I194" s="8">
        <v>0.43692593469107083</v>
      </c>
    </row>
    <row r="195" spans="1:9" x14ac:dyDescent="0.35">
      <c r="A195" s="17">
        <v>45782</v>
      </c>
      <c r="B195" s="4" t="s">
        <v>7</v>
      </c>
      <c r="C195">
        <v>405</v>
      </c>
      <c r="D195">
        <v>66</v>
      </c>
      <c r="E195">
        <v>418696</v>
      </c>
      <c r="F195">
        <v>5.59</v>
      </c>
      <c r="G195">
        <v>48419</v>
      </c>
      <c r="H195">
        <v>339</v>
      </c>
      <c r="I195" s="8">
        <v>9.6728891606320574E-2</v>
      </c>
    </row>
    <row r="196" spans="1:9" x14ac:dyDescent="0.35">
      <c r="A196" s="17">
        <v>45782</v>
      </c>
      <c r="B196" s="4" t="s">
        <v>1</v>
      </c>
      <c r="C196">
        <v>1581</v>
      </c>
      <c r="D196">
        <v>71</v>
      </c>
      <c r="E196">
        <v>484364</v>
      </c>
      <c r="F196">
        <v>3.55</v>
      </c>
      <c r="G196">
        <v>16149</v>
      </c>
      <c r="H196">
        <v>1510</v>
      </c>
      <c r="I196" s="8">
        <v>0.32640741260704759</v>
      </c>
    </row>
    <row r="197" spans="1:9" x14ac:dyDescent="0.35">
      <c r="A197" s="17">
        <v>45782</v>
      </c>
      <c r="B197" s="4" t="s">
        <v>3</v>
      </c>
      <c r="C197">
        <v>1035</v>
      </c>
      <c r="D197">
        <v>171</v>
      </c>
      <c r="E197">
        <v>148477</v>
      </c>
      <c r="F197">
        <v>5.21</v>
      </c>
      <c r="G197">
        <v>7541</v>
      </c>
      <c r="H197">
        <v>864</v>
      </c>
      <c r="I197" s="8">
        <v>0.69707766186008602</v>
      </c>
    </row>
    <row r="198" spans="1:9" x14ac:dyDescent="0.35">
      <c r="A198" s="17">
        <v>45789</v>
      </c>
      <c r="B198" s="4" t="s">
        <v>5</v>
      </c>
      <c r="C198">
        <v>1765</v>
      </c>
      <c r="D198">
        <v>109</v>
      </c>
      <c r="E198">
        <v>468301</v>
      </c>
      <c r="F198">
        <v>1.82</v>
      </c>
      <c r="G198">
        <v>20042</v>
      </c>
      <c r="H198">
        <v>1656</v>
      </c>
      <c r="I198" s="8">
        <v>0.37689434786600928</v>
      </c>
    </row>
    <row r="199" spans="1:9" x14ac:dyDescent="0.35">
      <c r="A199" s="17">
        <v>45789</v>
      </c>
      <c r="B199" s="4" t="s">
        <v>7</v>
      </c>
      <c r="C199">
        <v>837</v>
      </c>
      <c r="D199">
        <v>430</v>
      </c>
      <c r="E199">
        <v>364820</v>
      </c>
      <c r="F199">
        <v>4</v>
      </c>
      <c r="G199">
        <v>49400</v>
      </c>
      <c r="H199">
        <v>407</v>
      </c>
      <c r="I199" s="8">
        <v>0.22942821117263307</v>
      </c>
    </row>
    <row r="200" spans="1:9" x14ac:dyDescent="0.35">
      <c r="A200" s="17">
        <v>45789</v>
      </c>
      <c r="B200" s="4" t="s">
        <v>1</v>
      </c>
      <c r="C200">
        <v>337</v>
      </c>
      <c r="D200">
        <v>68</v>
      </c>
      <c r="E200">
        <v>456298</v>
      </c>
      <c r="F200">
        <v>7.57</v>
      </c>
      <c r="G200">
        <v>4007</v>
      </c>
      <c r="H200">
        <v>269</v>
      </c>
      <c r="I200" s="8">
        <v>7.3855243722304287E-2</v>
      </c>
    </row>
    <row r="201" spans="1:9" x14ac:dyDescent="0.35">
      <c r="A201" s="17">
        <v>45789</v>
      </c>
      <c r="B201" s="4" t="s">
        <v>3</v>
      </c>
      <c r="C201">
        <v>119</v>
      </c>
      <c r="D201">
        <v>456</v>
      </c>
      <c r="E201">
        <v>82558</v>
      </c>
      <c r="F201">
        <v>6.81</v>
      </c>
      <c r="G201">
        <v>12174</v>
      </c>
      <c r="H201">
        <v>-337</v>
      </c>
      <c r="I201" s="8">
        <v>0.14414108868916398</v>
      </c>
    </row>
    <row r="202" spans="1:9" x14ac:dyDescent="0.35">
      <c r="A202" s="17"/>
      <c r="B202" s="4"/>
    </row>
    <row r="203" spans="1:9" x14ac:dyDescent="0.35">
      <c r="A203" s="17"/>
      <c r="B203" s="4"/>
    </row>
    <row r="204" spans="1:9" x14ac:dyDescent="0.35">
      <c r="A204" s="17"/>
      <c r="B204" s="4"/>
    </row>
    <row r="205" spans="1:9" x14ac:dyDescent="0.35">
      <c r="A205" s="17"/>
      <c r="B205" s="4"/>
    </row>
    <row r="206" spans="1:9" x14ac:dyDescent="0.35">
      <c r="A206" s="17"/>
      <c r="B206" s="4"/>
    </row>
    <row r="207" spans="1:9" x14ac:dyDescent="0.35">
      <c r="A207" s="17"/>
      <c r="B207" s="4"/>
    </row>
    <row r="208" spans="1:9" x14ac:dyDescent="0.35">
      <c r="A208" s="17"/>
      <c r="B208" s="4"/>
    </row>
    <row r="209" spans="1:2" x14ac:dyDescent="0.35">
      <c r="A209" s="17"/>
      <c r="B209" s="4"/>
    </row>
    <row r="210" spans="1:2" x14ac:dyDescent="0.35">
      <c r="A210" s="17"/>
      <c r="B210" s="4"/>
    </row>
    <row r="211" spans="1:2" x14ac:dyDescent="0.35">
      <c r="A211" s="17"/>
      <c r="B211" s="4"/>
    </row>
    <row r="212" spans="1:2" x14ac:dyDescent="0.35">
      <c r="A212" s="17"/>
      <c r="B212" s="4"/>
    </row>
    <row r="213" spans="1:2" x14ac:dyDescent="0.35">
      <c r="A213" s="17"/>
      <c r="B213" s="4"/>
    </row>
    <row r="214" spans="1:2" x14ac:dyDescent="0.35">
      <c r="A214" s="17"/>
      <c r="B214" s="4"/>
    </row>
    <row r="215" spans="1:2" x14ac:dyDescent="0.35">
      <c r="A215" s="17"/>
      <c r="B215" s="4"/>
    </row>
    <row r="216" spans="1:2" x14ac:dyDescent="0.35">
      <c r="A216" s="17"/>
      <c r="B216" s="4"/>
    </row>
    <row r="217" spans="1:2" x14ac:dyDescent="0.35">
      <c r="A217" s="17"/>
      <c r="B217" s="4"/>
    </row>
    <row r="218" spans="1:2" x14ac:dyDescent="0.35">
      <c r="A218" s="17"/>
      <c r="B218" s="4"/>
    </row>
    <row r="219" spans="1:2" x14ac:dyDescent="0.35">
      <c r="A219" s="17"/>
      <c r="B219" s="4"/>
    </row>
    <row r="220" spans="1:2" x14ac:dyDescent="0.35">
      <c r="A220" s="17"/>
      <c r="B220" s="4"/>
    </row>
    <row r="221" spans="1:2" x14ac:dyDescent="0.35">
      <c r="A221" s="17"/>
      <c r="B221" s="4"/>
    </row>
    <row r="222" spans="1:2" x14ac:dyDescent="0.35">
      <c r="A222" s="17"/>
      <c r="B222" s="4"/>
    </row>
    <row r="223" spans="1:2" x14ac:dyDescent="0.35">
      <c r="A223" s="17"/>
      <c r="B223" s="4"/>
    </row>
    <row r="224" spans="1:2" x14ac:dyDescent="0.35">
      <c r="A224" s="17"/>
      <c r="B224" s="4"/>
    </row>
    <row r="225" spans="1:2" x14ac:dyDescent="0.35">
      <c r="A225" s="17"/>
      <c r="B225" s="4"/>
    </row>
    <row r="226" spans="1:2" x14ac:dyDescent="0.35">
      <c r="A226" s="17"/>
      <c r="B226" s="4"/>
    </row>
    <row r="227" spans="1:2" x14ac:dyDescent="0.35">
      <c r="A227" s="17"/>
      <c r="B227" s="4"/>
    </row>
    <row r="228" spans="1:2" x14ac:dyDescent="0.35">
      <c r="A228" s="17"/>
      <c r="B228" s="4"/>
    </row>
    <row r="229" spans="1:2" x14ac:dyDescent="0.35">
      <c r="A229" s="17"/>
      <c r="B229" s="4"/>
    </row>
    <row r="230" spans="1:2" x14ac:dyDescent="0.35">
      <c r="A230" s="17"/>
      <c r="B230" s="4"/>
    </row>
    <row r="231" spans="1:2" x14ac:dyDescent="0.35">
      <c r="A231" s="17"/>
      <c r="B231" s="4"/>
    </row>
    <row r="232" spans="1:2" x14ac:dyDescent="0.35">
      <c r="A232" s="17"/>
      <c r="B232" s="4"/>
    </row>
    <row r="233" spans="1:2" x14ac:dyDescent="0.35">
      <c r="A233" s="17"/>
      <c r="B233" s="4"/>
    </row>
    <row r="234" spans="1:2" x14ac:dyDescent="0.35">
      <c r="A234" s="17"/>
      <c r="B234" s="4"/>
    </row>
    <row r="235" spans="1:2" x14ac:dyDescent="0.35">
      <c r="A235" s="17"/>
      <c r="B235" s="4"/>
    </row>
    <row r="236" spans="1:2" x14ac:dyDescent="0.35">
      <c r="A236" s="17"/>
      <c r="B236" s="4"/>
    </row>
    <row r="237" spans="1:2" x14ac:dyDescent="0.35">
      <c r="A237" s="17"/>
      <c r="B237" s="4"/>
    </row>
    <row r="238" spans="1:2" x14ac:dyDescent="0.35">
      <c r="A238" s="17"/>
      <c r="B238" s="4"/>
    </row>
    <row r="239" spans="1:2" x14ac:dyDescent="0.35">
      <c r="A239" s="17"/>
      <c r="B239" s="4"/>
    </row>
    <row r="240" spans="1:2" x14ac:dyDescent="0.35">
      <c r="A240" s="17"/>
      <c r="B240" s="4"/>
    </row>
    <row r="241" spans="1:2" x14ac:dyDescent="0.35">
      <c r="A241" s="17"/>
      <c r="B241" s="4"/>
    </row>
    <row r="242" spans="1:2" x14ac:dyDescent="0.35">
      <c r="A242" s="17"/>
      <c r="B242" s="4"/>
    </row>
    <row r="243" spans="1:2" x14ac:dyDescent="0.35">
      <c r="A243" s="17"/>
      <c r="B243" s="4"/>
    </row>
    <row r="244" spans="1:2" x14ac:dyDescent="0.35">
      <c r="A244" s="17"/>
      <c r="B244" s="4"/>
    </row>
    <row r="245" spans="1:2" x14ac:dyDescent="0.35">
      <c r="A245" s="17"/>
      <c r="B245" s="4"/>
    </row>
    <row r="246" spans="1:2" x14ac:dyDescent="0.35">
      <c r="A246" s="17"/>
      <c r="B246" s="4"/>
    </row>
    <row r="247" spans="1:2" x14ac:dyDescent="0.35">
      <c r="A247" s="17"/>
      <c r="B247" s="4"/>
    </row>
    <row r="248" spans="1:2" x14ac:dyDescent="0.35">
      <c r="A248" s="17"/>
      <c r="B248" s="4"/>
    </row>
    <row r="249" spans="1:2" x14ac:dyDescent="0.35">
      <c r="A249" s="17"/>
      <c r="B249" s="4"/>
    </row>
    <row r="250" spans="1:2" x14ac:dyDescent="0.35">
      <c r="A250" s="17"/>
      <c r="B250" s="4"/>
    </row>
    <row r="251" spans="1:2" x14ac:dyDescent="0.35">
      <c r="A251" s="17"/>
      <c r="B251" s="4"/>
    </row>
    <row r="252" spans="1:2" x14ac:dyDescent="0.35">
      <c r="A252" s="17"/>
      <c r="B252" s="4"/>
    </row>
    <row r="253" spans="1:2" x14ac:dyDescent="0.35">
      <c r="A253" s="17"/>
      <c r="B253" s="4"/>
    </row>
    <row r="254" spans="1:2" x14ac:dyDescent="0.35">
      <c r="A254" s="17"/>
      <c r="B254" s="4"/>
    </row>
    <row r="255" spans="1:2" x14ac:dyDescent="0.35">
      <c r="A255" s="17"/>
      <c r="B255" s="4"/>
    </row>
    <row r="256" spans="1:2" x14ac:dyDescent="0.35">
      <c r="A256" s="17"/>
      <c r="B256" s="4"/>
    </row>
    <row r="257" spans="1:2" x14ac:dyDescent="0.35">
      <c r="A257" s="17"/>
      <c r="B257" s="4"/>
    </row>
    <row r="258" spans="1:2" x14ac:dyDescent="0.35">
      <c r="A258" s="17"/>
      <c r="B258" s="4"/>
    </row>
    <row r="259" spans="1:2" x14ac:dyDescent="0.35">
      <c r="A259" s="17"/>
      <c r="B259" s="4"/>
    </row>
    <row r="260" spans="1:2" x14ac:dyDescent="0.35">
      <c r="A260" s="17"/>
      <c r="B260" s="4"/>
    </row>
    <row r="261" spans="1:2" x14ac:dyDescent="0.35">
      <c r="A261" s="17"/>
      <c r="B261" s="4"/>
    </row>
    <row r="262" spans="1:2" x14ac:dyDescent="0.35">
      <c r="A262" s="17"/>
      <c r="B262" s="4"/>
    </row>
    <row r="263" spans="1:2" x14ac:dyDescent="0.35">
      <c r="A263" s="17"/>
      <c r="B263" s="4"/>
    </row>
    <row r="264" spans="1:2" x14ac:dyDescent="0.35">
      <c r="A264" s="17"/>
      <c r="B264" s="4"/>
    </row>
    <row r="265" spans="1:2" x14ac:dyDescent="0.35">
      <c r="A265" s="17"/>
      <c r="B265" s="4"/>
    </row>
    <row r="266" spans="1:2" x14ac:dyDescent="0.35">
      <c r="A266" s="17"/>
      <c r="B266" s="4"/>
    </row>
    <row r="267" spans="1:2" x14ac:dyDescent="0.35">
      <c r="A267" s="17"/>
      <c r="B267" s="4"/>
    </row>
    <row r="268" spans="1:2" x14ac:dyDescent="0.35">
      <c r="A268" s="17"/>
      <c r="B268" s="4"/>
    </row>
    <row r="269" spans="1:2" x14ac:dyDescent="0.35">
      <c r="A269" s="17"/>
      <c r="B269" s="4"/>
    </row>
    <row r="270" spans="1:2" x14ac:dyDescent="0.35">
      <c r="A270" s="17"/>
      <c r="B270" s="4"/>
    </row>
    <row r="271" spans="1:2" x14ac:dyDescent="0.35">
      <c r="A271" s="17"/>
      <c r="B271" s="4"/>
    </row>
    <row r="272" spans="1:2" x14ac:dyDescent="0.35">
      <c r="A272" s="17"/>
      <c r="B272" s="4"/>
    </row>
    <row r="273" spans="1:2" x14ac:dyDescent="0.35">
      <c r="A273" s="17"/>
      <c r="B273" s="4"/>
    </row>
    <row r="274" spans="1:2" x14ac:dyDescent="0.35">
      <c r="A274" s="17"/>
      <c r="B274" s="4"/>
    </row>
    <row r="275" spans="1:2" x14ac:dyDescent="0.35">
      <c r="A275" s="17"/>
      <c r="B275" s="4"/>
    </row>
    <row r="276" spans="1:2" x14ac:dyDescent="0.35">
      <c r="A276" s="17"/>
      <c r="B276" s="4"/>
    </row>
    <row r="277" spans="1:2" x14ac:dyDescent="0.35">
      <c r="A277" s="17"/>
      <c r="B277" s="4"/>
    </row>
    <row r="278" spans="1:2" x14ac:dyDescent="0.35">
      <c r="A278" s="17"/>
      <c r="B278" s="4"/>
    </row>
    <row r="279" spans="1:2" x14ac:dyDescent="0.35">
      <c r="A279" s="17"/>
      <c r="B279" s="4"/>
    </row>
    <row r="280" spans="1:2" x14ac:dyDescent="0.35">
      <c r="A280" s="17"/>
      <c r="B280" s="4"/>
    </row>
    <row r="281" spans="1:2" x14ac:dyDescent="0.35">
      <c r="A281" s="17"/>
      <c r="B281" s="4"/>
    </row>
    <row r="282" spans="1:2" x14ac:dyDescent="0.35">
      <c r="A282" s="17"/>
      <c r="B282" s="4"/>
    </row>
    <row r="283" spans="1:2" x14ac:dyDescent="0.35">
      <c r="A283" s="17"/>
      <c r="B283" s="4"/>
    </row>
    <row r="284" spans="1:2" x14ac:dyDescent="0.35">
      <c r="A284" s="17"/>
      <c r="B284" s="4"/>
    </row>
    <row r="285" spans="1:2" x14ac:dyDescent="0.35">
      <c r="A285" s="17"/>
      <c r="B285" s="4"/>
    </row>
    <row r="286" spans="1:2" x14ac:dyDescent="0.35">
      <c r="A286" s="17"/>
      <c r="B286" s="4"/>
    </row>
    <row r="287" spans="1:2" x14ac:dyDescent="0.35">
      <c r="A287" s="17"/>
      <c r="B287" s="4"/>
    </row>
    <row r="288" spans="1:2" x14ac:dyDescent="0.35">
      <c r="A288" s="17"/>
      <c r="B288" s="4"/>
    </row>
    <row r="289" spans="1:2" x14ac:dyDescent="0.35">
      <c r="A289" s="17"/>
      <c r="B289" s="4"/>
    </row>
    <row r="290" spans="1:2" x14ac:dyDescent="0.35">
      <c r="A290" s="17"/>
      <c r="B290" s="4"/>
    </row>
    <row r="291" spans="1:2" x14ac:dyDescent="0.35">
      <c r="A291" s="17"/>
      <c r="B291" s="4"/>
    </row>
    <row r="292" spans="1:2" x14ac:dyDescent="0.35">
      <c r="A292" s="17"/>
      <c r="B292" s="4"/>
    </row>
    <row r="293" spans="1:2" x14ac:dyDescent="0.35">
      <c r="A293" s="17"/>
      <c r="B293" s="4"/>
    </row>
    <row r="294" spans="1:2" x14ac:dyDescent="0.35">
      <c r="A294" s="17"/>
      <c r="B294" s="4"/>
    </row>
    <row r="295" spans="1:2" x14ac:dyDescent="0.35">
      <c r="A295" s="17"/>
      <c r="B295" s="4"/>
    </row>
    <row r="296" spans="1:2" x14ac:dyDescent="0.35">
      <c r="A296" s="17"/>
      <c r="B296" s="4"/>
    </row>
    <row r="297" spans="1:2" x14ac:dyDescent="0.35">
      <c r="A297" s="17"/>
      <c r="B297" s="4"/>
    </row>
    <row r="298" spans="1:2" x14ac:dyDescent="0.35">
      <c r="A298" s="17"/>
      <c r="B298" s="4"/>
    </row>
    <row r="299" spans="1:2" x14ac:dyDescent="0.35">
      <c r="A299" s="17"/>
      <c r="B299" s="4"/>
    </row>
    <row r="300" spans="1:2" x14ac:dyDescent="0.35">
      <c r="A300" s="17"/>
      <c r="B300" s="4"/>
    </row>
    <row r="301" spans="1:2" x14ac:dyDescent="0.35">
      <c r="A301" s="17"/>
      <c r="B301" s="4"/>
    </row>
    <row r="302" spans="1:2" x14ac:dyDescent="0.35">
      <c r="A302" s="17"/>
      <c r="B302" s="4"/>
    </row>
    <row r="303" spans="1:2" x14ac:dyDescent="0.35">
      <c r="A303" s="17"/>
      <c r="B303" s="4"/>
    </row>
    <row r="304" spans="1:2" x14ac:dyDescent="0.35">
      <c r="A304" s="17"/>
      <c r="B304" s="4"/>
    </row>
    <row r="305" spans="1:2" x14ac:dyDescent="0.35">
      <c r="A305" s="17"/>
      <c r="B305" s="4"/>
    </row>
    <row r="306" spans="1:2" x14ac:dyDescent="0.35">
      <c r="A306" s="17"/>
      <c r="B306" s="4"/>
    </row>
    <row r="307" spans="1:2" x14ac:dyDescent="0.35">
      <c r="A307" s="17"/>
      <c r="B307" s="4"/>
    </row>
    <row r="308" spans="1:2" x14ac:dyDescent="0.35">
      <c r="A308" s="17"/>
      <c r="B308" s="4"/>
    </row>
    <row r="309" spans="1:2" x14ac:dyDescent="0.35">
      <c r="A309" s="17"/>
      <c r="B309" s="4"/>
    </row>
    <row r="310" spans="1:2" x14ac:dyDescent="0.35">
      <c r="A310" s="17"/>
      <c r="B310" s="4"/>
    </row>
    <row r="311" spans="1:2" x14ac:dyDescent="0.35">
      <c r="A311" s="17"/>
      <c r="B311" s="4"/>
    </row>
    <row r="312" spans="1:2" x14ac:dyDescent="0.35">
      <c r="A312" s="17"/>
      <c r="B312" s="4"/>
    </row>
    <row r="313" spans="1:2" x14ac:dyDescent="0.35">
      <c r="A313" s="17"/>
      <c r="B313" s="4"/>
    </row>
    <row r="314" spans="1:2" x14ac:dyDescent="0.35">
      <c r="A314" s="17"/>
      <c r="B314" s="4"/>
    </row>
    <row r="315" spans="1:2" x14ac:dyDescent="0.35">
      <c r="A315" s="17"/>
      <c r="B315" s="4"/>
    </row>
    <row r="316" spans="1:2" x14ac:dyDescent="0.35">
      <c r="A316" s="17"/>
      <c r="B316" s="4"/>
    </row>
    <row r="317" spans="1:2" x14ac:dyDescent="0.35">
      <c r="A317" s="17"/>
      <c r="B317" s="4"/>
    </row>
    <row r="318" spans="1:2" x14ac:dyDescent="0.35">
      <c r="A318" s="17"/>
      <c r="B318" s="4"/>
    </row>
    <row r="319" spans="1:2" x14ac:dyDescent="0.35">
      <c r="A319" s="17"/>
      <c r="B319" s="4"/>
    </row>
    <row r="320" spans="1:2" x14ac:dyDescent="0.35">
      <c r="A320" s="17"/>
      <c r="B320" s="4"/>
    </row>
    <row r="321" spans="1:2" x14ac:dyDescent="0.35">
      <c r="A321" s="17"/>
      <c r="B321" s="4"/>
    </row>
    <row r="322" spans="1:2" x14ac:dyDescent="0.35">
      <c r="A322" s="17"/>
      <c r="B322" s="4"/>
    </row>
    <row r="323" spans="1:2" x14ac:dyDescent="0.35">
      <c r="A323" s="17"/>
      <c r="B323" s="4"/>
    </row>
    <row r="324" spans="1:2" x14ac:dyDescent="0.35">
      <c r="A324" s="17"/>
      <c r="B324" s="4"/>
    </row>
    <row r="325" spans="1:2" x14ac:dyDescent="0.35">
      <c r="A325" s="17"/>
      <c r="B325" s="4"/>
    </row>
    <row r="326" spans="1:2" x14ac:dyDescent="0.35">
      <c r="A326" s="17"/>
      <c r="B326" s="4"/>
    </row>
    <row r="327" spans="1:2" x14ac:dyDescent="0.35">
      <c r="A327" s="17"/>
      <c r="B327" s="4"/>
    </row>
    <row r="328" spans="1:2" x14ac:dyDescent="0.35">
      <c r="A328" s="17"/>
      <c r="B328" s="4"/>
    </row>
    <row r="329" spans="1:2" x14ac:dyDescent="0.35">
      <c r="A329" s="17"/>
      <c r="B329" s="4"/>
    </row>
    <row r="330" spans="1:2" x14ac:dyDescent="0.35">
      <c r="A330" s="17"/>
      <c r="B330" s="4"/>
    </row>
    <row r="331" spans="1:2" x14ac:dyDescent="0.35">
      <c r="A331" s="17"/>
      <c r="B331" s="4"/>
    </row>
    <row r="332" spans="1:2" x14ac:dyDescent="0.35">
      <c r="A332" s="17"/>
      <c r="B332" s="4"/>
    </row>
    <row r="333" spans="1:2" x14ac:dyDescent="0.35">
      <c r="A333" s="17"/>
      <c r="B333" s="4"/>
    </row>
    <row r="334" spans="1:2" x14ac:dyDescent="0.35">
      <c r="A334" s="17"/>
      <c r="B334" s="4"/>
    </row>
    <row r="335" spans="1:2" x14ac:dyDescent="0.35">
      <c r="A335" s="17"/>
      <c r="B335" s="4"/>
    </row>
    <row r="336" spans="1:2" x14ac:dyDescent="0.35">
      <c r="A336" s="17"/>
      <c r="B336" s="4"/>
    </row>
    <row r="337" spans="1:2" x14ac:dyDescent="0.35">
      <c r="A337" s="17"/>
      <c r="B337" s="4"/>
    </row>
    <row r="338" spans="1:2" x14ac:dyDescent="0.35">
      <c r="A338" s="17"/>
      <c r="B338" s="4"/>
    </row>
    <row r="339" spans="1:2" x14ac:dyDescent="0.35">
      <c r="A339" s="17"/>
      <c r="B339" s="4"/>
    </row>
    <row r="340" spans="1:2" x14ac:dyDescent="0.35">
      <c r="A340" s="17"/>
      <c r="B340" s="4"/>
    </row>
    <row r="341" spans="1:2" x14ac:dyDescent="0.35">
      <c r="A341" s="17"/>
      <c r="B341" s="4"/>
    </row>
    <row r="342" spans="1:2" x14ac:dyDescent="0.35">
      <c r="A342" s="17"/>
      <c r="B342" s="4"/>
    </row>
    <row r="343" spans="1:2" x14ac:dyDescent="0.35">
      <c r="A343" s="17"/>
      <c r="B343" s="4"/>
    </row>
    <row r="344" spans="1:2" x14ac:dyDescent="0.35">
      <c r="A344" s="17"/>
      <c r="B344" s="4"/>
    </row>
    <row r="345" spans="1:2" x14ac:dyDescent="0.35">
      <c r="A345" s="17"/>
      <c r="B345" s="4"/>
    </row>
    <row r="346" spans="1:2" x14ac:dyDescent="0.35">
      <c r="A346" s="17"/>
      <c r="B346" s="4"/>
    </row>
    <row r="347" spans="1:2" x14ac:dyDescent="0.35">
      <c r="A347" s="17"/>
      <c r="B347" s="4"/>
    </row>
    <row r="348" spans="1:2" x14ac:dyDescent="0.35">
      <c r="A348" s="17"/>
      <c r="B348" s="4"/>
    </row>
    <row r="349" spans="1:2" x14ac:dyDescent="0.35">
      <c r="A349" s="17"/>
      <c r="B349" s="4"/>
    </row>
    <row r="350" spans="1:2" x14ac:dyDescent="0.35">
      <c r="A350" s="17"/>
      <c r="B350" s="4"/>
    </row>
    <row r="351" spans="1:2" x14ac:dyDescent="0.35">
      <c r="A351" s="17"/>
      <c r="B351" s="4"/>
    </row>
    <row r="352" spans="1:2" x14ac:dyDescent="0.35">
      <c r="A352" s="17"/>
      <c r="B352" s="4"/>
    </row>
    <row r="353" spans="1:2" x14ac:dyDescent="0.35">
      <c r="A353" s="17"/>
      <c r="B353" s="4"/>
    </row>
    <row r="354" spans="1:2" x14ac:dyDescent="0.35">
      <c r="A354" s="17"/>
      <c r="B354" s="4"/>
    </row>
    <row r="355" spans="1:2" x14ac:dyDescent="0.35">
      <c r="A355" s="17"/>
      <c r="B355" s="4"/>
    </row>
    <row r="356" spans="1:2" x14ac:dyDescent="0.35">
      <c r="A356" s="17"/>
      <c r="B356" s="4"/>
    </row>
    <row r="357" spans="1:2" x14ac:dyDescent="0.35">
      <c r="A357" s="17"/>
      <c r="B357" s="4"/>
    </row>
    <row r="358" spans="1:2" x14ac:dyDescent="0.35">
      <c r="A358" s="17"/>
      <c r="B358" s="4"/>
    </row>
    <row r="359" spans="1:2" x14ac:dyDescent="0.35">
      <c r="A359" s="17"/>
      <c r="B359" s="4"/>
    </row>
    <row r="360" spans="1:2" x14ac:dyDescent="0.35">
      <c r="A360" s="17"/>
      <c r="B360" s="4"/>
    </row>
    <row r="361" spans="1:2" x14ac:dyDescent="0.35">
      <c r="A361" s="17"/>
      <c r="B361" s="4"/>
    </row>
    <row r="362" spans="1:2" x14ac:dyDescent="0.35">
      <c r="A362" s="17"/>
      <c r="B362" s="4"/>
    </row>
    <row r="363" spans="1:2" x14ac:dyDescent="0.35">
      <c r="A363" s="17"/>
      <c r="B363" s="4"/>
    </row>
    <row r="364" spans="1:2" x14ac:dyDescent="0.35">
      <c r="A364" s="17"/>
      <c r="B364" s="4"/>
    </row>
    <row r="365" spans="1:2" x14ac:dyDescent="0.35">
      <c r="A365" s="17"/>
      <c r="B365" s="4"/>
    </row>
    <row r="366" spans="1:2" x14ac:dyDescent="0.35">
      <c r="A366" s="17"/>
      <c r="B366" s="4"/>
    </row>
    <row r="367" spans="1:2" x14ac:dyDescent="0.35">
      <c r="A367" s="17"/>
      <c r="B367" s="4"/>
    </row>
    <row r="368" spans="1:2" x14ac:dyDescent="0.35">
      <c r="A368" s="17"/>
      <c r="B368" s="4"/>
    </row>
    <row r="369" spans="1:2" x14ac:dyDescent="0.35">
      <c r="A369" s="17"/>
      <c r="B369" s="4"/>
    </row>
    <row r="370" spans="1:2" x14ac:dyDescent="0.35">
      <c r="A370" s="17"/>
      <c r="B370" s="4"/>
    </row>
    <row r="371" spans="1:2" x14ac:dyDescent="0.35">
      <c r="A371" s="17"/>
      <c r="B371" s="4"/>
    </row>
    <row r="372" spans="1:2" x14ac:dyDescent="0.35">
      <c r="A372" s="17"/>
      <c r="B372" s="4"/>
    </row>
    <row r="373" spans="1:2" x14ac:dyDescent="0.35">
      <c r="A373" s="17"/>
      <c r="B373" s="4"/>
    </row>
    <row r="374" spans="1:2" x14ac:dyDescent="0.35">
      <c r="A374" s="17"/>
      <c r="B374" s="4"/>
    </row>
    <row r="375" spans="1:2" x14ac:dyDescent="0.35">
      <c r="A375" s="17"/>
      <c r="B375" s="4"/>
    </row>
    <row r="376" spans="1:2" x14ac:dyDescent="0.35">
      <c r="A376" s="17"/>
      <c r="B376" s="4"/>
    </row>
    <row r="377" spans="1:2" x14ac:dyDescent="0.35">
      <c r="A377" s="17"/>
      <c r="B377" s="4"/>
    </row>
    <row r="378" spans="1:2" x14ac:dyDescent="0.35">
      <c r="A378" s="17"/>
      <c r="B378" s="4"/>
    </row>
    <row r="379" spans="1:2" x14ac:dyDescent="0.35">
      <c r="A379" s="17"/>
      <c r="B379" s="4"/>
    </row>
    <row r="380" spans="1:2" x14ac:dyDescent="0.35">
      <c r="A380" s="17"/>
      <c r="B380" s="4"/>
    </row>
    <row r="381" spans="1:2" x14ac:dyDescent="0.35">
      <c r="A381" s="17"/>
      <c r="B381" s="4"/>
    </row>
    <row r="382" spans="1:2" x14ac:dyDescent="0.35">
      <c r="A382" s="17"/>
      <c r="B382" s="4"/>
    </row>
    <row r="383" spans="1:2" x14ac:dyDescent="0.35">
      <c r="A383" s="17"/>
      <c r="B383" s="4"/>
    </row>
    <row r="384" spans="1:2" x14ac:dyDescent="0.35">
      <c r="A384" s="17"/>
      <c r="B384" s="4"/>
    </row>
    <row r="385" spans="1:2" x14ac:dyDescent="0.35">
      <c r="A385" s="17"/>
      <c r="B385" s="4"/>
    </row>
    <row r="386" spans="1:2" x14ac:dyDescent="0.35">
      <c r="A386" s="17"/>
      <c r="B386" s="4"/>
    </row>
    <row r="387" spans="1:2" x14ac:dyDescent="0.35">
      <c r="A387" s="17"/>
      <c r="B387" s="4"/>
    </row>
    <row r="388" spans="1:2" x14ac:dyDescent="0.35">
      <c r="A388" s="17"/>
      <c r="B388" s="4"/>
    </row>
    <row r="389" spans="1:2" x14ac:dyDescent="0.35">
      <c r="A389" s="17"/>
      <c r="B389" s="4"/>
    </row>
    <row r="390" spans="1:2" x14ac:dyDescent="0.35">
      <c r="A390" s="17"/>
      <c r="B390" s="4"/>
    </row>
    <row r="391" spans="1:2" x14ac:dyDescent="0.35">
      <c r="A391" s="17"/>
      <c r="B391" s="4"/>
    </row>
    <row r="392" spans="1:2" x14ac:dyDescent="0.35">
      <c r="A392" s="17"/>
      <c r="B392" s="4"/>
    </row>
    <row r="393" spans="1:2" x14ac:dyDescent="0.35">
      <c r="A393" s="17"/>
      <c r="B393" s="4"/>
    </row>
    <row r="394" spans="1:2" x14ac:dyDescent="0.35">
      <c r="A394" s="17"/>
      <c r="B394" s="4"/>
    </row>
    <row r="395" spans="1:2" x14ac:dyDescent="0.35">
      <c r="A395" s="17"/>
      <c r="B395" s="4"/>
    </row>
    <row r="396" spans="1:2" x14ac:dyDescent="0.35">
      <c r="A396" s="17"/>
      <c r="B396" s="4"/>
    </row>
    <row r="397" spans="1:2" x14ac:dyDescent="0.35">
      <c r="A397" s="17"/>
      <c r="B397" s="4"/>
    </row>
    <row r="398" spans="1:2" x14ac:dyDescent="0.35">
      <c r="A398" s="17"/>
      <c r="B398" s="4"/>
    </row>
    <row r="399" spans="1:2" x14ac:dyDescent="0.35">
      <c r="A399" s="17"/>
      <c r="B399" s="4"/>
    </row>
    <row r="400" spans="1:2" x14ac:dyDescent="0.35">
      <c r="A400" s="17"/>
      <c r="B400" s="4"/>
    </row>
    <row r="401" spans="1:2" x14ac:dyDescent="0.35">
      <c r="A401" s="17"/>
      <c r="B401" s="4"/>
    </row>
    <row r="402" spans="1:2" x14ac:dyDescent="0.35">
      <c r="A402" s="17"/>
      <c r="B402" s="4"/>
    </row>
    <row r="403" spans="1:2" x14ac:dyDescent="0.35">
      <c r="A403" s="17"/>
      <c r="B403" s="4"/>
    </row>
    <row r="404" spans="1:2" x14ac:dyDescent="0.35">
      <c r="A404" s="17"/>
      <c r="B404" s="4"/>
    </row>
    <row r="405" spans="1:2" x14ac:dyDescent="0.35">
      <c r="A405" s="17"/>
      <c r="B405" s="4"/>
    </row>
    <row r="406" spans="1:2" x14ac:dyDescent="0.35">
      <c r="A406" s="17"/>
      <c r="B406" s="4"/>
    </row>
    <row r="407" spans="1:2" x14ac:dyDescent="0.35">
      <c r="A407" s="17"/>
      <c r="B407" s="4"/>
    </row>
    <row r="408" spans="1:2" x14ac:dyDescent="0.35">
      <c r="A408" s="17"/>
      <c r="B408" s="4"/>
    </row>
    <row r="409" spans="1:2" x14ac:dyDescent="0.35">
      <c r="A409" s="17"/>
      <c r="B409" s="4"/>
    </row>
    <row r="410" spans="1:2" x14ac:dyDescent="0.35">
      <c r="A410" s="17"/>
      <c r="B410" s="4"/>
    </row>
    <row r="411" spans="1:2" x14ac:dyDescent="0.35">
      <c r="A411" s="17"/>
      <c r="B411" s="4"/>
    </row>
    <row r="412" spans="1:2" x14ac:dyDescent="0.35">
      <c r="A412" s="17"/>
      <c r="B412" s="4"/>
    </row>
    <row r="413" spans="1:2" x14ac:dyDescent="0.35">
      <c r="A413" s="17"/>
      <c r="B413" s="4"/>
    </row>
    <row r="414" spans="1:2" x14ac:dyDescent="0.35">
      <c r="A414" s="17"/>
      <c r="B414" s="4"/>
    </row>
    <row r="415" spans="1:2" x14ac:dyDescent="0.35">
      <c r="A415" s="17"/>
      <c r="B415" s="4"/>
    </row>
    <row r="416" spans="1:2" x14ac:dyDescent="0.35">
      <c r="A416" s="17"/>
      <c r="B416" s="4"/>
    </row>
    <row r="417" spans="1:2" x14ac:dyDescent="0.35">
      <c r="A417" s="17"/>
      <c r="B417" s="4"/>
    </row>
    <row r="418" spans="1:2" x14ac:dyDescent="0.35">
      <c r="A418" s="17"/>
      <c r="B418" s="4"/>
    </row>
    <row r="419" spans="1:2" x14ac:dyDescent="0.35">
      <c r="A419" s="17"/>
      <c r="B419" s="4"/>
    </row>
    <row r="420" spans="1:2" x14ac:dyDescent="0.35">
      <c r="A420" s="17"/>
      <c r="B420" s="4"/>
    </row>
    <row r="421" spans="1:2" x14ac:dyDescent="0.35">
      <c r="A421" s="17"/>
      <c r="B421" s="4"/>
    </row>
    <row r="422" spans="1:2" x14ac:dyDescent="0.35">
      <c r="A422" s="17"/>
      <c r="B422" s="4"/>
    </row>
    <row r="423" spans="1:2" x14ac:dyDescent="0.35">
      <c r="A423" s="17"/>
      <c r="B423" s="4"/>
    </row>
    <row r="424" spans="1:2" x14ac:dyDescent="0.35">
      <c r="A424" s="17"/>
      <c r="B424" s="4"/>
    </row>
    <row r="425" spans="1:2" x14ac:dyDescent="0.35">
      <c r="A425" s="17"/>
      <c r="B425" s="4"/>
    </row>
    <row r="426" spans="1:2" x14ac:dyDescent="0.35">
      <c r="A426" s="17"/>
      <c r="B426" s="4"/>
    </row>
    <row r="427" spans="1:2" x14ac:dyDescent="0.35">
      <c r="A427" s="17"/>
      <c r="B427" s="4"/>
    </row>
    <row r="428" spans="1:2" x14ac:dyDescent="0.35">
      <c r="A428" s="17"/>
      <c r="B428" s="4"/>
    </row>
    <row r="429" spans="1:2" x14ac:dyDescent="0.35">
      <c r="A429" s="17"/>
      <c r="B429" s="4"/>
    </row>
    <row r="430" spans="1:2" x14ac:dyDescent="0.35">
      <c r="A430" s="17"/>
      <c r="B430" s="4"/>
    </row>
    <row r="431" spans="1:2" x14ac:dyDescent="0.35">
      <c r="A431" s="17"/>
      <c r="B431" s="4"/>
    </row>
    <row r="432" spans="1:2" x14ac:dyDescent="0.35">
      <c r="A432" s="17"/>
      <c r="B432" s="4"/>
    </row>
    <row r="433" spans="1:2" x14ac:dyDescent="0.35">
      <c r="A433" s="17"/>
      <c r="B433" s="4"/>
    </row>
    <row r="434" spans="1:2" x14ac:dyDescent="0.35">
      <c r="A434" s="17"/>
      <c r="B434" s="4"/>
    </row>
    <row r="435" spans="1:2" x14ac:dyDescent="0.35">
      <c r="A435" s="17"/>
      <c r="B435" s="4"/>
    </row>
    <row r="436" spans="1:2" x14ac:dyDescent="0.35">
      <c r="A436" s="17"/>
      <c r="B436" s="4"/>
    </row>
    <row r="437" spans="1:2" x14ac:dyDescent="0.35">
      <c r="A437" s="17"/>
      <c r="B437" s="4"/>
    </row>
    <row r="438" spans="1:2" x14ac:dyDescent="0.35">
      <c r="A438" s="17"/>
      <c r="B438" s="4"/>
    </row>
    <row r="439" spans="1:2" x14ac:dyDescent="0.35">
      <c r="A439" s="17"/>
      <c r="B439" s="4"/>
    </row>
    <row r="440" spans="1:2" x14ac:dyDescent="0.35">
      <c r="A440" s="17"/>
      <c r="B440" s="4"/>
    </row>
    <row r="441" spans="1:2" x14ac:dyDescent="0.35">
      <c r="A441" s="17"/>
      <c r="B441" s="4"/>
    </row>
    <row r="442" spans="1:2" x14ac:dyDescent="0.35">
      <c r="A442" s="17"/>
      <c r="B442" s="4"/>
    </row>
    <row r="443" spans="1:2" x14ac:dyDescent="0.35">
      <c r="A443" s="17"/>
      <c r="B443" s="4"/>
    </row>
    <row r="444" spans="1:2" x14ac:dyDescent="0.35">
      <c r="A444" s="17"/>
      <c r="B444" s="4"/>
    </row>
    <row r="445" spans="1:2" x14ac:dyDescent="0.35">
      <c r="A445" s="17"/>
      <c r="B445" s="4"/>
    </row>
    <row r="446" spans="1:2" x14ac:dyDescent="0.35">
      <c r="A446" s="17"/>
      <c r="B446" s="4"/>
    </row>
    <row r="447" spans="1:2" x14ac:dyDescent="0.35">
      <c r="A447" s="17"/>
      <c r="B447" s="4"/>
    </row>
    <row r="448" spans="1:2" x14ac:dyDescent="0.35">
      <c r="A448" s="17"/>
      <c r="B448" s="4"/>
    </row>
    <row r="449" spans="1:2" x14ac:dyDescent="0.35">
      <c r="A449" s="17"/>
      <c r="B449" s="4"/>
    </row>
    <row r="450" spans="1:2" x14ac:dyDescent="0.35">
      <c r="A450" s="17"/>
      <c r="B450" s="4"/>
    </row>
    <row r="451" spans="1:2" x14ac:dyDescent="0.35">
      <c r="A451" s="17"/>
      <c r="B451" s="4"/>
    </row>
    <row r="452" spans="1:2" x14ac:dyDescent="0.35">
      <c r="A452" s="17"/>
      <c r="B452" s="4"/>
    </row>
    <row r="453" spans="1:2" x14ac:dyDescent="0.35">
      <c r="A453" s="17"/>
      <c r="B453" s="4"/>
    </row>
    <row r="454" spans="1:2" x14ac:dyDescent="0.35">
      <c r="A454" s="17"/>
      <c r="B454" s="4"/>
    </row>
    <row r="455" spans="1:2" x14ac:dyDescent="0.35">
      <c r="A455" s="17"/>
      <c r="B455" s="4"/>
    </row>
    <row r="456" spans="1:2" x14ac:dyDescent="0.35">
      <c r="A456" s="17"/>
      <c r="B456" s="4"/>
    </row>
    <row r="457" spans="1:2" x14ac:dyDescent="0.35">
      <c r="A457" s="17"/>
      <c r="B457" s="4"/>
    </row>
    <row r="458" spans="1:2" x14ac:dyDescent="0.35">
      <c r="A458" s="17"/>
      <c r="B458" s="4"/>
    </row>
    <row r="459" spans="1:2" x14ac:dyDescent="0.35">
      <c r="A459" s="17"/>
      <c r="B459" s="4"/>
    </row>
    <row r="460" spans="1:2" x14ac:dyDescent="0.35">
      <c r="A460" s="17"/>
      <c r="B460" s="4"/>
    </row>
    <row r="461" spans="1:2" x14ac:dyDescent="0.35">
      <c r="A461" s="17"/>
      <c r="B461" s="4"/>
    </row>
    <row r="462" spans="1:2" x14ac:dyDescent="0.35">
      <c r="A462" s="17"/>
      <c r="B462" s="4"/>
    </row>
    <row r="463" spans="1:2" x14ac:dyDescent="0.35">
      <c r="A463" s="17"/>
      <c r="B463" s="4"/>
    </row>
    <row r="464" spans="1:2" x14ac:dyDescent="0.35">
      <c r="A464" s="17"/>
      <c r="B464" s="4"/>
    </row>
    <row r="465" spans="1:2" x14ac:dyDescent="0.35">
      <c r="A465" s="17"/>
      <c r="B465" s="4"/>
    </row>
    <row r="466" spans="1:2" x14ac:dyDescent="0.35">
      <c r="A466" s="17"/>
      <c r="B466" s="4"/>
    </row>
    <row r="467" spans="1:2" x14ac:dyDescent="0.35">
      <c r="A467" s="17"/>
      <c r="B467" s="4"/>
    </row>
    <row r="468" spans="1:2" x14ac:dyDescent="0.35">
      <c r="A468" s="17"/>
      <c r="B468" s="4"/>
    </row>
    <row r="469" spans="1:2" x14ac:dyDescent="0.35">
      <c r="A469" s="17"/>
      <c r="B469" s="4"/>
    </row>
    <row r="470" spans="1:2" x14ac:dyDescent="0.35">
      <c r="A470" s="17"/>
      <c r="B470" s="4"/>
    </row>
    <row r="471" spans="1:2" x14ac:dyDescent="0.35">
      <c r="A471" s="17"/>
      <c r="B471" s="4"/>
    </row>
    <row r="472" spans="1:2" x14ac:dyDescent="0.35">
      <c r="A472" s="17"/>
      <c r="B472" s="4"/>
    </row>
    <row r="473" spans="1:2" x14ac:dyDescent="0.35">
      <c r="A473" s="17"/>
      <c r="B473" s="4"/>
    </row>
    <row r="474" spans="1:2" x14ac:dyDescent="0.35">
      <c r="A474" s="17"/>
      <c r="B474" s="4"/>
    </row>
    <row r="475" spans="1:2" x14ac:dyDescent="0.35">
      <c r="A475" s="17"/>
      <c r="B475" s="4"/>
    </row>
    <row r="476" spans="1:2" x14ac:dyDescent="0.35">
      <c r="A476" s="17"/>
      <c r="B476" s="4"/>
    </row>
    <row r="477" spans="1:2" x14ac:dyDescent="0.35">
      <c r="A477" s="17"/>
      <c r="B477" s="4"/>
    </row>
    <row r="478" spans="1:2" x14ac:dyDescent="0.35">
      <c r="A478" s="17"/>
      <c r="B478" s="4"/>
    </row>
    <row r="479" spans="1:2" x14ac:dyDescent="0.35">
      <c r="A479" s="17"/>
      <c r="B479" s="4"/>
    </row>
    <row r="480" spans="1:2" x14ac:dyDescent="0.35">
      <c r="A480" s="17"/>
      <c r="B480" s="4"/>
    </row>
    <row r="481" spans="1:2" x14ac:dyDescent="0.35">
      <c r="A481" s="17"/>
      <c r="B481" s="4"/>
    </row>
    <row r="482" spans="1:2" x14ac:dyDescent="0.35">
      <c r="A482" s="17"/>
      <c r="B482" s="4"/>
    </row>
    <row r="483" spans="1:2" x14ac:dyDescent="0.35">
      <c r="A483" s="17"/>
      <c r="B483" s="4"/>
    </row>
    <row r="484" spans="1:2" x14ac:dyDescent="0.35">
      <c r="A484" s="17"/>
      <c r="B484" s="4"/>
    </row>
    <row r="485" spans="1:2" x14ac:dyDescent="0.35">
      <c r="A485" s="17"/>
      <c r="B485" s="4"/>
    </row>
    <row r="486" spans="1:2" x14ac:dyDescent="0.35">
      <c r="A486" s="17"/>
      <c r="B486" s="4"/>
    </row>
    <row r="487" spans="1:2" x14ac:dyDescent="0.35">
      <c r="A487" s="17"/>
      <c r="B487" s="4"/>
    </row>
    <row r="488" spans="1:2" x14ac:dyDescent="0.35">
      <c r="A488" s="17"/>
      <c r="B488" s="4"/>
    </row>
    <row r="489" spans="1:2" x14ac:dyDescent="0.35">
      <c r="A489" s="17"/>
      <c r="B489" s="4"/>
    </row>
    <row r="490" spans="1:2" x14ac:dyDescent="0.35">
      <c r="A490" s="17"/>
      <c r="B490" s="4"/>
    </row>
    <row r="491" spans="1:2" x14ac:dyDescent="0.35">
      <c r="A491" s="17"/>
      <c r="B491" s="4"/>
    </row>
    <row r="492" spans="1:2" x14ac:dyDescent="0.35">
      <c r="A492" s="17"/>
      <c r="B492" s="4"/>
    </row>
    <row r="493" spans="1:2" x14ac:dyDescent="0.35">
      <c r="A493" s="17"/>
      <c r="B493" s="4"/>
    </row>
    <row r="494" spans="1:2" x14ac:dyDescent="0.35">
      <c r="A494" s="17"/>
      <c r="B494" s="4"/>
    </row>
    <row r="495" spans="1:2" x14ac:dyDescent="0.35">
      <c r="A495" s="17"/>
      <c r="B495" s="4"/>
    </row>
    <row r="496" spans="1:2" x14ac:dyDescent="0.35">
      <c r="A496" s="17"/>
      <c r="B496" s="4"/>
    </row>
    <row r="497" spans="1:2" x14ac:dyDescent="0.35">
      <c r="A497" s="17"/>
      <c r="B497" s="4"/>
    </row>
    <row r="498" spans="1:2" x14ac:dyDescent="0.35">
      <c r="A498" s="17"/>
      <c r="B498" s="4"/>
    </row>
    <row r="499" spans="1:2" x14ac:dyDescent="0.35">
      <c r="A499" s="17"/>
      <c r="B499" s="4"/>
    </row>
    <row r="500" spans="1:2" x14ac:dyDescent="0.35">
      <c r="A500" s="17"/>
      <c r="B500" s="4"/>
    </row>
    <row r="501" spans="1:2" x14ac:dyDescent="0.35">
      <c r="A501" s="17"/>
      <c r="B501" s="4"/>
    </row>
    <row r="502" spans="1:2" x14ac:dyDescent="0.35">
      <c r="A502" s="17"/>
      <c r="B502" s="4"/>
    </row>
    <row r="503" spans="1:2" x14ac:dyDescent="0.35">
      <c r="A503" s="17"/>
      <c r="B503" s="4"/>
    </row>
    <row r="504" spans="1:2" x14ac:dyDescent="0.35">
      <c r="A504" s="17"/>
      <c r="B504" s="4"/>
    </row>
    <row r="505" spans="1:2" x14ac:dyDescent="0.35">
      <c r="A505" s="17"/>
      <c r="B505" s="4"/>
    </row>
    <row r="506" spans="1:2" x14ac:dyDescent="0.35">
      <c r="A506" s="17"/>
      <c r="B506" s="4"/>
    </row>
    <row r="507" spans="1:2" x14ac:dyDescent="0.35">
      <c r="A507" s="17"/>
      <c r="B507" s="4"/>
    </row>
    <row r="508" spans="1:2" x14ac:dyDescent="0.35">
      <c r="A508" s="17"/>
      <c r="B508" s="4"/>
    </row>
    <row r="509" spans="1:2" x14ac:dyDescent="0.35">
      <c r="A509" s="17"/>
      <c r="B509" s="4"/>
    </row>
    <row r="510" spans="1:2" x14ac:dyDescent="0.35">
      <c r="A510" s="17"/>
      <c r="B510" s="4"/>
    </row>
    <row r="511" spans="1:2" x14ac:dyDescent="0.35">
      <c r="A511" s="17"/>
      <c r="B511" s="4"/>
    </row>
    <row r="512" spans="1:2" x14ac:dyDescent="0.35">
      <c r="A512" s="17"/>
      <c r="B512" s="4"/>
    </row>
    <row r="513" spans="1:2" x14ac:dyDescent="0.35">
      <c r="A513" s="17"/>
      <c r="B513" s="4"/>
    </row>
    <row r="514" spans="1:2" x14ac:dyDescent="0.35">
      <c r="A514" s="17"/>
      <c r="B514" s="4"/>
    </row>
    <row r="515" spans="1:2" x14ac:dyDescent="0.35">
      <c r="A515" s="17"/>
      <c r="B515" s="4"/>
    </row>
    <row r="516" spans="1:2" x14ac:dyDescent="0.35">
      <c r="A516" s="17"/>
      <c r="B516" s="4"/>
    </row>
    <row r="517" spans="1:2" x14ac:dyDescent="0.35">
      <c r="A517" s="17"/>
      <c r="B517" s="4"/>
    </row>
    <row r="518" spans="1:2" x14ac:dyDescent="0.35">
      <c r="A518" s="17"/>
      <c r="B518" s="4"/>
    </row>
    <row r="519" spans="1:2" x14ac:dyDescent="0.35">
      <c r="A519" s="17"/>
      <c r="B519" s="4"/>
    </row>
    <row r="520" spans="1:2" x14ac:dyDescent="0.35">
      <c r="A520" s="17"/>
      <c r="B520" s="4"/>
    </row>
    <row r="521" spans="1:2" x14ac:dyDescent="0.35">
      <c r="A521" s="17"/>
      <c r="B521" s="4"/>
    </row>
    <row r="522" spans="1:2" x14ac:dyDescent="0.35">
      <c r="A522" s="17"/>
      <c r="B522" s="4"/>
    </row>
    <row r="523" spans="1:2" x14ac:dyDescent="0.35">
      <c r="A523" s="17"/>
      <c r="B523" s="4"/>
    </row>
    <row r="524" spans="1:2" x14ac:dyDescent="0.35">
      <c r="A524" s="17"/>
      <c r="B524" s="4"/>
    </row>
    <row r="525" spans="1:2" x14ac:dyDescent="0.35">
      <c r="A525" s="17"/>
      <c r="B525" s="4"/>
    </row>
    <row r="526" spans="1:2" x14ac:dyDescent="0.35">
      <c r="A526" s="17"/>
      <c r="B526" s="4"/>
    </row>
    <row r="527" spans="1:2" x14ac:dyDescent="0.35">
      <c r="A527" s="17"/>
      <c r="B527" s="4"/>
    </row>
    <row r="528" spans="1:2" x14ac:dyDescent="0.35">
      <c r="A528" s="17"/>
      <c r="B528" s="4"/>
    </row>
    <row r="529" spans="1:2" x14ac:dyDescent="0.35">
      <c r="A529" s="17"/>
      <c r="B529" s="4"/>
    </row>
    <row r="530" spans="1:2" x14ac:dyDescent="0.35">
      <c r="A530" s="17"/>
      <c r="B530" s="4"/>
    </row>
    <row r="531" spans="1:2" x14ac:dyDescent="0.35">
      <c r="A531" s="17"/>
      <c r="B531" s="4"/>
    </row>
    <row r="532" spans="1:2" x14ac:dyDescent="0.35">
      <c r="A532" s="17"/>
      <c r="B532" s="4"/>
    </row>
    <row r="533" spans="1:2" x14ac:dyDescent="0.35">
      <c r="A533" s="17"/>
      <c r="B533" s="4"/>
    </row>
    <row r="534" spans="1:2" x14ac:dyDescent="0.35">
      <c r="A534" s="17"/>
      <c r="B534" s="4"/>
    </row>
    <row r="535" spans="1:2" x14ac:dyDescent="0.35">
      <c r="A535" s="17"/>
      <c r="B535" s="4"/>
    </row>
    <row r="536" spans="1:2" x14ac:dyDescent="0.35">
      <c r="A536" s="17"/>
      <c r="B536" s="4"/>
    </row>
    <row r="537" spans="1:2" x14ac:dyDescent="0.35">
      <c r="A537" s="17"/>
      <c r="B537" s="4"/>
    </row>
    <row r="538" spans="1:2" x14ac:dyDescent="0.35">
      <c r="A538" s="17"/>
      <c r="B538" s="4"/>
    </row>
    <row r="539" spans="1:2" x14ac:dyDescent="0.35">
      <c r="A539" s="17"/>
      <c r="B539" s="4"/>
    </row>
    <row r="540" spans="1:2" x14ac:dyDescent="0.35">
      <c r="A540" s="17"/>
      <c r="B540" s="4"/>
    </row>
    <row r="541" spans="1:2" x14ac:dyDescent="0.35">
      <c r="A541" s="17"/>
      <c r="B541" s="4"/>
    </row>
    <row r="542" spans="1:2" x14ac:dyDescent="0.35">
      <c r="A542" s="17"/>
      <c r="B542" s="4"/>
    </row>
    <row r="543" spans="1:2" x14ac:dyDescent="0.35">
      <c r="A543" s="17"/>
      <c r="B543" s="4"/>
    </row>
    <row r="544" spans="1:2" x14ac:dyDescent="0.35">
      <c r="A544" s="17"/>
      <c r="B544" s="4"/>
    </row>
    <row r="545" spans="1:2" x14ac:dyDescent="0.35">
      <c r="A545" s="17"/>
      <c r="B545" s="4"/>
    </row>
    <row r="546" spans="1:2" x14ac:dyDescent="0.35">
      <c r="A546" s="17"/>
      <c r="B546" s="4"/>
    </row>
    <row r="547" spans="1:2" x14ac:dyDescent="0.35">
      <c r="A547" s="17"/>
      <c r="B547" s="4"/>
    </row>
    <row r="548" spans="1:2" x14ac:dyDescent="0.35">
      <c r="A548" s="17"/>
      <c r="B548" s="4"/>
    </row>
    <row r="549" spans="1:2" x14ac:dyDescent="0.35">
      <c r="A549" s="17"/>
      <c r="B549" s="4"/>
    </row>
    <row r="550" spans="1:2" x14ac:dyDescent="0.35">
      <c r="A550" s="17"/>
      <c r="B550" s="4"/>
    </row>
    <row r="551" spans="1:2" x14ac:dyDescent="0.35">
      <c r="A551" s="17"/>
      <c r="B551" s="4"/>
    </row>
    <row r="552" spans="1:2" x14ac:dyDescent="0.35">
      <c r="A552" s="17"/>
      <c r="B552" s="4"/>
    </row>
    <row r="553" spans="1:2" x14ac:dyDescent="0.35">
      <c r="A553" s="17"/>
      <c r="B553" s="4"/>
    </row>
    <row r="554" spans="1:2" x14ac:dyDescent="0.35">
      <c r="A554" s="17"/>
      <c r="B554" s="4"/>
    </row>
    <row r="555" spans="1:2" x14ac:dyDescent="0.35">
      <c r="A555" s="17"/>
      <c r="B555" s="4"/>
    </row>
    <row r="556" spans="1:2" x14ac:dyDescent="0.35">
      <c r="A556" s="17"/>
      <c r="B556" s="4"/>
    </row>
    <row r="557" spans="1:2" x14ac:dyDescent="0.35">
      <c r="A557" s="17"/>
      <c r="B557" s="4"/>
    </row>
    <row r="558" spans="1:2" x14ac:dyDescent="0.35">
      <c r="A558" s="17"/>
      <c r="B558" s="4"/>
    </row>
    <row r="559" spans="1:2" x14ac:dyDescent="0.35">
      <c r="A559" s="17"/>
      <c r="B559" s="4"/>
    </row>
    <row r="560" spans="1:2" x14ac:dyDescent="0.35">
      <c r="A560" s="17"/>
      <c r="B560" s="4"/>
    </row>
    <row r="561" spans="1:2" x14ac:dyDescent="0.35">
      <c r="A561" s="17"/>
      <c r="B561" s="4"/>
    </row>
    <row r="562" spans="1:2" x14ac:dyDescent="0.35">
      <c r="A562" s="17"/>
      <c r="B562" s="4"/>
    </row>
    <row r="563" spans="1:2" x14ac:dyDescent="0.35">
      <c r="A563" s="17"/>
      <c r="B563" s="4"/>
    </row>
    <row r="564" spans="1:2" x14ac:dyDescent="0.35">
      <c r="A564" s="17"/>
      <c r="B564" s="4"/>
    </row>
    <row r="565" spans="1:2" x14ac:dyDescent="0.35">
      <c r="A565" s="17"/>
      <c r="B565" s="4"/>
    </row>
    <row r="566" spans="1:2" x14ac:dyDescent="0.35">
      <c r="A566" s="17"/>
      <c r="B566" s="4"/>
    </row>
    <row r="567" spans="1:2" x14ac:dyDescent="0.35">
      <c r="A567" s="17"/>
      <c r="B567" s="4"/>
    </row>
    <row r="568" spans="1:2" x14ac:dyDescent="0.35">
      <c r="A568" s="17"/>
      <c r="B568" s="4"/>
    </row>
    <row r="569" spans="1:2" x14ac:dyDescent="0.35">
      <c r="A569" s="17"/>
      <c r="B569" s="4"/>
    </row>
    <row r="570" spans="1:2" x14ac:dyDescent="0.35">
      <c r="A570" s="17"/>
      <c r="B570" s="4"/>
    </row>
    <row r="571" spans="1:2" x14ac:dyDescent="0.35">
      <c r="A571" s="17"/>
      <c r="B571" s="4"/>
    </row>
    <row r="572" spans="1:2" x14ac:dyDescent="0.35">
      <c r="A572" s="17"/>
      <c r="B572" s="4"/>
    </row>
    <row r="573" spans="1:2" x14ac:dyDescent="0.35">
      <c r="A573" s="17"/>
      <c r="B573" s="4"/>
    </row>
    <row r="574" spans="1:2" x14ac:dyDescent="0.35">
      <c r="A574" s="17"/>
      <c r="B574" s="4"/>
    </row>
    <row r="575" spans="1:2" x14ac:dyDescent="0.35">
      <c r="A575" s="17"/>
      <c r="B575" s="4"/>
    </row>
    <row r="576" spans="1:2" x14ac:dyDescent="0.35">
      <c r="A576" s="17"/>
      <c r="B576" s="4"/>
    </row>
    <row r="577" spans="1:2" x14ac:dyDescent="0.35">
      <c r="A577" s="17"/>
      <c r="B577" s="4"/>
    </row>
    <row r="578" spans="1:2" x14ac:dyDescent="0.35">
      <c r="A578" s="17"/>
      <c r="B578" s="4"/>
    </row>
    <row r="579" spans="1:2" x14ac:dyDescent="0.35">
      <c r="A579" s="17"/>
      <c r="B579" s="4"/>
    </row>
    <row r="580" spans="1:2" x14ac:dyDescent="0.35">
      <c r="A580" s="17"/>
      <c r="B580" s="4"/>
    </row>
    <row r="581" spans="1:2" x14ac:dyDescent="0.35">
      <c r="A581" s="17"/>
      <c r="B581" s="4"/>
    </row>
    <row r="582" spans="1:2" x14ac:dyDescent="0.35">
      <c r="A582" s="17"/>
      <c r="B582" s="4"/>
    </row>
    <row r="583" spans="1:2" x14ac:dyDescent="0.35">
      <c r="A583" s="17"/>
      <c r="B583" s="4"/>
    </row>
    <row r="584" spans="1:2" x14ac:dyDescent="0.35">
      <c r="A584" s="17"/>
      <c r="B584" s="4"/>
    </row>
    <row r="585" spans="1:2" x14ac:dyDescent="0.35">
      <c r="A585" s="17"/>
      <c r="B585" s="4"/>
    </row>
    <row r="586" spans="1:2" x14ac:dyDescent="0.35">
      <c r="A586" s="17"/>
      <c r="B586" s="4"/>
    </row>
    <row r="587" spans="1:2" x14ac:dyDescent="0.35">
      <c r="A587" s="17"/>
      <c r="B587" s="4"/>
    </row>
    <row r="588" spans="1:2" x14ac:dyDescent="0.35">
      <c r="A588" s="17"/>
      <c r="B588" s="4"/>
    </row>
    <row r="589" spans="1:2" x14ac:dyDescent="0.35">
      <c r="A589" s="17"/>
      <c r="B589" s="4"/>
    </row>
    <row r="590" spans="1:2" x14ac:dyDescent="0.35">
      <c r="A590" s="17"/>
      <c r="B590" s="4"/>
    </row>
    <row r="591" spans="1:2" x14ac:dyDescent="0.35">
      <c r="A591" s="17"/>
      <c r="B591" s="4"/>
    </row>
    <row r="592" spans="1:2" x14ac:dyDescent="0.35">
      <c r="A592" s="17"/>
      <c r="B592" s="4"/>
    </row>
    <row r="593" spans="1:2" x14ac:dyDescent="0.35">
      <c r="A593" s="17"/>
      <c r="B593" s="4"/>
    </row>
    <row r="594" spans="1:2" x14ac:dyDescent="0.35">
      <c r="A594" s="17"/>
      <c r="B594" s="4"/>
    </row>
    <row r="595" spans="1:2" x14ac:dyDescent="0.35">
      <c r="A595" s="17"/>
      <c r="B595" s="4"/>
    </row>
    <row r="596" spans="1:2" x14ac:dyDescent="0.35">
      <c r="A596" s="17"/>
      <c r="B596" s="4"/>
    </row>
    <row r="597" spans="1:2" x14ac:dyDescent="0.35">
      <c r="A597" s="17"/>
      <c r="B597" s="4"/>
    </row>
    <row r="598" spans="1:2" x14ac:dyDescent="0.35">
      <c r="A598" s="17"/>
      <c r="B598" s="4"/>
    </row>
    <row r="599" spans="1:2" x14ac:dyDescent="0.35">
      <c r="A599" s="17"/>
      <c r="B599" s="4"/>
    </row>
    <row r="600" spans="1:2" x14ac:dyDescent="0.35">
      <c r="A600" s="17"/>
      <c r="B600" s="4"/>
    </row>
    <row r="601" spans="1:2" x14ac:dyDescent="0.35">
      <c r="A601" s="17"/>
      <c r="B601" s="4"/>
    </row>
    <row r="602" spans="1:2" x14ac:dyDescent="0.35">
      <c r="A602" s="17"/>
      <c r="B602" s="4"/>
    </row>
    <row r="603" spans="1:2" x14ac:dyDescent="0.35">
      <c r="A603" s="17"/>
      <c r="B603" s="4"/>
    </row>
    <row r="604" spans="1:2" x14ac:dyDescent="0.35">
      <c r="A604" s="17"/>
      <c r="B604" s="4"/>
    </row>
    <row r="605" spans="1:2" x14ac:dyDescent="0.35">
      <c r="A605" s="17"/>
      <c r="B605" s="4"/>
    </row>
    <row r="606" spans="1:2" x14ac:dyDescent="0.35">
      <c r="A606" s="17"/>
      <c r="B606" s="4"/>
    </row>
    <row r="607" spans="1:2" x14ac:dyDescent="0.35">
      <c r="A607" s="17"/>
      <c r="B607" s="4"/>
    </row>
    <row r="608" spans="1:2" x14ac:dyDescent="0.35">
      <c r="A608" s="17"/>
      <c r="B608" s="4"/>
    </row>
    <row r="609" spans="1:2" x14ac:dyDescent="0.35">
      <c r="A609" s="17"/>
      <c r="B609" s="4"/>
    </row>
    <row r="610" spans="1:2" x14ac:dyDescent="0.35">
      <c r="A610" s="17"/>
      <c r="B610" s="4"/>
    </row>
    <row r="611" spans="1:2" x14ac:dyDescent="0.35">
      <c r="A611" s="17"/>
      <c r="B611" s="4"/>
    </row>
    <row r="612" spans="1:2" x14ac:dyDescent="0.35">
      <c r="A612" s="17"/>
      <c r="B612" s="4"/>
    </row>
    <row r="613" spans="1:2" x14ac:dyDescent="0.35">
      <c r="A613" s="17"/>
      <c r="B613" s="4"/>
    </row>
    <row r="614" spans="1:2" x14ac:dyDescent="0.35">
      <c r="A614" s="17"/>
      <c r="B614" s="4"/>
    </row>
    <row r="615" spans="1:2" x14ac:dyDescent="0.35">
      <c r="A615" s="17"/>
      <c r="B615" s="4"/>
    </row>
    <row r="616" spans="1:2" x14ac:dyDescent="0.35">
      <c r="A616" s="17"/>
      <c r="B616" s="4"/>
    </row>
    <row r="617" spans="1:2" x14ac:dyDescent="0.35">
      <c r="A617" s="17"/>
      <c r="B617" s="4"/>
    </row>
    <row r="618" spans="1:2" x14ac:dyDescent="0.35">
      <c r="A618" s="17"/>
      <c r="B618" s="4"/>
    </row>
    <row r="619" spans="1:2" x14ac:dyDescent="0.35">
      <c r="A619" s="17"/>
      <c r="B619" s="4"/>
    </row>
    <row r="620" spans="1:2" x14ac:dyDescent="0.35">
      <c r="A620" s="17"/>
      <c r="B620" s="4"/>
    </row>
    <row r="621" spans="1:2" x14ac:dyDescent="0.35">
      <c r="A621" s="17"/>
      <c r="B621" s="4"/>
    </row>
    <row r="622" spans="1:2" x14ac:dyDescent="0.35">
      <c r="A622" s="17"/>
      <c r="B622" s="4"/>
    </row>
    <row r="623" spans="1:2" x14ac:dyDescent="0.35">
      <c r="A623" s="17"/>
      <c r="B623" s="4"/>
    </row>
    <row r="624" spans="1:2" x14ac:dyDescent="0.35">
      <c r="A624" s="17"/>
      <c r="B624" s="4"/>
    </row>
    <row r="625" spans="1:2" x14ac:dyDescent="0.35">
      <c r="A625" s="17"/>
      <c r="B625" s="4"/>
    </row>
    <row r="626" spans="1:2" x14ac:dyDescent="0.35">
      <c r="A626" s="17"/>
      <c r="B626" s="4"/>
    </row>
    <row r="627" spans="1:2" x14ac:dyDescent="0.35">
      <c r="A627" s="17"/>
      <c r="B627" s="4"/>
    </row>
    <row r="628" spans="1:2" x14ac:dyDescent="0.35">
      <c r="A628" s="17"/>
      <c r="B628" s="4"/>
    </row>
    <row r="629" spans="1:2" x14ac:dyDescent="0.35">
      <c r="A629" s="17"/>
      <c r="B629" s="4"/>
    </row>
    <row r="630" spans="1:2" x14ac:dyDescent="0.35">
      <c r="A630" s="17"/>
      <c r="B630" s="4"/>
    </row>
    <row r="631" spans="1:2" x14ac:dyDescent="0.35">
      <c r="A631" s="17"/>
      <c r="B631" s="4"/>
    </row>
    <row r="632" spans="1:2" x14ac:dyDescent="0.35">
      <c r="A632" s="17"/>
      <c r="B632" s="4"/>
    </row>
    <row r="633" spans="1:2" x14ac:dyDescent="0.35">
      <c r="A633" s="17"/>
      <c r="B633" s="4"/>
    </row>
    <row r="634" spans="1:2" x14ac:dyDescent="0.35">
      <c r="A634" s="17"/>
      <c r="B634" s="4"/>
    </row>
    <row r="635" spans="1:2" x14ac:dyDescent="0.35">
      <c r="A635" s="17"/>
      <c r="B635" s="4"/>
    </row>
    <row r="636" spans="1:2" x14ac:dyDescent="0.35">
      <c r="A636" s="17"/>
      <c r="B636" s="4"/>
    </row>
    <row r="637" spans="1:2" x14ac:dyDescent="0.35">
      <c r="A637" s="17"/>
      <c r="B637" s="4"/>
    </row>
    <row r="638" spans="1:2" x14ac:dyDescent="0.35">
      <c r="A638" s="17"/>
      <c r="B638" s="4"/>
    </row>
    <row r="639" spans="1:2" x14ac:dyDescent="0.35">
      <c r="A639" s="17"/>
      <c r="B639" s="4"/>
    </row>
    <row r="640" spans="1:2" x14ac:dyDescent="0.35">
      <c r="A640" s="17"/>
      <c r="B640" s="4"/>
    </row>
    <row r="641" spans="1:2" x14ac:dyDescent="0.35">
      <c r="A641" s="17"/>
      <c r="B641" s="4"/>
    </row>
    <row r="642" spans="1:2" x14ac:dyDescent="0.35">
      <c r="A642" s="17"/>
      <c r="B642" s="4"/>
    </row>
    <row r="643" spans="1:2" x14ac:dyDescent="0.35">
      <c r="A643" s="17"/>
      <c r="B643" s="4"/>
    </row>
    <row r="644" spans="1:2" x14ac:dyDescent="0.35">
      <c r="A644" s="17"/>
      <c r="B644" s="4"/>
    </row>
    <row r="645" spans="1:2" x14ac:dyDescent="0.35">
      <c r="A645" s="17"/>
      <c r="B645" s="4"/>
    </row>
    <row r="646" spans="1:2" x14ac:dyDescent="0.35">
      <c r="A646" s="17"/>
      <c r="B646" s="4"/>
    </row>
    <row r="647" spans="1:2" x14ac:dyDescent="0.35">
      <c r="A647" s="17"/>
      <c r="B647" s="4"/>
    </row>
    <row r="648" spans="1:2" x14ac:dyDescent="0.35">
      <c r="A648" s="17"/>
      <c r="B648" s="4"/>
    </row>
    <row r="649" spans="1:2" x14ac:dyDescent="0.35">
      <c r="A649" s="17"/>
      <c r="B649" s="4"/>
    </row>
    <row r="650" spans="1:2" x14ac:dyDescent="0.35">
      <c r="A650" s="17"/>
      <c r="B650" s="4"/>
    </row>
    <row r="651" spans="1:2" x14ac:dyDescent="0.35">
      <c r="A651" s="17"/>
      <c r="B651" s="4"/>
    </row>
    <row r="652" spans="1:2" x14ac:dyDescent="0.35">
      <c r="A652" s="17"/>
      <c r="B652" s="4"/>
    </row>
    <row r="653" spans="1:2" x14ac:dyDescent="0.35">
      <c r="A653" s="17"/>
      <c r="B653" s="4"/>
    </row>
    <row r="654" spans="1:2" x14ac:dyDescent="0.35">
      <c r="A654" s="17"/>
      <c r="B654" s="4"/>
    </row>
    <row r="655" spans="1:2" x14ac:dyDescent="0.35">
      <c r="A655" s="17"/>
      <c r="B655" s="4"/>
    </row>
    <row r="656" spans="1:2" x14ac:dyDescent="0.35">
      <c r="A656" s="17"/>
      <c r="B656" s="4"/>
    </row>
    <row r="657" spans="1:2" x14ac:dyDescent="0.35">
      <c r="A657" s="17"/>
      <c r="B657" s="4"/>
    </row>
    <row r="658" spans="1:2" x14ac:dyDescent="0.35">
      <c r="A658" s="17"/>
      <c r="B658" s="4"/>
    </row>
    <row r="659" spans="1:2" x14ac:dyDescent="0.35">
      <c r="A659" s="17"/>
      <c r="B659" s="4"/>
    </row>
    <row r="660" spans="1:2" x14ac:dyDescent="0.35">
      <c r="A660" s="17"/>
      <c r="B660" s="4"/>
    </row>
    <row r="661" spans="1:2" x14ac:dyDescent="0.35">
      <c r="A661" s="17"/>
      <c r="B661" s="4"/>
    </row>
    <row r="662" spans="1:2" x14ac:dyDescent="0.35">
      <c r="A662" s="17"/>
      <c r="B662" s="4"/>
    </row>
    <row r="663" spans="1:2" x14ac:dyDescent="0.35">
      <c r="A663" s="17"/>
      <c r="B663" s="4"/>
    </row>
    <row r="664" spans="1:2" x14ac:dyDescent="0.35">
      <c r="A664" s="17"/>
      <c r="B664" s="4"/>
    </row>
    <row r="665" spans="1:2" x14ac:dyDescent="0.35">
      <c r="A665" s="17"/>
      <c r="B665" s="4"/>
    </row>
    <row r="666" spans="1:2" x14ac:dyDescent="0.35">
      <c r="A666" s="17"/>
      <c r="B666" s="4"/>
    </row>
    <row r="667" spans="1:2" x14ac:dyDescent="0.35">
      <c r="A667" s="17"/>
      <c r="B667" s="4"/>
    </row>
    <row r="668" spans="1:2" x14ac:dyDescent="0.35">
      <c r="A668" s="17"/>
      <c r="B668" s="4"/>
    </row>
    <row r="669" spans="1:2" x14ac:dyDescent="0.35">
      <c r="A669" s="17"/>
      <c r="B669" s="4"/>
    </row>
    <row r="670" spans="1:2" x14ac:dyDescent="0.35">
      <c r="A670" s="17"/>
      <c r="B670" s="4"/>
    </row>
    <row r="671" spans="1:2" x14ac:dyDescent="0.35">
      <c r="A671" s="17"/>
      <c r="B671" s="4"/>
    </row>
    <row r="672" spans="1:2" x14ac:dyDescent="0.35">
      <c r="A672" s="17"/>
      <c r="B672" s="4"/>
    </row>
    <row r="673" spans="1:2" x14ac:dyDescent="0.35">
      <c r="A673" s="17"/>
      <c r="B673" s="4"/>
    </row>
    <row r="674" spans="1:2" x14ac:dyDescent="0.35">
      <c r="A674" s="17"/>
      <c r="B674" s="4"/>
    </row>
    <row r="675" spans="1:2" x14ac:dyDescent="0.35">
      <c r="A675" s="17"/>
      <c r="B675" s="4"/>
    </row>
    <row r="676" spans="1:2" x14ac:dyDescent="0.35">
      <c r="A676" s="17"/>
      <c r="B676" s="4"/>
    </row>
    <row r="677" spans="1:2" x14ac:dyDescent="0.35">
      <c r="A677" s="17"/>
      <c r="B677" s="4"/>
    </row>
    <row r="678" spans="1:2" x14ac:dyDescent="0.35">
      <c r="A678" s="17"/>
      <c r="B678" s="4"/>
    </row>
    <row r="679" spans="1:2" x14ac:dyDescent="0.35">
      <c r="A679" s="17"/>
      <c r="B679" s="4"/>
    </row>
    <row r="680" spans="1:2" x14ac:dyDescent="0.35">
      <c r="A680" s="17"/>
      <c r="B680" s="4"/>
    </row>
    <row r="681" spans="1:2" x14ac:dyDescent="0.35">
      <c r="A681" s="17"/>
      <c r="B681" s="4"/>
    </row>
    <row r="682" spans="1:2" x14ac:dyDescent="0.35">
      <c r="A682" s="17"/>
      <c r="B682" s="4"/>
    </row>
    <row r="683" spans="1:2" x14ac:dyDescent="0.35">
      <c r="A683" s="17"/>
      <c r="B683" s="4"/>
    </row>
    <row r="684" spans="1:2" x14ac:dyDescent="0.35">
      <c r="A684" s="17"/>
      <c r="B684" s="4"/>
    </row>
    <row r="685" spans="1:2" x14ac:dyDescent="0.35">
      <c r="A685" s="17"/>
      <c r="B685" s="4"/>
    </row>
    <row r="686" spans="1:2" x14ac:dyDescent="0.35">
      <c r="A686" s="17"/>
      <c r="B686" s="4"/>
    </row>
    <row r="687" spans="1:2" x14ac:dyDescent="0.35">
      <c r="A687" s="17"/>
      <c r="B687" s="4"/>
    </row>
    <row r="688" spans="1:2" x14ac:dyDescent="0.35">
      <c r="A688" s="17"/>
      <c r="B688" s="4"/>
    </row>
    <row r="689" spans="1:2" x14ac:dyDescent="0.35">
      <c r="A689" s="17"/>
      <c r="B689" s="4"/>
    </row>
    <row r="690" spans="1:2" x14ac:dyDescent="0.35">
      <c r="A690" s="17"/>
      <c r="B690" s="4"/>
    </row>
    <row r="691" spans="1:2" x14ac:dyDescent="0.35">
      <c r="A691" s="17"/>
      <c r="B691" s="4"/>
    </row>
    <row r="692" spans="1:2" x14ac:dyDescent="0.35">
      <c r="A692" s="17"/>
      <c r="B692" s="4"/>
    </row>
    <row r="693" spans="1:2" x14ac:dyDescent="0.35">
      <c r="A693" s="17"/>
      <c r="B693" s="4"/>
    </row>
    <row r="694" spans="1:2" x14ac:dyDescent="0.35">
      <c r="A694" s="17"/>
      <c r="B694" s="4"/>
    </row>
    <row r="695" spans="1:2" x14ac:dyDescent="0.35">
      <c r="A695" s="17"/>
      <c r="B695" s="4"/>
    </row>
    <row r="696" spans="1:2" x14ac:dyDescent="0.35">
      <c r="A696" s="17"/>
      <c r="B696" s="4"/>
    </row>
    <row r="697" spans="1:2" x14ac:dyDescent="0.35">
      <c r="A697" s="17"/>
      <c r="B697" s="4"/>
    </row>
    <row r="698" spans="1:2" x14ac:dyDescent="0.35">
      <c r="A698" s="17"/>
      <c r="B698" s="4"/>
    </row>
    <row r="699" spans="1:2" x14ac:dyDescent="0.35">
      <c r="A699" s="17"/>
      <c r="B699" s="4"/>
    </row>
    <row r="700" spans="1:2" x14ac:dyDescent="0.35">
      <c r="A700" s="17"/>
      <c r="B700" s="4"/>
    </row>
    <row r="701" spans="1:2" x14ac:dyDescent="0.35">
      <c r="A701" s="17"/>
      <c r="B701" s="4"/>
    </row>
    <row r="702" spans="1:2" x14ac:dyDescent="0.35">
      <c r="A702" s="17"/>
      <c r="B702" s="4"/>
    </row>
    <row r="703" spans="1:2" x14ac:dyDescent="0.35">
      <c r="A703" s="17"/>
      <c r="B703" s="4"/>
    </row>
    <row r="704" spans="1:2" x14ac:dyDescent="0.35">
      <c r="A704" s="17"/>
      <c r="B704" s="4"/>
    </row>
    <row r="705" spans="1:2" x14ac:dyDescent="0.35">
      <c r="A705" s="17"/>
      <c r="B705" s="4"/>
    </row>
    <row r="706" spans="1:2" x14ac:dyDescent="0.35">
      <c r="A706" s="17"/>
      <c r="B706" s="4"/>
    </row>
    <row r="707" spans="1:2" x14ac:dyDescent="0.35">
      <c r="A707" s="17"/>
      <c r="B707" s="4"/>
    </row>
    <row r="708" spans="1:2" x14ac:dyDescent="0.35">
      <c r="A708" s="17"/>
      <c r="B708" s="4"/>
    </row>
    <row r="709" spans="1:2" x14ac:dyDescent="0.35">
      <c r="A709" s="17"/>
      <c r="B709" s="4"/>
    </row>
    <row r="710" spans="1:2" x14ac:dyDescent="0.35">
      <c r="A710" s="17"/>
      <c r="B710" s="4"/>
    </row>
    <row r="711" spans="1:2" x14ac:dyDescent="0.35">
      <c r="A711" s="17"/>
      <c r="B711" s="4"/>
    </row>
    <row r="712" spans="1:2" x14ac:dyDescent="0.35">
      <c r="A712" s="17"/>
      <c r="B712" s="4"/>
    </row>
    <row r="713" spans="1:2" x14ac:dyDescent="0.35">
      <c r="A713" s="17"/>
      <c r="B713" s="4"/>
    </row>
    <row r="714" spans="1:2" x14ac:dyDescent="0.35">
      <c r="A714" s="17"/>
      <c r="B714" s="4"/>
    </row>
    <row r="715" spans="1:2" x14ac:dyDescent="0.35">
      <c r="A715" s="17"/>
      <c r="B715" s="4"/>
    </row>
    <row r="716" spans="1:2" x14ac:dyDescent="0.35">
      <c r="A716" s="17"/>
      <c r="B716" s="4"/>
    </row>
    <row r="717" spans="1:2" x14ac:dyDescent="0.35">
      <c r="A717" s="17"/>
      <c r="B717" s="4"/>
    </row>
    <row r="718" spans="1:2" x14ac:dyDescent="0.35">
      <c r="A718" s="17"/>
      <c r="B718" s="4"/>
    </row>
    <row r="719" spans="1:2" x14ac:dyDescent="0.35">
      <c r="A719" s="17"/>
      <c r="B719" s="4"/>
    </row>
    <row r="720" spans="1:2" x14ac:dyDescent="0.35">
      <c r="A720" s="17"/>
      <c r="B720" s="4"/>
    </row>
    <row r="721" spans="1:2" x14ac:dyDescent="0.35">
      <c r="A721" s="17"/>
      <c r="B721" s="4"/>
    </row>
    <row r="722" spans="1:2" x14ac:dyDescent="0.35">
      <c r="A722" s="17"/>
      <c r="B722" s="4"/>
    </row>
    <row r="723" spans="1:2" x14ac:dyDescent="0.35">
      <c r="A723" s="17"/>
      <c r="B723" s="4"/>
    </row>
    <row r="724" spans="1:2" x14ac:dyDescent="0.35">
      <c r="A724" s="17"/>
      <c r="B724" s="4"/>
    </row>
    <row r="725" spans="1:2" x14ac:dyDescent="0.35">
      <c r="A725" s="17"/>
      <c r="B725" s="4"/>
    </row>
    <row r="726" spans="1:2" x14ac:dyDescent="0.35">
      <c r="A726" s="17"/>
      <c r="B726" s="4"/>
    </row>
    <row r="727" spans="1:2" x14ac:dyDescent="0.35">
      <c r="A727" s="17"/>
      <c r="B727" s="4"/>
    </row>
    <row r="728" spans="1:2" x14ac:dyDescent="0.35">
      <c r="A728" s="17"/>
      <c r="B728" s="4"/>
    </row>
    <row r="729" spans="1:2" x14ac:dyDescent="0.35">
      <c r="A729" s="17"/>
      <c r="B729" s="4"/>
    </row>
    <row r="730" spans="1:2" x14ac:dyDescent="0.35">
      <c r="A730" s="17"/>
      <c r="B730" s="4"/>
    </row>
    <row r="731" spans="1:2" x14ac:dyDescent="0.35">
      <c r="A731" s="17"/>
      <c r="B731" s="4"/>
    </row>
    <row r="732" spans="1:2" x14ac:dyDescent="0.35">
      <c r="A732" s="17"/>
      <c r="B732" s="4"/>
    </row>
    <row r="733" spans="1:2" x14ac:dyDescent="0.35">
      <c r="A733" s="17"/>
      <c r="B733" s="4"/>
    </row>
    <row r="734" spans="1:2" x14ac:dyDescent="0.35">
      <c r="A734" s="17"/>
      <c r="B734" s="4"/>
    </row>
    <row r="735" spans="1:2" x14ac:dyDescent="0.35">
      <c r="A735" s="17"/>
      <c r="B735" s="4"/>
    </row>
    <row r="736" spans="1:2" x14ac:dyDescent="0.35">
      <c r="A736" s="17"/>
      <c r="B736" s="4"/>
    </row>
    <row r="737" spans="1:2" x14ac:dyDescent="0.35">
      <c r="A737" s="17"/>
      <c r="B737" s="4"/>
    </row>
    <row r="738" spans="1:2" x14ac:dyDescent="0.35">
      <c r="A738" s="17"/>
      <c r="B738" s="4"/>
    </row>
    <row r="739" spans="1:2" x14ac:dyDescent="0.35">
      <c r="A739" s="17"/>
      <c r="B739" s="4"/>
    </row>
    <row r="740" spans="1:2" x14ac:dyDescent="0.35">
      <c r="A740" s="17"/>
      <c r="B740" s="4"/>
    </row>
    <row r="741" spans="1:2" x14ac:dyDescent="0.35">
      <c r="A741" s="17"/>
      <c r="B741" s="4"/>
    </row>
    <row r="742" spans="1:2" x14ac:dyDescent="0.35">
      <c r="A742" s="17"/>
      <c r="B742" s="4"/>
    </row>
    <row r="743" spans="1:2" x14ac:dyDescent="0.35">
      <c r="A743" s="17"/>
      <c r="B743" s="4"/>
    </row>
    <row r="744" spans="1:2" x14ac:dyDescent="0.35">
      <c r="A744" s="17"/>
      <c r="B744" s="4"/>
    </row>
    <row r="745" spans="1:2" x14ac:dyDescent="0.35">
      <c r="A745" s="17"/>
      <c r="B745" s="4"/>
    </row>
    <row r="746" spans="1:2" x14ac:dyDescent="0.35">
      <c r="A746" s="17"/>
      <c r="B746" s="4"/>
    </row>
    <row r="747" spans="1:2" x14ac:dyDescent="0.35">
      <c r="A747" s="17"/>
      <c r="B747" s="4"/>
    </row>
    <row r="748" spans="1:2" x14ac:dyDescent="0.35">
      <c r="A748" s="17"/>
      <c r="B748" s="4"/>
    </row>
    <row r="749" spans="1:2" x14ac:dyDescent="0.35">
      <c r="A749" s="17"/>
      <c r="B749" s="4"/>
    </row>
    <row r="750" spans="1:2" x14ac:dyDescent="0.35">
      <c r="A750" s="17"/>
      <c r="B750" s="4"/>
    </row>
    <row r="751" spans="1:2" x14ac:dyDescent="0.35">
      <c r="A751" s="17"/>
      <c r="B751" s="4"/>
    </row>
    <row r="752" spans="1:2" x14ac:dyDescent="0.35">
      <c r="A752" s="17"/>
      <c r="B752" s="4"/>
    </row>
    <row r="753" spans="1:2" x14ac:dyDescent="0.35">
      <c r="A753" s="17"/>
      <c r="B753" s="4"/>
    </row>
    <row r="754" spans="1:2" x14ac:dyDescent="0.35">
      <c r="A754" s="17"/>
      <c r="B754" s="4"/>
    </row>
    <row r="755" spans="1:2" x14ac:dyDescent="0.35">
      <c r="A755" s="17"/>
      <c r="B755" s="4"/>
    </row>
    <row r="756" spans="1:2" x14ac:dyDescent="0.35">
      <c r="A756" s="17"/>
      <c r="B756" s="4"/>
    </row>
    <row r="757" spans="1:2" x14ac:dyDescent="0.35">
      <c r="A757" s="17"/>
      <c r="B757" s="4"/>
    </row>
    <row r="758" spans="1:2" x14ac:dyDescent="0.35">
      <c r="A758" s="17"/>
      <c r="B758" s="4"/>
    </row>
    <row r="759" spans="1:2" x14ac:dyDescent="0.35">
      <c r="A759" s="17"/>
      <c r="B759" s="4"/>
    </row>
    <row r="760" spans="1:2" x14ac:dyDescent="0.35">
      <c r="A760" s="17"/>
      <c r="B760" s="4"/>
    </row>
    <row r="761" spans="1:2" x14ac:dyDescent="0.35">
      <c r="A761" s="17"/>
      <c r="B761" s="4"/>
    </row>
    <row r="762" spans="1:2" x14ac:dyDescent="0.35">
      <c r="A762" s="17"/>
      <c r="B762" s="4"/>
    </row>
    <row r="763" spans="1:2" x14ac:dyDescent="0.35">
      <c r="A763" s="17"/>
      <c r="B763" s="4"/>
    </row>
    <row r="764" spans="1:2" x14ac:dyDescent="0.35">
      <c r="A764" s="17"/>
      <c r="B764" s="4"/>
    </row>
    <row r="765" spans="1:2" x14ac:dyDescent="0.35">
      <c r="A765" s="17"/>
      <c r="B765" s="4"/>
    </row>
    <row r="766" spans="1:2" x14ac:dyDescent="0.35">
      <c r="A766" s="17"/>
      <c r="B766" s="4"/>
    </row>
    <row r="767" spans="1:2" x14ac:dyDescent="0.35">
      <c r="A767" s="17"/>
      <c r="B767" s="4"/>
    </row>
    <row r="768" spans="1:2" x14ac:dyDescent="0.35">
      <c r="A768" s="17"/>
      <c r="B768" s="4"/>
    </row>
    <row r="769" spans="1:2" x14ac:dyDescent="0.35">
      <c r="A769" s="17"/>
      <c r="B769" s="4"/>
    </row>
    <row r="770" spans="1:2" x14ac:dyDescent="0.35">
      <c r="A770" s="17"/>
      <c r="B770" s="4"/>
    </row>
    <row r="771" spans="1:2" x14ac:dyDescent="0.35">
      <c r="A771" s="17"/>
      <c r="B771" s="4"/>
    </row>
    <row r="772" spans="1:2" x14ac:dyDescent="0.35">
      <c r="A772" s="17"/>
      <c r="B772" s="4"/>
    </row>
    <row r="773" spans="1:2" x14ac:dyDescent="0.35">
      <c r="A773" s="17"/>
      <c r="B773" s="4"/>
    </row>
    <row r="774" spans="1:2" x14ac:dyDescent="0.35">
      <c r="A774" s="17"/>
      <c r="B774" s="4"/>
    </row>
    <row r="775" spans="1:2" x14ac:dyDescent="0.35">
      <c r="A775" s="17"/>
      <c r="B775" s="4"/>
    </row>
    <row r="776" spans="1:2" x14ac:dyDescent="0.35">
      <c r="A776" s="17"/>
      <c r="B776" s="4"/>
    </row>
    <row r="777" spans="1:2" x14ac:dyDescent="0.35">
      <c r="A777" s="17"/>
      <c r="B777" s="4"/>
    </row>
    <row r="778" spans="1:2" x14ac:dyDescent="0.35">
      <c r="A778" s="17"/>
      <c r="B778" s="4"/>
    </row>
    <row r="779" spans="1:2" x14ac:dyDescent="0.35">
      <c r="A779" s="17"/>
      <c r="B779" s="4"/>
    </row>
    <row r="780" spans="1:2" x14ac:dyDescent="0.35">
      <c r="A780" s="17"/>
      <c r="B780" s="4"/>
    </row>
    <row r="781" spans="1:2" x14ac:dyDescent="0.35">
      <c r="A781" s="17"/>
      <c r="B781" s="4"/>
    </row>
    <row r="782" spans="1:2" x14ac:dyDescent="0.35">
      <c r="A782" s="17"/>
      <c r="B782" s="4"/>
    </row>
    <row r="783" spans="1:2" x14ac:dyDescent="0.35">
      <c r="A783" s="17"/>
      <c r="B783" s="4"/>
    </row>
    <row r="784" spans="1:2" x14ac:dyDescent="0.35">
      <c r="A784" s="17"/>
      <c r="B784" s="4"/>
    </row>
    <row r="785" spans="1:2" x14ac:dyDescent="0.35">
      <c r="A785" s="17"/>
      <c r="B785" s="4"/>
    </row>
    <row r="786" spans="1:2" x14ac:dyDescent="0.35">
      <c r="A786" s="17"/>
      <c r="B786" s="4"/>
    </row>
    <row r="787" spans="1:2" x14ac:dyDescent="0.35">
      <c r="A787" s="17"/>
      <c r="B787" s="4"/>
    </row>
    <row r="788" spans="1:2" x14ac:dyDescent="0.35">
      <c r="A788" s="17"/>
      <c r="B788" s="4"/>
    </row>
    <row r="789" spans="1:2" x14ac:dyDescent="0.35">
      <c r="A789" s="17"/>
      <c r="B789" s="4"/>
    </row>
    <row r="790" spans="1:2" x14ac:dyDescent="0.35">
      <c r="A790" s="17"/>
      <c r="B790" s="4"/>
    </row>
    <row r="791" spans="1:2" x14ac:dyDescent="0.35">
      <c r="A791" s="17"/>
      <c r="B791" s="4"/>
    </row>
    <row r="792" spans="1:2" x14ac:dyDescent="0.35">
      <c r="A792" s="17"/>
      <c r="B792" s="4"/>
    </row>
    <row r="793" spans="1:2" x14ac:dyDescent="0.35">
      <c r="A793" s="17"/>
      <c r="B793" s="4"/>
    </row>
    <row r="794" spans="1:2" x14ac:dyDescent="0.35">
      <c r="A794" s="17"/>
      <c r="B794" s="4"/>
    </row>
    <row r="795" spans="1:2" x14ac:dyDescent="0.35">
      <c r="A795" s="17"/>
      <c r="B795" s="4"/>
    </row>
    <row r="796" spans="1:2" x14ac:dyDescent="0.35">
      <c r="A796" s="17"/>
      <c r="B796" s="4"/>
    </row>
    <row r="797" spans="1:2" x14ac:dyDescent="0.35">
      <c r="A797" s="17"/>
      <c r="B797" s="4"/>
    </row>
    <row r="798" spans="1:2" x14ac:dyDescent="0.35">
      <c r="A798" s="17"/>
      <c r="B798" s="4"/>
    </row>
    <row r="799" spans="1:2" x14ac:dyDescent="0.35">
      <c r="A799" s="17"/>
      <c r="B799" s="4"/>
    </row>
    <row r="800" spans="1:2" x14ac:dyDescent="0.35">
      <c r="A800" s="17"/>
      <c r="B800" s="4"/>
    </row>
    <row r="801" spans="1:2" x14ac:dyDescent="0.35">
      <c r="A801" s="17"/>
      <c r="B801" s="4"/>
    </row>
    <row r="802" spans="1:2" x14ac:dyDescent="0.35">
      <c r="A802" s="17"/>
      <c r="B802" s="4"/>
    </row>
    <row r="803" spans="1:2" x14ac:dyDescent="0.35">
      <c r="A803" s="17"/>
      <c r="B803" s="4"/>
    </row>
    <row r="804" spans="1:2" x14ac:dyDescent="0.35">
      <c r="A804" s="17"/>
      <c r="B804" s="4"/>
    </row>
    <row r="805" spans="1:2" x14ac:dyDescent="0.35">
      <c r="A805" s="17"/>
      <c r="B805" s="4"/>
    </row>
    <row r="806" spans="1:2" x14ac:dyDescent="0.35">
      <c r="A806" s="17"/>
      <c r="B806" s="4"/>
    </row>
    <row r="807" spans="1:2" x14ac:dyDescent="0.35">
      <c r="A807" s="17"/>
      <c r="B807" s="4"/>
    </row>
    <row r="808" spans="1:2" x14ac:dyDescent="0.35">
      <c r="A808" s="17"/>
      <c r="B808" s="4"/>
    </row>
    <row r="809" spans="1:2" x14ac:dyDescent="0.35">
      <c r="A809" s="17"/>
      <c r="B809" s="4"/>
    </row>
    <row r="810" spans="1:2" x14ac:dyDescent="0.35">
      <c r="A810" s="17"/>
      <c r="B810" s="4"/>
    </row>
    <row r="811" spans="1:2" x14ac:dyDescent="0.35">
      <c r="A811" s="17"/>
      <c r="B811" s="4"/>
    </row>
    <row r="812" spans="1:2" x14ac:dyDescent="0.35">
      <c r="A812" s="17"/>
      <c r="B812" s="4"/>
    </row>
    <row r="813" spans="1:2" x14ac:dyDescent="0.35">
      <c r="A813" s="17"/>
      <c r="B813" s="4"/>
    </row>
    <row r="814" spans="1:2" x14ac:dyDescent="0.35">
      <c r="A814" s="17"/>
      <c r="B814" s="4"/>
    </row>
    <row r="815" spans="1:2" x14ac:dyDescent="0.35">
      <c r="A815" s="17"/>
      <c r="B815" s="4"/>
    </row>
    <row r="816" spans="1:2" x14ac:dyDescent="0.35">
      <c r="A816" s="17"/>
      <c r="B816" s="4"/>
    </row>
    <row r="817" spans="1:2" x14ac:dyDescent="0.35">
      <c r="A817" s="17"/>
      <c r="B817" s="4"/>
    </row>
    <row r="818" spans="1:2" x14ac:dyDescent="0.35">
      <c r="A818" s="17"/>
      <c r="B818" s="4"/>
    </row>
    <row r="819" spans="1:2" x14ac:dyDescent="0.35">
      <c r="A819" s="17"/>
      <c r="B819" s="4"/>
    </row>
    <row r="820" spans="1:2" x14ac:dyDescent="0.35">
      <c r="A820" s="17"/>
      <c r="B820" s="4"/>
    </row>
    <row r="821" spans="1:2" x14ac:dyDescent="0.35">
      <c r="A821" s="17"/>
      <c r="B821" s="4"/>
    </row>
    <row r="822" spans="1:2" x14ac:dyDescent="0.35">
      <c r="A822" s="17"/>
      <c r="B822" s="4"/>
    </row>
    <row r="823" spans="1:2" x14ac:dyDescent="0.35">
      <c r="A823" s="17"/>
      <c r="B823" s="4"/>
    </row>
    <row r="824" spans="1:2" x14ac:dyDescent="0.35">
      <c r="A824" s="17"/>
      <c r="B824" s="4"/>
    </row>
    <row r="825" spans="1:2" x14ac:dyDescent="0.35">
      <c r="A825" s="17"/>
      <c r="B825" s="4"/>
    </row>
    <row r="826" spans="1:2" x14ac:dyDescent="0.35">
      <c r="A826" s="17"/>
      <c r="B826" s="4"/>
    </row>
    <row r="827" spans="1:2" x14ac:dyDescent="0.35">
      <c r="A827" s="17"/>
      <c r="B827" s="4"/>
    </row>
    <row r="828" spans="1:2" x14ac:dyDescent="0.35">
      <c r="A828" s="17"/>
      <c r="B828" s="4"/>
    </row>
    <row r="829" spans="1:2" x14ac:dyDescent="0.35">
      <c r="A829" s="17"/>
      <c r="B829" s="4"/>
    </row>
    <row r="830" spans="1:2" x14ac:dyDescent="0.35">
      <c r="A830" s="17"/>
      <c r="B830" s="4"/>
    </row>
    <row r="831" spans="1:2" x14ac:dyDescent="0.35">
      <c r="A831" s="17"/>
      <c r="B831" s="4"/>
    </row>
    <row r="832" spans="1:2" x14ac:dyDescent="0.35">
      <c r="A832" s="17"/>
      <c r="B832" s="4"/>
    </row>
    <row r="833" spans="1:2" x14ac:dyDescent="0.35">
      <c r="A833" s="17"/>
      <c r="B833" s="4"/>
    </row>
    <row r="834" spans="1:2" x14ac:dyDescent="0.35">
      <c r="A834" s="17"/>
      <c r="B834" s="4"/>
    </row>
    <row r="835" spans="1:2" x14ac:dyDescent="0.35">
      <c r="A835" s="17"/>
      <c r="B835" s="4"/>
    </row>
    <row r="836" spans="1:2" x14ac:dyDescent="0.35">
      <c r="A836" s="17"/>
      <c r="B836" s="4"/>
    </row>
    <row r="837" spans="1:2" x14ac:dyDescent="0.35">
      <c r="A837" s="17"/>
      <c r="B837" s="4"/>
    </row>
    <row r="838" spans="1:2" x14ac:dyDescent="0.35">
      <c r="A838" s="17"/>
      <c r="B838" s="4"/>
    </row>
    <row r="839" spans="1:2" x14ac:dyDescent="0.35">
      <c r="A839" s="17"/>
      <c r="B839" s="4"/>
    </row>
    <row r="840" spans="1:2" x14ac:dyDescent="0.35">
      <c r="A840" s="17"/>
      <c r="B840" s="4"/>
    </row>
    <row r="841" spans="1:2" x14ac:dyDescent="0.35">
      <c r="A841" s="17"/>
      <c r="B841" s="4"/>
    </row>
    <row r="842" spans="1:2" x14ac:dyDescent="0.35">
      <c r="A842" s="17"/>
      <c r="B842" s="4"/>
    </row>
    <row r="843" spans="1:2" x14ac:dyDescent="0.35">
      <c r="A843" s="17"/>
      <c r="B843" s="4"/>
    </row>
    <row r="844" spans="1:2" x14ac:dyDescent="0.35">
      <c r="A844" s="17"/>
      <c r="B844" s="4"/>
    </row>
    <row r="845" spans="1:2" x14ac:dyDescent="0.35">
      <c r="A845" s="17"/>
      <c r="B845" s="4"/>
    </row>
    <row r="846" spans="1:2" x14ac:dyDescent="0.35">
      <c r="A846" s="17"/>
      <c r="B846" s="4"/>
    </row>
    <row r="847" spans="1:2" x14ac:dyDescent="0.35">
      <c r="A847" s="17"/>
      <c r="B847" s="4"/>
    </row>
    <row r="848" spans="1:2" x14ac:dyDescent="0.35">
      <c r="A848" s="17"/>
      <c r="B848" s="4"/>
    </row>
    <row r="849" spans="1:2" x14ac:dyDescent="0.35">
      <c r="A849" s="17"/>
      <c r="B849" s="4"/>
    </row>
    <row r="850" spans="1:2" x14ac:dyDescent="0.35">
      <c r="A850" s="17"/>
      <c r="B850" s="4"/>
    </row>
    <row r="851" spans="1:2" x14ac:dyDescent="0.35">
      <c r="A851" s="17"/>
      <c r="B851" s="4"/>
    </row>
    <row r="852" spans="1:2" x14ac:dyDescent="0.35">
      <c r="A852" s="17"/>
      <c r="B852" s="4"/>
    </row>
    <row r="853" spans="1:2" x14ac:dyDescent="0.35">
      <c r="A853" s="17"/>
      <c r="B853" s="4"/>
    </row>
    <row r="854" spans="1:2" x14ac:dyDescent="0.35">
      <c r="A854" s="17"/>
      <c r="B854" s="4"/>
    </row>
    <row r="855" spans="1:2" x14ac:dyDescent="0.35">
      <c r="A855" s="17"/>
      <c r="B855" s="4"/>
    </row>
    <row r="856" spans="1:2" x14ac:dyDescent="0.35">
      <c r="A856" s="17"/>
      <c r="B856" s="4"/>
    </row>
    <row r="857" spans="1:2" x14ac:dyDescent="0.35">
      <c r="A857" s="17"/>
      <c r="B857" s="4"/>
    </row>
    <row r="858" spans="1:2" x14ac:dyDescent="0.35">
      <c r="A858" s="17"/>
      <c r="B858" s="4"/>
    </row>
    <row r="859" spans="1:2" x14ac:dyDescent="0.35">
      <c r="A859" s="17"/>
      <c r="B859" s="4"/>
    </row>
    <row r="860" spans="1:2" x14ac:dyDescent="0.35">
      <c r="A860" s="17"/>
      <c r="B860" s="4"/>
    </row>
    <row r="861" spans="1:2" x14ac:dyDescent="0.35">
      <c r="A861" s="17"/>
      <c r="B861" s="4"/>
    </row>
    <row r="862" spans="1:2" x14ac:dyDescent="0.35">
      <c r="A862" s="17"/>
      <c r="B862" s="4"/>
    </row>
    <row r="863" spans="1:2" x14ac:dyDescent="0.35">
      <c r="A863" s="17"/>
      <c r="B863" s="4"/>
    </row>
    <row r="864" spans="1:2" x14ac:dyDescent="0.35">
      <c r="A864" s="17"/>
      <c r="B864" s="4"/>
    </row>
    <row r="865" spans="1:2" x14ac:dyDescent="0.35">
      <c r="A865" s="17"/>
      <c r="B865" s="4"/>
    </row>
    <row r="866" spans="1:2" x14ac:dyDescent="0.35">
      <c r="A866" s="17"/>
      <c r="B866" s="4"/>
    </row>
    <row r="867" spans="1:2" x14ac:dyDescent="0.35">
      <c r="A867" s="17"/>
      <c r="B867" s="4"/>
    </row>
    <row r="868" spans="1:2" x14ac:dyDescent="0.35">
      <c r="A868" s="17"/>
      <c r="B868" s="4"/>
    </row>
    <row r="869" spans="1:2" x14ac:dyDescent="0.35">
      <c r="A869" s="17"/>
      <c r="B869" s="4"/>
    </row>
    <row r="870" spans="1:2" x14ac:dyDescent="0.35">
      <c r="A870" s="17"/>
      <c r="B870" s="4"/>
    </row>
    <row r="871" spans="1:2" x14ac:dyDescent="0.35">
      <c r="A871" s="17"/>
      <c r="B871" s="4"/>
    </row>
    <row r="872" spans="1:2" x14ac:dyDescent="0.35">
      <c r="A872" s="17"/>
      <c r="B872" s="4"/>
    </row>
    <row r="873" spans="1:2" x14ac:dyDescent="0.35">
      <c r="A873" s="17"/>
      <c r="B873" s="4"/>
    </row>
    <row r="874" spans="1:2" x14ac:dyDescent="0.35">
      <c r="A874" s="17"/>
      <c r="B874" s="4"/>
    </row>
    <row r="875" spans="1:2" x14ac:dyDescent="0.35">
      <c r="A875" s="17"/>
      <c r="B875" s="4"/>
    </row>
    <row r="876" spans="1:2" x14ac:dyDescent="0.35">
      <c r="A876" s="17"/>
      <c r="B876" s="4"/>
    </row>
    <row r="877" spans="1:2" x14ac:dyDescent="0.35">
      <c r="A877" s="17"/>
      <c r="B877" s="4"/>
    </row>
    <row r="878" spans="1:2" x14ac:dyDescent="0.35">
      <c r="A878" s="17"/>
      <c r="B878" s="4"/>
    </row>
    <row r="879" spans="1:2" x14ac:dyDescent="0.35">
      <c r="A879" s="17"/>
      <c r="B879" s="4"/>
    </row>
    <row r="880" spans="1:2" x14ac:dyDescent="0.35">
      <c r="A880" s="17"/>
      <c r="B880" s="4"/>
    </row>
    <row r="881" spans="1:2" x14ac:dyDescent="0.35">
      <c r="A881" s="17"/>
      <c r="B881" s="4"/>
    </row>
    <row r="882" spans="1:2" x14ac:dyDescent="0.35">
      <c r="A882" s="17"/>
      <c r="B882" s="4"/>
    </row>
    <row r="883" spans="1:2" x14ac:dyDescent="0.35">
      <c r="A883" s="17"/>
      <c r="B883" s="4"/>
    </row>
    <row r="884" spans="1:2" x14ac:dyDescent="0.35">
      <c r="A884" s="17"/>
      <c r="B884" s="4"/>
    </row>
    <row r="885" spans="1:2" x14ac:dyDescent="0.35">
      <c r="A885" s="17"/>
      <c r="B885" s="4"/>
    </row>
    <row r="886" spans="1:2" x14ac:dyDescent="0.35">
      <c r="A886" s="17"/>
      <c r="B886" s="4"/>
    </row>
    <row r="887" spans="1:2" x14ac:dyDescent="0.35">
      <c r="A887" s="17"/>
      <c r="B887" s="4"/>
    </row>
    <row r="888" spans="1:2" x14ac:dyDescent="0.35">
      <c r="A888" s="17"/>
      <c r="B888" s="4"/>
    </row>
    <row r="889" spans="1:2" x14ac:dyDescent="0.35">
      <c r="A889" s="17"/>
      <c r="B889" s="4"/>
    </row>
    <row r="890" spans="1:2" x14ac:dyDescent="0.35">
      <c r="A890" s="17"/>
      <c r="B890" s="4"/>
    </row>
    <row r="891" spans="1:2" x14ac:dyDescent="0.35">
      <c r="A891" s="17"/>
      <c r="B891" s="4"/>
    </row>
    <row r="892" spans="1:2" x14ac:dyDescent="0.35">
      <c r="A892" s="17"/>
      <c r="B892" s="4"/>
    </row>
    <row r="893" spans="1:2" x14ac:dyDescent="0.35">
      <c r="A893" s="17"/>
      <c r="B893" s="4"/>
    </row>
    <row r="894" spans="1:2" x14ac:dyDescent="0.35">
      <c r="A894" s="17"/>
      <c r="B894" s="4"/>
    </row>
    <row r="895" spans="1:2" x14ac:dyDescent="0.35">
      <c r="A895" s="17"/>
      <c r="B895" s="4"/>
    </row>
    <row r="896" spans="1:2" x14ac:dyDescent="0.35">
      <c r="A896" s="17"/>
      <c r="B896" s="4"/>
    </row>
    <row r="897" spans="1:2" x14ac:dyDescent="0.35">
      <c r="A897" s="17"/>
      <c r="B897" s="4"/>
    </row>
    <row r="898" spans="1:2" x14ac:dyDescent="0.35">
      <c r="A898" s="17"/>
      <c r="B898" s="4"/>
    </row>
    <row r="899" spans="1:2" x14ac:dyDescent="0.35">
      <c r="A899" s="17"/>
      <c r="B899" s="4"/>
    </row>
    <row r="900" spans="1:2" x14ac:dyDescent="0.35">
      <c r="A900" s="17"/>
      <c r="B900" s="4"/>
    </row>
    <row r="901" spans="1:2" x14ac:dyDescent="0.35">
      <c r="A901" s="17"/>
      <c r="B901" s="4"/>
    </row>
    <row r="902" spans="1:2" x14ac:dyDescent="0.35">
      <c r="A902" s="17"/>
      <c r="B902" s="4"/>
    </row>
    <row r="903" spans="1:2" x14ac:dyDescent="0.35">
      <c r="A903" s="17"/>
      <c r="B903" s="4"/>
    </row>
    <row r="904" spans="1:2" x14ac:dyDescent="0.35">
      <c r="A904" s="17"/>
      <c r="B904" s="4"/>
    </row>
    <row r="905" spans="1:2" x14ac:dyDescent="0.35">
      <c r="A905" s="17"/>
      <c r="B905" s="4"/>
    </row>
    <row r="906" spans="1:2" x14ac:dyDescent="0.35">
      <c r="A906" s="17"/>
      <c r="B906" s="4"/>
    </row>
    <row r="907" spans="1:2" x14ac:dyDescent="0.35">
      <c r="A907" s="17"/>
      <c r="B907" s="4"/>
    </row>
    <row r="908" spans="1:2" x14ac:dyDescent="0.35">
      <c r="A908" s="17"/>
      <c r="B908" s="4"/>
    </row>
    <row r="909" spans="1:2" x14ac:dyDescent="0.35">
      <c r="A909" s="17"/>
      <c r="B909" s="4"/>
    </row>
    <row r="910" spans="1:2" x14ac:dyDescent="0.35">
      <c r="A910" s="17"/>
      <c r="B910" s="4"/>
    </row>
    <row r="911" spans="1:2" x14ac:dyDescent="0.35">
      <c r="A911" s="17"/>
      <c r="B911" s="4"/>
    </row>
    <row r="912" spans="1:2" x14ac:dyDescent="0.35">
      <c r="A912" s="17"/>
      <c r="B912" s="4"/>
    </row>
    <row r="913" spans="1:2" x14ac:dyDescent="0.35">
      <c r="A913" s="17"/>
      <c r="B913" s="4"/>
    </row>
    <row r="914" spans="1:2" x14ac:dyDescent="0.35">
      <c r="A914" s="17"/>
      <c r="B914" s="4"/>
    </row>
    <row r="915" spans="1:2" x14ac:dyDescent="0.35">
      <c r="A915" s="17"/>
      <c r="B915" s="4"/>
    </row>
    <row r="916" spans="1:2" x14ac:dyDescent="0.35">
      <c r="A916" s="17"/>
      <c r="B916" s="4"/>
    </row>
    <row r="917" spans="1:2" x14ac:dyDescent="0.35">
      <c r="A917" s="17"/>
      <c r="B917" s="4"/>
    </row>
    <row r="918" spans="1:2" x14ac:dyDescent="0.35">
      <c r="A918" s="17"/>
      <c r="B918" s="4"/>
    </row>
    <row r="919" spans="1:2" x14ac:dyDescent="0.35">
      <c r="A919" s="17"/>
      <c r="B919" s="4"/>
    </row>
    <row r="920" spans="1:2" x14ac:dyDescent="0.35">
      <c r="A920" s="17"/>
      <c r="B920" s="4"/>
    </row>
    <row r="921" spans="1:2" x14ac:dyDescent="0.35">
      <c r="A921" s="17"/>
      <c r="B921" s="4"/>
    </row>
    <row r="922" spans="1:2" x14ac:dyDescent="0.35">
      <c r="A922" s="17"/>
      <c r="B922" s="4"/>
    </row>
    <row r="923" spans="1:2" x14ac:dyDescent="0.35">
      <c r="A923" s="17"/>
      <c r="B923" s="4"/>
    </row>
    <row r="924" spans="1:2" x14ac:dyDescent="0.35">
      <c r="A924" s="17"/>
      <c r="B924" s="4"/>
    </row>
    <row r="925" spans="1:2" x14ac:dyDescent="0.35">
      <c r="A925" s="17"/>
      <c r="B925" s="4"/>
    </row>
    <row r="926" spans="1:2" x14ac:dyDescent="0.35">
      <c r="A926" s="17"/>
      <c r="B926" s="4"/>
    </row>
    <row r="927" spans="1:2" x14ac:dyDescent="0.35">
      <c r="A927" s="17"/>
      <c r="B927" s="4"/>
    </row>
    <row r="928" spans="1:2" x14ac:dyDescent="0.35">
      <c r="A928" s="17"/>
      <c r="B928" s="4"/>
    </row>
    <row r="929" spans="1:2" x14ac:dyDescent="0.35">
      <c r="A929" s="17"/>
      <c r="B929" s="4"/>
    </row>
    <row r="930" spans="1:2" x14ac:dyDescent="0.35">
      <c r="A930" s="17"/>
      <c r="B930" s="4"/>
    </row>
    <row r="931" spans="1:2" x14ac:dyDescent="0.35">
      <c r="A931" s="17"/>
      <c r="B931" s="4"/>
    </row>
    <row r="932" spans="1:2" x14ac:dyDescent="0.35">
      <c r="A932" s="17"/>
      <c r="B932" s="4"/>
    </row>
    <row r="933" spans="1:2" x14ac:dyDescent="0.35">
      <c r="A933" s="17"/>
      <c r="B933" s="4"/>
    </row>
    <row r="934" spans="1:2" x14ac:dyDescent="0.35">
      <c r="A934" s="17"/>
      <c r="B934" s="4"/>
    </row>
    <row r="935" spans="1:2" x14ac:dyDescent="0.35">
      <c r="A935" s="17"/>
      <c r="B935" s="4"/>
    </row>
    <row r="936" spans="1:2" x14ac:dyDescent="0.35">
      <c r="A936" s="17"/>
      <c r="B936" s="4"/>
    </row>
    <row r="937" spans="1:2" x14ac:dyDescent="0.35">
      <c r="A937" s="17"/>
      <c r="B937" s="4"/>
    </row>
    <row r="938" spans="1:2" x14ac:dyDescent="0.35">
      <c r="A938" s="17"/>
      <c r="B938" s="4"/>
    </row>
    <row r="939" spans="1:2" x14ac:dyDescent="0.35">
      <c r="A939" s="17"/>
      <c r="B939" s="4"/>
    </row>
    <row r="940" spans="1:2" x14ac:dyDescent="0.35">
      <c r="A940" s="17"/>
      <c r="B940" s="4"/>
    </row>
    <row r="941" spans="1:2" x14ac:dyDescent="0.35">
      <c r="A941" s="17"/>
      <c r="B941" s="4"/>
    </row>
    <row r="942" spans="1:2" x14ac:dyDescent="0.35">
      <c r="A942" s="17"/>
      <c r="B942" s="4"/>
    </row>
    <row r="943" spans="1:2" x14ac:dyDescent="0.35">
      <c r="A943" s="17"/>
      <c r="B943" s="4"/>
    </row>
    <row r="944" spans="1:2" x14ac:dyDescent="0.35">
      <c r="A944" s="17"/>
      <c r="B944" s="4"/>
    </row>
    <row r="945" spans="1:2" x14ac:dyDescent="0.35">
      <c r="A945" s="17"/>
      <c r="B945" s="4"/>
    </row>
    <row r="946" spans="1:2" x14ac:dyDescent="0.35">
      <c r="A946" s="17"/>
      <c r="B946" s="4"/>
    </row>
    <row r="947" spans="1:2" x14ac:dyDescent="0.35">
      <c r="A947" s="17"/>
      <c r="B947" s="4"/>
    </row>
    <row r="948" spans="1:2" x14ac:dyDescent="0.35">
      <c r="A948" s="17"/>
      <c r="B948" s="4"/>
    </row>
    <row r="949" spans="1:2" x14ac:dyDescent="0.35">
      <c r="A949" s="17"/>
      <c r="B949" s="4"/>
    </row>
    <row r="950" spans="1:2" x14ac:dyDescent="0.35">
      <c r="A950" s="17"/>
      <c r="B950" s="4"/>
    </row>
    <row r="951" spans="1:2" x14ac:dyDescent="0.35">
      <c r="A951" s="17"/>
      <c r="B951" s="4"/>
    </row>
    <row r="952" spans="1:2" x14ac:dyDescent="0.35">
      <c r="A952" s="17"/>
      <c r="B952" s="4"/>
    </row>
    <row r="953" spans="1:2" x14ac:dyDescent="0.35">
      <c r="A953" s="17"/>
      <c r="B953" s="4"/>
    </row>
    <row r="954" spans="1:2" x14ac:dyDescent="0.35">
      <c r="A954" s="17"/>
      <c r="B954" s="4"/>
    </row>
    <row r="955" spans="1:2" x14ac:dyDescent="0.35">
      <c r="A955" s="17"/>
      <c r="B955" s="4"/>
    </row>
    <row r="956" spans="1:2" x14ac:dyDescent="0.35">
      <c r="A956" s="17"/>
      <c r="B956" s="4"/>
    </row>
    <row r="957" spans="1:2" x14ac:dyDescent="0.35">
      <c r="A957" s="17"/>
      <c r="B957" s="4"/>
    </row>
    <row r="958" spans="1:2" x14ac:dyDescent="0.35">
      <c r="A958" s="17"/>
      <c r="B958" s="4"/>
    </row>
    <row r="959" spans="1:2" x14ac:dyDescent="0.35">
      <c r="A959" s="17"/>
      <c r="B959" s="4"/>
    </row>
    <row r="960" spans="1:2" x14ac:dyDescent="0.35">
      <c r="A960" s="17"/>
      <c r="B960" s="4"/>
    </row>
    <row r="961" spans="1:2" x14ac:dyDescent="0.35">
      <c r="A961" s="17"/>
      <c r="B961" s="4"/>
    </row>
    <row r="962" spans="1:2" x14ac:dyDescent="0.35">
      <c r="A962" s="17"/>
      <c r="B962" s="4"/>
    </row>
    <row r="963" spans="1:2" x14ac:dyDescent="0.35">
      <c r="A963" s="17"/>
      <c r="B963" s="4"/>
    </row>
    <row r="964" spans="1:2" x14ac:dyDescent="0.35">
      <c r="A964" s="17"/>
      <c r="B964" s="4"/>
    </row>
    <row r="965" spans="1:2" x14ac:dyDescent="0.35">
      <c r="A965" s="17"/>
      <c r="B965" s="4"/>
    </row>
    <row r="966" spans="1:2" x14ac:dyDescent="0.35">
      <c r="A966" s="17"/>
      <c r="B966" s="4"/>
    </row>
    <row r="967" spans="1:2" x14ac:dyDescent="0.35">
      <c r="A967" s="17"/>
      <c r="B967" s="4"/>
    </row>
    <row r="968" spans="1:2" x14ac:dyDescent="0.35">
      <c r="A968" s="17"/>
      <c r="B968" s="4"/>
    </row>
    <row r="969" spans="1:2" x14ac:dyDescent="0.35">
      <c r="A969" s="17"/>
      <c r="B969" s="4"/>
    </row>
    <row r="970" spans="1:2" x14ac:dyDescent="0.35">
      <c r="A970" s="17"/>
      <c r="B970" s="4"/>
    </row>
    <row r="971" spans="1:2" x14ac:dyDescent="0.35">
      <c r="A971" s="17"/>
      <c r="B971" s="4"/>
    </row>
    <row r="972" spans="1:2" x14ac:dyDescent="0.35">
      <c r="A972" s="17"/>
      <c r="B972" s="4"/>
    </row>
    <row r="973" spans="1:2" x14ac:dyDescent="0.35">
      <c r="A973" s="17"/>
      <c r="B973" s="4"/>
    </row>
    <row r="974" spans="1:2" x14ac:dyDescent="0.35">
      <c r="A974" s="17"/>
      <c r="B974" s="4"/>
    </row>
    <row r="975" spans="1:2" x14ac:dyDescent="0.35">
      <c r="A975" s="17"/>
      <c r="B975" s="4"/>
    </row>
    <row r="976" spans="1:2" x14ac:dyDescent="0.35">
      <c r="A976" s="17"/>
      <c r="B976" s="4"/>
    </row>
    <row r="977" spans="1:2" x14ac:dyDescent="0.35">
      <c r="A977" s="17"/>
      <c r="B977" s="4"/>
    </row>
    <row r="978" spans="1:2" x14ac:dyDescent="0.35">
      <c r="A978" s="17"/>
      <c r="B978" s="4"/>
    </row>
    <row r="979" spans="1:2" x14ac:dyDescent="0.35">
      <c r="A979" s="17"/>
      <c r="B979" s="4"/>
    </row>
    <row r="980" spans="1:2" x14ac:dyDescent="0.35">
      <c r="A980" s="17"/>
      <c r="B980" s="4"/>
    </row>
    <row r="981" spans="1:2" x14ac:dyDescent="0.35">
      <c r="A981" s="17"/>
      <c r="B981" s="4"/>
    </row>
    <row r="982" spans="1:2" x14ac:dyDescent="0.35">
      <c r="A982" s="17"/>
      <c r="B982" s="4"/>
    </row>
    <row r="983" spans="1:2" x14ac:dyDescent="0.35">
      <c r="A983" s="17"/>
      <c r="B983" s="4"/>
    </row>
    <row r="984" spans="1:2" x14ac:dyDescent="0.35">
      <c r="A984" s="17"/>
      <c r="B984" s="4"/>
    </row>
    <row r="985" spans="1:2" x14ac:dyDescent="0.35">
      <c r="A985" s="17"/>
      <c r="B985" s="4"/>
    </row>
    <row r="986" spans="1:2" x14ac:dyDescent="0.35">
      <c r="A986" s="17"/>
      <c r="B986" s="4"/>
    </row>
    <row r="987" spans="1:2" x14ac:dyDescent="0.35">
      <c r="A987" s="17"/>
      <c r="B987" s="4"/>
    </row>
    <row r="988" spans="1:2" x14ac:dyDescent="0.35">
      <c r="A988" s="17"/>
      <c r="B988" s="4"/>
    </row>
    <row r="989" spans="1:2" x14ac:dyDescent="0.35">
      <c r="A989" s="17"/>
      <c r="B989" s="4"/>
    </row>
    <row r="990" spans="1:2" x14ac:dyDescent="0.35">
      <c r="A990" s="17"/>
      <c r="B990" s="4"/>
    </row>
    <row r="991" spans="1:2" x14ac:dyDescent="0.35">
      <c r="A991" s="17"/>
      <c r="B991" s="4"/>
    </row>
    <row r="992" spans="1:2" x14ac:dyDescent="0.35">
      <c r="A992" s="17"/>
      <c r="B992" s="4"/>
    </row>
    <row r="993" spans="1:2" x14ac:dyDescent="0.35">
      <c r="A993" s="17"/>
      <c r="B993" s="4"/>
    </row>
    <row r="994" spans="1:2" x14ac:dyDescent="0.35">
      <c r="A994" s="17"/>
      <c r="B994" s="4"/>
    </row>
    <row r="995" spans="1:2" x14ac:dyDescent="0.35">
      <c r="A995" s="17"/>
      <c r="B995" s="4"/>
    </row>
    <row r="996" spans="1:2" x14ac:dyDescent="0.35">
      <c r="A996" s="17"/>
      <c r="B996" s="4"/>
    </row>
    <row r="997" spans="1:2" x14ac:dyDescent="0.35">
      <c r="A997" s="17"/>
      <c r="B997" s="4"/>
    </row>
    <row r="998" spans="1:2" x14ac:dyDescent="0.35">
      <c r="A998" s="17"/>
      <c r="B998" s="4"/>
    </row>
    <row r="999" spans="1:2" x14ac:dyDescent="0.35">
      <c r="A999" s="17"/>
      <c r="B999" s="4"/>
    </row>
    <row r="1000" spans="1:2" x14ac:dyDescent="0.35">
      <c r="A1000" s="17"/>
      <c r="B100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B27" sqref="B27"/>
    </sheetView>
  </sheetViews>
  <sheetFormatPr defaultColWidth="14.453125" defaultRowHeight="15" customHeight="1" x14ac:dyDescent="0.35"/>
  <cols>
    <col min="1" max="1" width="22.54296875" customWidth="1"/>
    <col min="2" max="2" width="15.26953125" customWidth="1"/>
    <col min="3" max="3" width="15.36328125" customWidth="1"/>
    <col min="4" max="4" width="11.26953125" customWidth="1"/>
    <col min="5" max="5" width="17.36328125" customWidth="1"/>
    <col min="6" max="6" width="17.81640625" customWidth="1"/>
    <col min="7" max="7" width="15.26953125" customWidth="1"/>
    <col min="8" max="8" width="12.54296875" customWidth="1"/>
    <col min="9" max="9" width="12.26953125" customWidth="1"/>
    <col min="10" max="22" width="8.7265625" customWidth="1"/>
  </cols>
  <sheetData>
    <row r="1" spans="1:9" ht="14.25" customHeight="1" x14ac:dyDescent="0.35">
      <c r="A1" s="1" t="s">
        <v>37</v>
      </c>
      <c r="B1" s="1" t="s">
        <v>0</v>
      </c>
      <c r="C1" s="2" t="s">
        <v>38</v>
      </c>
      <c r="D1" s="1" t="s">
        <v>39</v>
      </c>
      <c r="E1" s="2" t="s">
        <v>40</v>
      </c>
      <c r="F1" s="2" t="s">
        <v>41</v>
      </c>
      <c r="G1" s="2" t="s">
        <v>42</v>
      </c>
      <c r="H1" s="5" t="s">
        <v>64</v>
      </c>
      <c r="I1" s="5" t="s">
        <v>65</v>
      </c>
    </row>
    <row r="2" spans="1:9" ht="14.25" customHeight="1" x14ac:dyDescent="0.35">
      <c r="A2" s="3" t="s">
        <v>27</v>
      </c>
      <c r="B2" s="3" t="s">
        <v>5</v>
      </c>
      <c r="C2" s="3">
        <v>1135</v>
      </c>
      <c r="D2" s="3">
        <v>88</v>
      </c>
      <c r="E2" s="3">
        <v>344084</v>
      </c>
      <c r="F2" s="3">
        <v>8.06</v>
      </c>
      <c r="G2" s="7">
        <v>5904</v>
      </c>
      <c r="H2">
        <f t="shared" ref="H2:H33" si="0">C2-D2</f>
        <v>1047</v>
      </c>
      <c r="I2" s="6">
        <f t="shared" ref="I2:I33" si="1">C2/E2*100</f>
        <v>0.32986131293521348</v>
      </c>
    </row>
    <row r="3" spans="1:9" ht="14.25" customHeight="1" x14ac:dyDescent="0.35">
      <c r="A3" s="3" t="s">
        <v>27</v>
      </c>
      <c r="B3" s="3" t="s">
        <v>7</v>
      </c>
      <c r="C3" s="3">
        <v>1312</v>
      </c>
      <c r="D3" s="3">
        <v>310</v>
      </c>
      <c r="E3" s="3">
        <v>42654</v>
      </c>
      <c r="F3" s="3">
        <v>4.9800000000000004</v>
      </c>
      <c r="G3" s="7">
        <v>9566</v>
      </c>
      <c r="H3">
        <f t="shared" si="0"/>
        <v>1002</v>
      </c>
      <c r="I3" s="6">
        <f t="shared" si="1"/>
        <v>3.0759131617198858</v>
      </c>
    </row>
    <row r="4" spans="1:9" ht="14.25" customHeight="1" x14ac:dyDescent="0.35">
      <c r="A4" s="3" t="s">
        <v>27</v>
      </c>
      <c r="B4" s="3" t="s">
        <v>1</v>
      </c>
      <c r="C4" s="3">
        <v>584</v>
      </c>
      <c r="D4" s="3">
        <v>169</v>
      </c>
      <c r="E4" s="3">
        <v>146834</v>
      </c>
      <c r="F4" s="3">
        <v>8.31</v>
      </c>
      <c r="G4" s="7">
        <v>26752</v>
      </c>
      <c r="H4">
        <f t="shared" si="0"/>
        <v>415</v>
      </c>
      <c r="I4" s="6">
        <f t="shared" si="1"/>
        <v>0.39772804663769973</v>
      </c>
    </row>
    <row r="5" spans="1:9" ht="14.25" customHeight="1" x14ac:dyDescent="0.35">
      <c r="A5" s="3" t="s">
        <v>27</v>
      </c>
      <c r="B5" s="3" t="s">
        <v>3</v>
      </c>
      <c r="C5" s="3">
        <v>1535</v>
      </c>
      <c r="D5" s="3">
        <v>445</v>
      </c>
      <c r="E5" s="3">
        <v>395536</v>
      </c>
      <c r="F5" s="3">
        <v>4.1100000000000003</v>
      </c>
      <c r="G5" s="7">
        <v>30671</v>
      </c>
      <c r="H5">
        <f t="shared" si="0"/>
        <v>1090</v>
      </c>
      <c r="I5" s="6">
        <f t="shared" si="1"/>
        <v>0.38808098377897332</v>
      </c>
    </row>
    <row r="6" spans="1:9" ht="14.25" customHeight="1" x14ac:dyDescent="0.35">
      <c r="A6" s="3" t="s">
        <v>19</v>
      </c>
      <c r="B6" s="3" t="s">
        <v>5</v>
      </c>
      <c r="C6" s="3">
        <v>656</v>
      </c>
      <c r="D6" s="3">
        <v>139</v>
      </c>
      <c r="E6" s="3">
        <v>49157</v>
      </c>
      <c r="F6" s="3">
        <v>9.0500000000000007</v>
      </c>
      <c r="G6" s="7">
        <v>9920</v>
      </c>
      <c r="H6">
        <f t="shared" si="0"/>
        <v>517</v>
      </c>
      <c r="I6" s="6">
        <f t="shared" si="1"/>
        <v>1.3344996643407856</v>
      </c>
    </row>
    <row r="7" spans="1:9" ht="14.25" customHeight="1" x14ac:dyDescent="0.35">
      <c r="A7" s="3" t="s">
        <v>19</v>
      </c>
      <c r="B7" s="3" t="s">
        <v>7</v>
      </c>
      <c r="C7" s="3">
        <v>1697</v>
      </c>
      <c r="D7" s="3">
        <v>414</v>
      </c>
      <c r="E7" s="3">
        <v>316555</v>
      </c>
      <c r="F7" s="3">
        <v>2.37</v>
      </c>
      <c r="G7" s="7">
        <v>7924</v>
      </c>
      <c r="H7">
        <f t="shared" si="0"/>
        <v>1283</v>
      </c>
      <c r="I7" s="6">
        <f t="shared" si="1"/>
        <v>0.53608377691080533</v>
      </c>
    </row>
    <row r="8" spans="1:9" ht="14.25" customHeight="1" x14ac:dyDescent="0.35">
      <c r="A8" s="3" t="s">
        <v>19</v>
      </c>
      <c r="B8" s="3" t="s">
        <v>1</v>
      </c>
      <c r="C8" s="3">
        <v>436</v>
      </c>
      <c r="D8" s="3">
        <v>250</v>
      </c>
      <c r="E8" s="3">
        <v>254347</v>
      </c>
      <c r="F8" s="3">
        <v>4.01</v>
      </c>
      <c r="G8" s="7">
        <v>8912</v>
      </c>
      <c r="H8">
        <f t="shared" si="0"/>
        <v>186</v>
      </c>
      <c r="I8" s="6">
        <f t="shared" si="1"/>
        <v>0.17141936016544329</v>
      </c>
    </row>
    <row r="9" spans="1:9" ht="14.25" customHeight="1" x14ac:dyDescent="0.35">
      <c r="A9" s="3" t="s">
        <v>19</v>
      </c>
      <c r="B9" s="3" t="s">
        <v>3</v>
      </c>
      <c r="C9" s="3">
        <v>1197</v>
      </c>
      <c r="D9" s="3">
        <v>203</v>
      </c>
      <c r="E9" s="3">
        <v>413878</v>
      </c>
      <c r="F9" s="3">
        <v>3.16</v>
      </c>
      <c r="G9" s="7">
        <v>21205</v>
      </c>
      <c r="H9">
        <f t="shared" si="0"/>
        <v>994</v>
      </c>
      <c r="I9" s="6">
        <f t="shared" si="1"/>
        <v>0.28921566258655934</v>
      </c>
    </row>
    <row r="10" spans="1:9" ht="14.25" customHeight="1" x14ac:dyDescent="0.35">
      <c r="A10" s="3" t="s">
        <v>20</v>
      </c>
      <c r="B10" s="3" t="s">
        <v>5</v>
      </c>
      <c r="C10" s="3">
        <v>1048</v>
      </c>
      <c r="D10" s="3">
        <v>155</v>
      </c>
      <c r="E10" s="3">
        <v>456946</v>
      </c>
      <c r="F10" s="3">
        <v>2.46</v>
      </c>
      <c r="G10" s="7">
        <v>11329</v>
      </c>
      <c r="H10">
        <f t="shared" si="0"/>
        <v>893</v>
      </c>
      <c r="I10" s="6">
        <f t="shared" si="1"/>
        <v>0.22934876331120088</v>
      </c>
    </row>
    <row r="11" spans="1:9" ht="14.25" customHeight="1" x14ac:dyDescent="0.35">
      <c r="A11" s="3" t="s">
        <v>20</v>
      </c>
      <c r="B11" s="3" t="s">
        <v>7</v>
      </c>
      <c r="C11" s="3">
        <v>1753</v>
      </c>
      <c r="D11" s="3">
        <v>371</v>
      </c>
      <c r="E11" s="3">
        <v>169496</v>
      </c>
      <c r="F11" s="3">
        <v>8.11</v>
      </c>
      <c r="G11" s="7">
        <v>46670</v>
      </c>
      <c r="H11">
        <f t="shared" si="0"/>
        <v>1382</v>
      </c>
      <c r="I11" s="6">
        <f t="shared" si="1"/>
        <v>1.0342426959928259</v>
      </c>
    </row>
    <row r="12" spans="1:9" ht="14.25" customHeight="1" x14ac:dyDescent="0.35">
      <c r="A12" s="3" t="s">
        <v>20</v>
      </c>
      <c r="B12" s="3" t="s">
        <v>1</v>
      </c>
      <c r="C12" s="3">
        <v>1335</v>
      </c>
      <c r="D12" s="3">
        <v>40</v>
      </c>
      <c r="E12" s="3">
        <v>122732</v>
      </c>
      <c r="F12" s="3">
        <v>8.19</v>
      </c>
      <c r="G12" s="7">
        <v>22482</v>
      </c>
      <c r="H12">
        <f t="shared" si="0"/>
        <v>1295</v>
      </c>
      <c r="I12" s="6">
        <f t="shared" si="1"/>
        <v>1.0877358798031482</v>
      </c>
    </row>
    <row r="13" spans="1:9" ht="14.25" customHeight="1" x14ac:dyDescent="0.35">
      <c r="A13" s="3" t="s">
        <v>20</v>
      </c>
      <c r="B13" s="3" t="s">
        <v>3</v>
      </c>
      <c r="C13" s="3">
        <v>403</v>
      </c>
      <c r="D13" s="3">
        <v>66</v>
      </c>
      <c r="E13" s="3">
        <v>382851</v>
      </c>
      <c r="F13" s="3">
        <v>3.49</v>
      </c>
      <c r="G13" s="7">
        <v>24313</v>
      </c>
      <c r="H13">
        <f t="shared" si="0"/>
        <v>337</v>
      </c>
      <c r="I13" s="6">
        <f t="shared" si="1"/>
        <v>0.10526288294924134</v>
      </c>
    </row>
    <row r="14" spans="1:9" ht="14.25" customHeight="1" x14ac:dyDescent="0.35">
      <c r="A14" s="3" t="s">
        <v>8</v>
      </c>
      <c r="B14" s="3" t="s">
        <v>5</v>
      </c>
      <c r="C14" s="3">
        <v>911</v>
      </c>
      <c r="D14" s="3">
        <v>282</v>
      </c>
      <c r="E14" s="3">
        <v>35664</v>
      </c>
      <c r="F14" s="3">
        <v>6.92</v>
      </c>
      <c r="G14" s="7">
        <v>18050</v>
      </c>
      <c r="H14">
        <f t="shared" si="0"/>
        <v>629</v>
      </c>
      <c r="I14" s="6">
        <f t="shared" si="1"/>
        <v>2.5543965903992825</v>
      </c>
    </row>
    <row r="15" spans="1:9" ht="14.25" customHeight="1" x14ac:dyDescent="0.35">
      <c r="A15" s="3" t="s">
        <v>8</v>
      </c>
      <c r="B15" s="3" t="s">
        <v>7</v>
      </c>
      <c r="C15" s="3">
        <v>1779</v>
      </c>
      <c r="D15" s="3">
        <v>109</v>
      </c>
      <c r="E15" s="3">
        <v>26295</v>
      </c>
      <c r="F15" s="3">
        <v>9.1199999999999992</v>
      </c>
      <c r="G15" s="7">
        <v>30635</v>
      </c>
      <c r="H15">
        <f t="shared" si="0"/>
        <v>1670</v>
      </c>
      <c r="I15" s="6">
        <f t="shared" si="1"/>
        <v>6.7655447803764979</v>
      </c>
    </row>
    <row r="16" spans="1:9" ht="14.25" customHeight="1" x14ac:dyDescent="0.35">
      <c r="A16" s="3" t="s">
        <v>8</v>
      </c>
      <c r="B16" s="3" t="s">
        <v>1</v>
      </c>
      <c r="C16" s="3">
        <v>1238</v>
      </c>
      <c r="D16" s="3">
        <v>403</v>
      </c>
      <c r="E16" s="3">
        <v>298421</v>
      </c>
      <c r="F16" s="3">
        <v>3.5</v>
      </c>
      <c r="G16" s="7">
        <v>31280</v>
      </c>
      <c r="H16">
        <f t="shared" si="0"/>
        <v>835</v>
      </c>
      <c r="I16" s="6">
        <f t="shared" si="1"/>
        <v>0.4148501613492348</v>
      </c>
    </row>
    <row r="17" spans="1:9" ht="14.25" customHeight="1" x14ac:dyDescent="0.35">
      <c r="A17" s="3" t="s">
        <v>8</v>
      </c>
      <c r="B17" s="3" t="s">
        <v>3</v>
      </c>
      <c r="C17" s="3">
        <v>308</v>
      </c>
      <c r="D17" s="3">
        <v>431</v>
      </c>
      <c r="E17" s="3">
        <v>426184</v>
      </c>
      <c r="F17" s="3">
        <v>2.62</v>
      </c>
      <c r="G17" s="7">
        <v>1783</v>
      </c>
      <c r="H17">
        <f t="shared" si="0"/>
        <v>-123</v>
      </c>
      <c r="I17" s="6">
        <f t="shared" si="1"/>
        <v>7.2269254594259758E-2</v>
      </c>
    </row>
    <row r="18" spans="1:9" ht="14.25" customHeight="1" x14ac:dyDescent="0.35">
      <c r="A18" s="3" t="s">
        <v>35</v>
      </c>
      <c r="B18" s="3" t="s">
        <v>5</v>
      </c>
      <c r="C18" s="3">
        <v>226</v>
      </c>
      <c r="D18" s="3">
        <v>445</v>
      </c>
      <c r="E18" s="3">
        <v>419447</v>
      </c>
      <c r="F18" s="3">
        <v>9.36</v>
      </c>
      <c r="G18" s="7">
        <v>9566</v>
      </c>
      <c r="H18">
        <f t="shared" si="0"/>
        <v>-219</v>
      </c>
      <c r="I18" s="6">
        <f t="shared" si="1"/>
        <v>5.3880466423648278E-2</v>
      </c>
    </row>
    <row r="19" spans="1:9" ht="14.25" customHeight="1" x14ac:dyDescent="0.35">
      <c r="A19" s="3" t="s">
        <v>35</v>
      </c>
      <c r="B19" s="3" t="s">
        <v>7</v>
      </c>
      <c r="C19" s="3">
        <v>505</v>
      </c>
      <c r="D19" s="3">
        <v>441</v>
      </c>
      <c r="E19" s="3">
        <v>220020</v>
      </c>
      <c r="F19" s="3">
        <v>4.4800000000000004</v>
      </c>
      <c r="G19" s="7">
        <v>42307</v>
      </c>
      <c r="H19">
        <f t="shared" si="0"/>
        <v>64</v>
      </c>
      <c r="I19" s="6">
        <f t="shared" si="1"/>
        <v>0.22952458867375691</v>
      </c>
    </row>
    <row r="20" spans="1:9" ht="14.25" customHeight="1" x14ac:dyDescent="0.35">
      <c r="A20" s="3" t="s">
        <v>35</v>
      </c>
      <c r="B20" s="3" t="s">
        <v>1</v>
      </c>
      <c r="C20" s="3">
        <v>1420</v>
      </c>
      <c r="D20" s="3">
        <v>63</v>
      </c>
      <c r="E20" s="3">
        <v>315305</v>
      </c>
      <c r="F20" s="3">
        <v>6.19</v>
      </c>
      <c r="G20" s="7">
        <v>5914</v>
      </c>
      <c r="H20">
        <f t="shared" si="0"/>
        <v>1357</v>
      </c>
      <c r="I20" s="6">
        <f t="shared" si="1"/>
        <v>0.45035759026973882</v>
      </c>
    </row>
    <row r="21" spans="1:9" ht="14.25" customHeight="1" x14ac:dyDescent="0.35">
      <c r="A21" s="3" t="s">
        <v>35</v>
      </c>
      <c r="B21" s="3" t="s">
        <v>3</v>
      </c>
      <c r="C21" s="3">
        <v>144</v>
      </c>
      <c r="D21" s="3">
        <v>53</v>
      </c>
      <c r="E21" s="3">
        <v>113678</v>
      </c>
      <c r="F21" s="3">
        <v>8.7200000000000006</v>
      </c>
      <c r="G21" s="7">
        <v>30060</v>
      </c>
      <c r="H21">
        <f t="shared" si="0"/>
        <v>91</v>
      </c>
      <c r="I21" s="6">
        <f t="shared" si="1"/>
        <v>0.12667358679779728</v>
      </c>
    </row>
    <row r="22" spans="1:9" ht="14.25" customHeight="1" x14ac:dyDescent="0.35">
      <c r="A22" s="3" t="s">
        <v>43</v>
      </c>
      <c r="B22" s="3" t="s">
        <v>5</v>
      </c>
      <c r="C22" s="3">
        <v>1757</v>
      </c>
      <c r="D22" s="3">
        <v>85</v>
      </c>
      <c r="E22" s="3">
        <v>58223</v>
      </c>
      <c r="F22" s="3">
        <v>8.74</v>
      </c>
      <c r="G22" s="7">
        <v>22728</v>
      </c>
      <c r="H22">
        <f t="shared" si="0"/>
        <v>1672</v>
      </c>
      <c r="I22" s="6">
        <f t="shared" si="1"/>
        <v>3.0177077787128797</v>
      </c>
    </row>
    <row r="23" spans="1:9" ht="14.25" customHeight="1" x14ac:dyDescent="0.35">
      <c r="A23" s="3" t="s">
        <v>43</v>
      </c>
      <c r="B23" s="3" t="s">
        <v>7</v>
      </c>
      <c r="C23" s="3">
        <v>350</v>
      </c>
      <c r="D23" s="3">
        <v>41</v>
      </c>
      <c r="E23" s="3">
        <v>251694</v>
      </c>
      <c r="F23" s="3">
        <v>1.91</v>
      </c>
      <c r="G23" s="7">
        <v>38610</v>
      </c>
      <c r="H23">
        <f t="shared" si="0"/>
        <v>309</v>
      </c>
      <c r="I23" s="6">
        <f t="shared" si="1"/>
        <v>0.13905774472176533</v>
      </c>
    </row>
    <row r="24" spans="1:9" ht="14.25" customHeight="1" x14ac:dyDescent="0.35">
      <c r="A24" s="3" t="s">
        <v>43</v>
      </c>
      <c r="B24" s="3" t="s">
        <v>1</v>
      </c>
      <c r="C24" s="3">
        <v>987</v>
      </c>
      <c r="D24" s="3">
        <v>440</v>
      </c>
      <c r="E24" s="3">
        <v>389810</v>
      </c>
      <c r="F24" s="3">
        <v>4.66</v>
      </c>
      <c r="G24" s="7">
        <v>2932</v>
      </c>
      <c r="H24">
        <f t="shared" si="0"/>
        <v>547</v>
      </c>
      <c r="I24" s="6">
        <f t="shared" si="1"/>
        <v>0.25320027705805392</v>
      </c>
    </row>
    <row r="25" spans="1:9" ht="14.25" customHeight="1" x14ac:dyDescent="0.35">
      <c r="A25" s="3" t="s">
        <v>43</v>
      </c>
      <c r="B25" s="3" t="s">
        <v>3</v>
      </c>
      <c r="C25" s="3">
        <v>883</v>
      </c>
      <c r="D25" s="3">
        <v>369</v>
      </c>
      <c r="E25" s="3">
        <v>233694</v>
      </c>
      <c r="F25" s="3">
        <v>2.88</v>
      </c>
      <c r="G25" s="7">
        <v>15071</v>
      </c>
      <c r="H25">
        <f t="shared" si="0"/>
        <v>514</v>
      </c>
      <c r="I25" s="6">
        <f t="shared" si="1"/>
        <v>0.37784453173808485</v>
      </c>
    </row>
    <row r="26" spans="1:9" ht="14.25" customHeight="1" x14ac:dyDescent="0.35">
      <c r="A26" s="3" t="s">
        <v>32</v>
      </c>
      <c r="B26" s="3" t="s">
        <v>5</v>
      </c>
      <c r="C26" s="3">
        <v>1960</v>
      </c>
      <c r="D26" s="3">
        <v>115</v>
      </c>
      <c r="E26" s="3">
        <v>154169</v>
      </c>
      <c r="F26" s="3">
        <v>3.74</v>
      </c>
      <c r="G26" s="7">
        <v>10740</v>
      </c>
      <c r="H26">
        <f t="shared" si="0"/>
        <v>1845</v>
      </c>
      <c r="I26" s="6">
        <f t="shared" si="1"/>
        <v>1.2713321095680714</v>
      </c>
    </row>
    <row r="27" spans="1:9" ht="14.25" customHeight="1" x14ac:dyDescent="0.35">
      <c r="A27" s="3" t="s">
        <v>32</v>
      </c>
      <c r="B27" s="3" t="s">
        <v>7</v>
      </c>
      <c r="C27" s="3">
        <v>170</v>
      </c>
      <c r="D27" s="3">
        <v>334</v>
      </c>
      <c r="E27" s="3">
        <v>334626</v>
      </c>
      <c r="F27" s="3">
        <v>6.44</v>
      </c>
      <c r="G27" s="7">
        <v>43420</v>
      </c>
      <c r="H27">
        <f t="shared" si="0"/>
        <v>-164</v>
      </c>
      <c r="I27" s="6">
        <f t="shared" si="1"/>
        <v>5.080298602021361E-2</v>
      </c>
    </row>
    <row r="28" spans="1:9" ht="14.25" customHeight="1" x14ac:dyDescent="0.35">
      <c r="A28" s="3" t="s">
        <v>32</v>
      </c>
      <c r="B28" s="3" t="s">
        <v>1</v>
      </c>
      <c r="C28" s="3">
        <v>704</v>
      </c>
      <c r="D28" s="3">
        <v>275</v>
      </c>
      <c r="E28" s="3">
        <v>226002</v>
      </c>
      <c r="F28" s="3">
        <v>8.56</v>
      </c>
      <c r="G28" s="7">
        <v>32393</v>
      </c>
      <c r="H28">
        <f t="shared" si="0"/>
        <v>429</v>
      </c>
      <c r="I28" s="6">
        <f t="shared" si="1"/>
        <v>0.31150166812683072</v>
      </c>
    </row>
    <row r="29" spans="1:9" ht="14.25" customHeight="1" x14ac:dyDescent="0.35">
      <c r="A29" s="3" t="s">
        <v>32</v>
      </c>
      <c r="B29" s="3" t="s">
        <v>3</v>
      </c>
      <c r="C29" s="3">
        <v>224</v>
      </c>
      <c r="D29" s="3">
        <v>64</v>
      </c>
      <c r="E29" s="3">
        <v>156683</v>
      </c>
      <c r="F29" s="3">
        <v>4.5599999999999996</v>
      </c>
      <c r="G29" s="7">
        <v>28474</v>
      </c>
      <c r="H29">
        <f t="shared" si="0"/>
        <v>160</v>
      </c>
      <c r="I29" s="6">
        <f t="shared" si="1"/>
        <v>0.14296381866571356</v>
      </c>
    </row>
    <row r="30" spans="1:9" ht="14.25" customHeight="1" x14ac:dyDescent="0.35">
      <c r="A30" s="3" t="s">
        <v>44</v>
      </c>
      <c r="B30" s="3" t="s">
        <v>5</v>
      </c>
      <c r="C30" s="3">
        <v>508</v>
      </c>
      <c r="D30" s="3">
        <v>349</v>
      </c>
      <c r="E30" s="3">
        <v>473812</v>
      </c>
      <c r="F30" s="3">
        <v>7.88</v>
      </c>
      <c r="G30" s="7">
        <v>17328</v>
      </c>
      <c r="H30">
        <f t="shared" si="0"/>
        <v>159</v>
      </c>
      <c r="I30" s="6">
        <f t="shared" si="1"/>
        <v>0.10721552007969405</v>
      </c>
    </row>
    <row r="31" spans="1:9" ht="14.25" customHeight="1" x14ac:dyDescent="0.35">
      <c r="A31" s="3" t="s">
        <v>44</v>
      </c>
      <c r="B31" s="3" t="s">
        <v>7</v>
      </c>
      <c r="C31" s="3">
        <v>1391</v>
      </c>
      <c r="D31" s="3">
        <v>430</v>
      </c>
      <c r="E31" s="3">
        <v>295032</v>
      </c>
      <c r="F31" s="3">
        <v>7.86</v>
      </c>
      <c r="G31" s="7">
        <v>26067</v>
      </c>
      <c r="H31">
        <f t="shared" si="0"/>
        <v>961</v>
      </c>
      <c r="I31" s="6">
        <f t="shared" si="1"/>
        <v>0.47147428075598574</v>
      </c>
    </row>
    <row r="32" spans="1:9" ht="14.25" customHeight="1" x14ac:dyDescent="0.35">
      <c r="A32" s="3" t="s">
        <v>44</v>
      </c>
      <c r="B32" s="3" t="s">
        <v>1</v>
      </c>
      <c r="C32" s="3">
        <v>1701</v>
      </c>
      <c r="D32" s="3">
        <v>385</v>
      </c>
      <c r="E32" s="3">
        <v>198278</v>
      </c>
      <c r="F32" s="3">
        <v>5.34</v>
      </c>
      <c r="G32" s="7">
        <v>32763</v>
      </c>
      <c r="H32">
        <f t="shared" si="0"/>
        <v>1316</v>
      </c>
      <c r="I32" s="6">
        <f t="shared" si="1"/>
        <v>0.85788640192053578</v>
      </c>
    </row>
    <row r="33" spans="1:9" ht="14.25" customHeight="1" x14ac:dyDescent="0.35">
      <c r="A33" s="3" t="s">
        <v>44</v>
      </c>
      <c r="B33" s="3" t="s">
        <v>3</v>
      </c>
      <c r="C33" s="3">
        <v>804</v>
      </c>
      <c r="D33" s="3">
        <v>487</v>
      </c>
      <c r="E33" s="3">
        <v>306564</v>
      </c>
      <c r="F33" s="3">
        <v>5.52</v>
      </c>
      <c r="G33" s="7">
        <v>26452</v>
      </c>
      <c r="H33">
        <f t="shared" si="0"/>
        <v>317</v>
      </c>
      <c r="I33" s="6">
        <f t="shared" si="1"/>
        <v>0.26226171370415313</v>
      </c>
    </row>
    <row r="34" spans="1:9" ht="14.25" customHeight="1" x14ac:dyDescent="0.35">
      <c r="A34" s="3" t="s">
        <v>30</v>
      </c>
      <c r="B34" s="3" t="s">
        <v>5</v>
      </c>
      <c r="C34" s="3">
        <v>653</v>
      </c>
      <c r="D34" s="3">
        <v>112</v>
      </c>
      <c r="E34" s="3">
        <v>23664</v>
      </c>
      <c r="F34" s="3">
        <v>4.05</v>
      </c>
      <c r="G34" s="7">
        <v>15353</v>
      </c>
      <c r="H34">
        <f t="shared" ref="H34:H65" si="2">C34-D34</f>
        <v>541</v>
      </c>
      <c r="I34" s="6">
        <f t="shared" ref="I34:I65" si="3">C34/E34*100</f>
        <v>2.7594658553076403</v>
      </c>
    </row>
    <row r="35" spans="1:9" ht="14.25" customHeight="1" x14ac:dyDescent="0.35">
      <c r="A35" s="3" t="s">
        <v>30</v>
      </c>
      <c r="B35" s="3" t="s">
        <v>7</v>
      </c>
      <c r="C35" s="3">
        <v>160</v>
      </c>
      <c r="D35" s="3">
        <v>478</v>
      </c>
      <c r="E35" s="3">
        <v>435034</v>
      </c>
      <c r="F35" s="3">
        <v>7.73</v>
      </c>
      <c r="G35" s="7">
        <v>4839</v>
      </c>
      <c r="H35">
        <f t="shared" si="2"/>
        <v>-318</v>
      </c>
      <c r="I35" s="6">
        <f t="shared" si="3"/>
        <v>3.6778734535691464E-2</v>
      </c>
    </row>
    <row r="36" spans="1:9" ht="14.25" customHeight="1" x14ac:dyDescent="0.35">
      <c r="A36" s="3" t="s">
        <v>30</v>
      </c>
      <c r="B36" s="3" t="s">
        <v>1</v>
      </c>
      <c r="C36" s="3">
        <v>1756</v>
      </c>
      <c r="D36" s="3">
        <v>261</v>
      </c>
      <c r="E36" s="3">
        <v>287574</v>
      </c>
      <c r="F36" s="3">
        <v>4.3600000000000003</v>
      </c>
      <c r="G36" s="7">
        <v>39272</v>
      </c>
      <c r="H36">
        <f t="shared" si="2"/>
        <v>1495</v>
      </c>
      <c r="I36" s="6">
        <f t="shared" si="3"/>
        <v>0.61062543901743549</v>
      </c>
    </row>
    <row r="37" spans="1:9" ht="14.25" customHeight="1" x14ac:dyDescent="0.35">
      <c r="A37" s="3" t="s">
        <v>30</v>
      </c>
      <c r="B37" s="3" t="s">
        <v>3</v>
      </c>
      <c r="C37" s="3">
        <v>576</v>
      </c>
      <c r="D37" s="3">
        <v>101</v>
      </c>
      <c r="E37" s="3">
        <v>62499</v>
      </c>
      <c r="F37" s="3">
        <v>3.48</v>
      </c>
      <c r="G37" s="7">
        <v>16804</v>
      </c>
      <c r="H37">
        <f t="shared" si="2"/>
        <v>475</v>
      </c>
      <c r="I37" s="6">
        <f t="shared" si="3"/>
        <v>0.92161474583593339</v>
      </c>
    </row>
    <row r="38" spans="1:9" ht="14.25" customHeight="1" x14ac:dyDescent="0.35">
      <c r="A38" s="3" t="s">
        <v>36</v>
      </c>
      <c r="B38" s="3" t="s">
        <v>5</v>
      </c>
      <c r="C38" s="3">
        <v>645</v>
      </c>
      <c r="D38" s="3">
        <v>293</v>
      </c>
      <c r="E38" s="3">
        <v>437968</v>
      </c>
      <c r="F38" s="3">
        <v>7.83</v>
      </c>
      <c r="G38" s="7">
        <v>49303</v>
      </c>
      <c r="H38">
        <f t="shared" si="2"/>
        <v>352</v>
      </c>
      <c r="I38" s="6">
        <f t="shared" si="3"/>
        <v>0.14727103350016441</v>
      </c>
    </row>
    <row r="39" spans="1:9" ht="14.25" customHeight="1" x14ac:dyDescent="0.35">
      <c r="A39" s="3" t="s">
        <v>36</v>
      </c>
      <c r="B39" s="3" t="s">
        <v>7</v>
      </c>
      <c r="C39" s="3">
        <v>214</v>
      </c>
      <c r="D39" s="3">
        <v>411</v>
      </c>
      <c r="E39" s="3">
        <v>125034</v>
      </c>
      <c r="F39" s="3">
        <v>6.11</v>
      </c>
      <c r="G39" s="7">
        <v>26455</v>
      </c>
      <c r="H39">
        <f t="shared" si="2"/>
        <v>-197</v>
      </c>
      <c r="I39" s="6">
        <f t="shared" si="3"/>
        <v>0.17115344626261658</v>
      </c>
    </row>
    <row r="40" spans="1:9" ht="14.25" customHeight="1" x14ac:dyDescent="0.35">
      <c r="A40" s="3" t="s">
        <v>36</v>
      </c>
      <c r="B40" s="3" t="s">
        <v>1</v>
      </c>
      <c r="C40" s="3">
        <v>826</v>
      </c>
      <c r="D40" s="3">
        <v>498</v>
      </c>
      <c r="E40" s="3">
        <v>449994</v>
      </c>
      <c r="F40" s="3">
        <v>9.43</v>
      </c>
      <c r="G40" s="7">
        <v>12384</v>
      </c>
      <c r="H40">
        <f t="shared" si="2"/>
        <v>328</v>
      </c>
      <c r="I40" s="6">
        <f t="shared" si="3"/>
        <v>0.18355800299559549</v>
      </c>
    </row>
    <row r="41" spans="1:9" ht="14.25" customHeight="1" x14ac:dyDescent="0.35">
      <c r="A41" s="3" t="s">
        <v>36</v>
      </c>
      <c r="B41" s="3" t="s">
        <v>3</v>
      </c>
      <c r="C41" s="3">
        <v>460</v>
      </c>
      <c r="D41" s="3">
        <v>141</v>
      </c>
      <c r="E41" s="3">
        <v>320650</v>
      </c>
      <c r="F41" s="3">
        <v>4.04</v>
      </c>
      <c r="G41" s="7">
        <v>49372</v>
      </c>
      <c r="H41">
        <f t="shared" si="2"/>
        <v>319</v>
      </c>
      <c r="I41" s="6">
        <f t="shared" si="3"/>
        <v>0.14345859971932012</v>
      </c>
    </row>
    <row r="42" spans="1:9" ht="14.25" customHeight="1" x14ac:dyDescent="0.35">
      <c r="A42" s="3" t="s">
        <v>6</v>
      </c>
      <c r="B42" s="3" t="s">
        <v>5</v>
      </c>
      <c r="C42" s="3">
        <v>1528</v>
      </c>
      <c r="D42" s="3">
        <v>203</v>
      </c>
      <c r="E42" s="3">
        <v>489188</v>
      </c>
      <c r="F42" s="3">
        <v>6.23</v>
      </c>
      <c r="G42" s="7">
        <v>47101</v>
      </c>
      <c r="H42">
        <f t="shared" si="2"/>
        <v>1325</v>
      </c>
      <c r="I42" s="6">
        <f t="shared" si="3"/>
        <v>0.31235435047466414</v>
      </c>
    </row>
    <row r="43" spans="1:9" ht="14.25" customHeight="1" x14ac:dyDescent="0.35">
      <c r="A43" s="3" t="s">
        <v>6</v>
      </c>
      <c r="B43" s="3" t="s">
        <v>7</v>
      </c>
      <c r="C43" s="3">
        <v>1534</v>
      </c>
      <c r="D43" s="3">
        <v>200</v>
      </c>
      <c r="E43" s="3">
        <v>307612</v>
      </c>
      <c r="F43" s="3">
        <v>6.01</v>
      </c>
      <c r="G43" s="7">
        <v>37903</v>
      </c>
      <c r="H43">
        <f t="shared" si="2"/>
        <v>1334</v>
      </c>
      <c r="I43" s="6">
        <f t="shared" si="3"/>
        <v>0.49868015552059092</v>
      </c>
    </row>
    <row r="44" spans="1:9" ht="14.25" customHeight="1" x14ac:dyDescent="0.35">
      <c r="A44" s="3" t="s">
        <v>6</v>
      </c>
      <c r="B44" s="3" t="s">
        <v>1</v>
      </c>
      <c r="C44" s="3">
        <v>485</v>
      </c>
      <c r="D44" s="3">
        <v>448</v>
      </c>
      <c r="E44" s="3">
        <v>434883</v>
      </c>
      <c r="F44" s="3">
        <v>8.5500000000000007</v>
      </c>
      <c r="G44" s="7">
        <v>33258</v>
      </c>
      <c r="H44">
        <f t="shared" si="2"/>
        <v>37</v>
      </c>
      <c r="I44" s="6">
        <f t="shared" si="3"/>
        <v>0.11152424905089414</v>
      </c>
    </row>
    <row r="45" spans="1:9" ht="14.25" customHeight="1" x14ac:dyDescent="0.35">
      <c r="A45" s="3" t="s">
        <v>6</v>
      </c>
      <c r="B45" s="3" t="s">
        <v>3</v>
      </c>
      <c r="C45" s="3">
        <v>1210</v>
      </c>
      <c r="D45" s="3">
        <v>178</v>
      </c>
      <c r="E45" s="3">
        <v>102042</v>
      </c>
      <c r="F45" s="3">
        <v>5.42</v>
      </c>
      <c r="G45" s="7">
        <v>6915</v>
      </c>
      <c r="H45">
        <f t="shared" si="2"/>
        <v>1032</v>
      </c>
      <c r="I45" s="6">
        <f t="shared" si="3"/>
        <v>1.1857862448795595</v>
      </c>
    </row>
    <row r="46" spans="1:9" ht="14.25" customHeight="1" x14ac:dyDescent="0.35">
      <c r="A46" s="3" t="s">
        <v>12</v>
      </c>
      <c r="B46" s="3" t="s">
        <v>5</v>
      </c>
      <c r="C46" s="3">
        <v>215</v>
      </c>
      <c r="D46" s="3">
        <v>139</v>
      </c>
      <c r="E46" s="3">
        <v>325444</v>
      </c>
      <c r="F46" s="3">
        <v>3.25</v>
      </c>
      <c r="G46" s="7">
        <v>35501</v>
      </c>
      <c r="H46">
        <f t="shared" si="2"/>
        <v>76</v>
      </c>
      <c r="I46" s="6">
        <f t="shared" si="3"/>
        <v>6.6063593122011779E-2</v>
      </c>
    </row>
    <row r="47" spans="1:9" ht="14.25" customHeight="1" x14ac:dyDescent="0.35">
      <c r="A47" s="3" t="s">
        <v>12</v>
      </c>
      <c r="B47" s="3" t="s">
        <v>7</v>
      </c>
      <c r="C47" s="3">
        <v>1078</v>
      </c>
      <c r="D47" s="3">
        <v>20</v>
      </c>
      <c r="E47" s="3">
        <v>183924</v>
      </c>
      <c r="F47" s="3">
        <v>8.84</v>
      </c>
      <c r="G47" s="7">
        <v>14203</v>
      </c>
      <c r="H47">
        <f t="shared" si="2"/>
        <v>1058</v>
      </c>
      <c r="I47" s="6">
        <f t="shared" si="3"/>
        <v>0.58611165481394489</v>
      </c>
    </row>
    <row r="48" spans="1:9" ht="14.25" customHeight="1" x14ac:dyDescent="0.35">
      <c r="A48" s="3" t="s">
        <v>12</v>
      </c>
      <c r="B48" s="3" t="s">
        <v>1</v>
      </c>
      <c r="C48" s="3">
        <v>1751</v>
      </c>
      <c r="D48" s="3">
        <v>86</v>
      </c>
      <c r="E48" s="3">
        <v>188655</v>
      </c>
      <c r="F48" s="3">
        <v>7.24</v>
      </c>
      <c r="G48" s="7">
        <v>22206</v>
      </c>
      <c r="H48">
        <f t="shared" si="2"/>
        <v>1665</v>
      </c>
      <c r="I48" s="6">
        <f t="shared" si="3"/>
        <v>0.92814926718083268</v>
      </c>
    </row>
    <row r="49" spans="1:9" ht="14.25" customHeight="1" x14ac:dyDescent="0.35">
      <c r="A49" s="3" t="s">
        <v>12</v>
      </c>
      <c r="B49" s="3" t="s">
        <v>3</v>
      </c>
      <c r="C49" s="3">
        <v>221</v>
      </c>
      <c r="D49" s="3">
        <v>31</v>
      </c>
      <c r="E49" s="3">
        <v>87443</v>
      </c>
      <c r="F49" s="3">
        <v>6.19</v>
      </c>
      <c r="G49" s="7">
        <v>10283</v>
      </c>
      <c r="H49">
        <f t="shared" si="2"/>
        <v>190</v>
      </c>
      <c r="I49" s="6">
        <f t="shared" si="3"/>
        <v>0.25273606806719806</v>
      </c>
    </row>
    <row r="50" spans="1:9" ht="14.25" customHeight="1" x14ac:dyDescent="0.35">
      <c r="A50" s="3" t="s">
        <v>10</v>
      </c>
      <c r="B50" s="3" t="s">
        <v>5</v>
      </c>
      <c r="C50" s="3">
        <v>1685</v>
      </c>
      <c r="D50" s="3">
        <v>76</v>
      </c>
      <c r="E50" s="3">
        <v>453799</v>
      </c>
      <c r="F50" s="3">
        <v>5.71</v>
      </c>
      <c r="G50" s="7">
        <v>24913</v>
      </c>
      <c r="H50">
        <f t="shared" si="2"/>
        <v>1609</v>
      </c>
      <c r="I50" s="6">
        <f t="shared" si="3"/>
        <v>0.37130976489591205</v>
      </c>
    </row>
    <row r="51" spans="1:9" ht="14.25" customHeight="1" x14ac:dyDescent="0.35">
      <c r="A51" s="3" t="s">
        <v>10</v>
      </c>
      <c r="B51" s="3" t="s">
        <v>7</v>
      </c>
      <c r="C51" s="3">
        <v>248</v>
      </c>
      <c r="D51" s="3">
        <v>211</v>
      </c>
      <c r="E51" s="3">
        <v>379380</v>
      </c>
      <c r="F51" s="3">
        <v>9.0399999999999991</v>
      </c>
      <c r="G51" s="7">
        <v>26925</v>
      </c>
      <c r="H51">
        <f t="shared" si="2"/>
        <v>37</v>
      </c>
      <c r="I51" s="6">
        <f t="shared" si="3"/>
        <v>6.5369813906900734E-2</v>
      </c>
    </row>
    <row r="52" spans="1:9" ht="14.25" customHeight="1" x14ac:dyDescent="0.35">
      <c r="A52" s="3" t="s">
        <v>10</v>
      </c>
      <c r="B52" s="3" t="s">
        <v>1</v>
      </c>
      <c r="C52" s="3">
        <v>1300</v>
      </c>
      <c r="D52" s="3">
        <v>71</v>
      </c>
      <c r="E52" s="3">
        <v>186454</v>
      </c>
      <c r="F52" s="3">
        <v>3.91</v>
      </c>
      <c r="G52" s="7">
        <v>9942</v>
      </c>
      <c r="H52">
        <f t="shared" si="2"/>
        <v>1229</v>
      </c>
      <c r="I52" s="6">
        <f t="shared" si="3"/>
        <v>0.69722290752678939</v>
      </c>
    </row>
    <row r="53" spans="1:9" ht="14.25" customHeight="1" x14ac:dyDescent="0.35">
      <c r="A53" s="3" t="s">
        <v>10</v>
      </c>
      <c r="B53" s="3" t="s">
        <v>3</v>
      </c>
      <c r="C53" s="3">
        <v>422</v>
      </c>
      <c r="D53" s="3">
        <v>394</v>
      </c>
      <c r="E53" s="3">
        <v>239044</v>
      </c>
      <c r="F53" s="3">
        <v>7.83</v>
      </c>
      <c r="G53" s="7">
        <v>32929</v>
      </c>
      <c r="H53">
        <f t="shared" si="2"/>
        <v>28</v>
      </c>
      <c r="I53" s="6">
        <f t="shared" si="3"/>
        <v>0.17653653720653939</v>
      </c>
    </row>
    <row r="54" spans="1:9" ht="14.25" customHeight="1" x14ac:dyDescent="0.35">
      <c r="A54" s="3" t="s">
        <v>22</v>
      </c>
      <c r="B54" s="3" t="s">
        <v>5</v>
      </c>
      <c r="C54" s="3">
        <v>1429</v>
      </c>
      <c r="D54" s="3">
        <v>182</v>
      </c>
      <c r="E54" s="3">
        <v>101332</v>
      </c>
      <c r="F54" s="3">
        <v>7.16</v>
      </c>
      <c r="G54" s="7">
        <v>37829</v>
      </c>
      <c r="H54">
        <f t="shared" si="2"/>
        <v>1247</v>
      </c>
      <c r="I54" s="6">
        <f t="shared" si="3"/>
        <v>1.4102159238937353</v>
      </c>
    </row>
    <row r="55" spans="1:9" ht="14.25" customHeight="1" x14ac:dyDescent="0.35">
      <c r="A55" s="3" t="s">
        <v>22</v>
      </c>
      <c r="B55" s="3" t="s">
        <v>7</v>
      </c>
      <c r="C55" s="3">
        <v>1520</v>
      </c>
      <c r="D55" s="3">
        <v>475</v>
      </c>
      <c r="E55" s="3">
        <v>496982</v>
      </c>
      <c r="F55" s="3">
        <v>6.41</v>
      </c>
      <c r="G55" s="7">
        <v>24384</v>
      </c>
      <c r="H55">
        <f t="shared" si="2"/>
        <v>1045</v>
      </c>
      <c r="I55" s="6">
        <f t="shared" si="3"/>
        <v>0.30584608698101745</v>
      </c>
    </row>
    <row r="56" spans="1:9" ht="14.25" customHeight="1" x14ac:dyDescent="0.35">
      <c r="A56" s="3" t="s">
        <v>22</v>
      </c>
      <c r="B56" s="3" t="s">
        <v>1</v>
      </c>
      <c r="C56" s="3">
        <v>557</v>
      </c>
      <c r="D56" s="3">
        <v>360</v>
      </c>
      <c r="E56" s="3">
        <v>318779</v>
      </c>
      <c r="F56" s="3">
        <v>8.02</v>
      </c>
      <c r="G56" s="7">
        <v>25797</v>
      </c>
      <c r="H56">
        <f t="shared" si="2"/>
        <v>197</v>
      </c>
      <c r="I56" s="6">
        <f t="shared" si="3"/>
        <v>0.17472920110797763</v>
      </c>
    </row>
    <row r="57" spans="1:9" ht="14.25" customHeight="1" x14ac:dyDescent="0.35">
      <c r="A57" s="3" t="s">
        <v>22</v>
      </c>
      <c r="B57" s="3" t="s">
        <v>3</v>
      </c>
      <c r="C57" s="3">
        <v>728</v>
      </c>
      <c r="D57" s="3">
        <v>395</v>
      </c>
      <c r="E57" s="3">
        <v>370971</v>
      </c>
      <c r="F57" s="3">
        <v>3.86</v>
      </c>
      <c r="G57" s="7">
        <v>12646</v>
      </c>
      <c r="H57">
        <f t="shared" si="2"/>
        <v>333</v>
      </c>
      <c r="I57" s="6">
        <f t="shared" si="3"/>
        <v>0.19624175474632788</v>
      </c>
    </row>
    <row r="58" spans="1:9" ht="14.25" customHeight="1" x14ac:dyDescent="0.35">
      <c r="A58" s="3" t="s">
        <v>13</v>
      </c>
      <c r="B58" s="3" t="s">
        <v>5</v>
      </c>
      <c r="C58" s="3">
        <v>1592</v>
      </c>
      <c r="D58" s="3">
        <v>20</v>
      </c>
      <c r="E58" s="3">
        <v>378054</v>
      </c>
      <c r="F58" s="3">
        <v>9.09</v>
      </c>
      <c r="G58" s="7">
        <v>26663</v>
      </c>
      <c r="H58">
        <f t="shared" si="2"/>
        <v>1572</v>
      </c>
      <c r="I58" s="6">
        <f t="shared" si="3"/>
        <v>0.42110386346923989</v>
      </c>
    </row>
    <row r="59" spans="1:9" ht="14.25" customHeight="1" x14ac:dyDescent="0.35">
      <c r="A59" s="3" t="s">
        <v>13</v>
      </c>
      <c r="B59" s="3" t="s">
        <v>7</v>
      </c>
      <c r="C59" s="3">
        <v>1842</v>
      </c>
      <c r="D59" s="3">
        <v>414</v>
      </c>
      <c r="E59" s="3">
        <v>307524</v>
      </c>
      <c r="F59" s="3">
        <v>1.76</v>
      </c>
      <c r="G59" s="7">
        <v>40478</v>
      </c>
      <c r="H59">
        <f t="shared" si="2"/>
        <v>1428</v>
      </c>
      <c r="I59" s="6">
        <f t="shared" si="3"/>
        <v>0.59897764076950089</v>
      </c>
    </row>
    <row r="60" spans="1:9" ht="14.25" customHeight="1" x14ac:dyDescent="0.35">
      <c r="A60" s="3" t="s">
        <v>13</v>
      </c>
      <c r="B60" s="3" t="s">
        <v>1</v>
      </c>
      <c r="C60" s="3">
        <v>751</v>
      </c>
      <c r="D60" s="3">
        <v>491</v>
      </c>
      <c r="E60" s="3">
        <v>434047</v>
      </c>
      <c r="F60" s="3">
        <v>9.24</v>
      </c>
      <c r="G60" s="7">
        <v>15476</v>
      </c>
      <c r="H60">
        <f t="shared" si="2"/>
        <v>260</v>
      </c>
      <c r="I60" s="6">
        <f t="shared" si="3"/>
        <v>0.17302273716901626</v>
      </c>
    </row>
    <row r="61" spans="1:9" ht="14.25" customHeight="1" x14ac:dyDescent="0.35">
      <c r="A61" s="3" t="s">
        <v>13</v>
      </c>
      <c r="B61" s="3" t="s">
        <v>3</v>
      </c>
      <c r="C61" s="3">
        <v>1409</v>
      </c>
      <c r="D61" s="3">
        <v>309</v>
      </c>
      <c r="E61" s="3">
        <v>64583</v>
      </c>
      <c r="F61" s="3">
        <v>8.99</v>
      </c>
      <c r="G61" s="7">
        <v>10217</v>
      </c>
      <c r="H61">
        <f t="shared" si="2"/>
        <v>1100</v>
      </c>
      <c r="I61" s="6">
        <f t="shared" si="3"/>
        <v>2.181688679683508</v>
      </c>
    </row>
    <row r="62" spans="1:9" ht="14.25" customHeight="1" x14ac:dyDescent="0.35">
      <c r="A62" s="3" t="s">
        <v>45</v>
      </c>
      <c r="B62" s="3" t="s">
        <v>5</v>
      </c>
      <c r="C62" s="3">
        <v>778</v>
      </c>
      <c r="D62" s="3">
        <v>401</v>
      </c>
      <c r="E62" s="3">
        <v>50793</v>
      </c>
      <c r="F62" s="3">
        <v>3.4</v>
      </c>
      <c r="G62" s="7">
        <v>21939</v>
      </c>
      <c r="H62">
        <f t="shared" si="2"/>
        <v>377</v>
      </c>
      <c r="I62" s="6">
        <f t="shared" si="3"/>
        <v>1.5317071249975391</v>
      </c>
    </row>
    <row r="63" spans="1:9" ht="14.25" customHeight="1" x14ac:dyDescent="0.35">
      <c r="A63" s="3" t="s">
        <v>45</v>
      </c>
      <c r="B63" s="3" t="s">
        <v>7</v>
      </c>
      <c r="C63" s="3">
        <v>443</v>
      </c>
      <c r="D63" s="3">
        <v>345</v>
      </c>
      <c r="E63" s="3">
        <v>474162</v>
      </c>
      <c r="F63" s="3">
        <v>9.1999999999999993</v>
      </c>
      <c r="G63" s="7">
        <v>47462</v>
      </c>
      <c r="H63">
        <f t="shared" si="2"/>
        <v>98</v>
      </c>
      <c r="I63" s="6">
        <f t="shared" si="3"/>
        <v>9.3427984528494476E-2</v>
      </c>
    </row>
    <row r="64" spans="1:9" ht="14.25" customHeight="1" x14ac:dyDescent="0.35">
      <c r="A64" s="3" t="s">
        <v>45</v>
      </c>
      <c r="B64" s="3" t="s">
        <v>1</v>
      </c>
      <c r="C64" s="3">
        <v>1472</v>
      </c>
      <c r="D64" s="3">
        <v>347</v>
      </c>
      <c r="E64" s="3">
        <v>392355</v>
      </c>
      <c r="F64" s="3">
        <v>8.59</v>
      </c>
      <c r="G64" s="7">
        <v>30270</v>
      </c>
      <c r="H64">
        <f t="shared" si="2"/>
        <v>1125</v>
      </c>
      <c r="I64" s="6">
        <f t="shared" si="3"/>
        <v>0.37517044513259679</v>
      </c>
    </row>
    <row r="65" spans="1:9" ht="14.25" customHeight="1" x14ac:dyDescent="0.35">
      <c r="A65" s="3" t="s">
        <v>45</v>
      </c>
      <c r="B65" s="3" t="s">
        <v>3</v>
      </c>
      <c r="C65" s="3">
        <v>123</v>
      </c>
      <c r="D65" s="3">
        <v>155</v>
      </c>
      <c r="E65" s="3">
        <v>119934</v>
      </c>
      <c r="F65" s="3">
        <v>3.5</v>
      </c>
      <c r="G65" s="7">
        <v>5442</v>
      </c>
      <c r="H65">
        <f t="shared" si="2"/>
        <v>-32</v>
      </c>
      <c r="I65" s="6">
        <f t="shared" si="3"/>
        <v>0.10255640602331283</v>
      </c>
    </row>
    <row r="66" spans="1:9" ht="14.25" customHeight="1" x14ac:dyDescent="0.35">
      <c r="A66" s="3" t="s">
        <v>46</v>
      </c>
      <c r="B66" s="3" t="s">
        <v>5</v>
      </c>
      <c r="C66" s="3">
        <v>817</v>
      </c>
      <c r="D66" s="3">
        <v>151</v>
      </c>
      <c r="E66" s="3">
        <v>422625</v>
      </c>
      <c r="F66" s="3">
        <v>2.36</v>
      </c>
      <c r="G66" s="7">
        <v>1083</v>
      </c>
      <c r="H66">
        <f t="shared" ref="H66:H97" si="4">C66-D66</f>
        <v>666</v>
      </c>
      <c r="I66" s="6">
        <f t="shared" ref="I66:I97" si="5">C66/E66*100</f>
        <v>0.19331558710440697</v>
      </c>
    </row>
    <row r="67" spans="1:9" ht="14.25" customHeight="1" x14ac:dyDescent="0.35">
      <c r="A67" s="3" t="s">
        <v>46</v>
      </c>
      <c r="B67" s="3" t="s">
        <v>7</v>
      </c>
      <c r="C67" s="3">
        <v>198</v>
      </c>
      <c r="D67" s="3">
        <v>217</v>
      </c>
      <c r="E67" s="3">
        <v>239753</v>
      </c>
      <c r="F67" s="3">
        <v>7.36</v>
      </c>
      <c r="G67" s="7">
        <v>11901</v>
      </c>
      <c r="H67">
        <f t="shared" si="4"/>
        <v>-19</v>
      </c>
      <c r="I67" s="6">
        <f t="shared" si="5"/>
        <v>8.2584993722706279E-2</v>
      </c>
    </row>
    <row r="68" spans="1:9" ht="14.25" customHeight="1" x14ac:dyDescent="0.35">
      <c r="A68" s="3" t="s">
        <v>46</v>
      </c>
      <c r="B68" s="3" t="s">
        <v>1</v>
      </c>
      <c r="C68" s="3">
        <v>1911</v>
      </c>
      <c r="D68" s="3">
        <v>231</v>
      </c>
      <c r="E68" s="3">
        <v>268516</v>
      </c>
      <c r="F68" s="3">
        <v>8.5500000000000007</v>
      </c>
      <c r="G68" s="7">
        <v>24018</v>
      </c>
      <c r="H68">
        <f t="shared" si="4"/>
        <v>1680</v>
      </c>
      <c r="I68" s="6">
        <f t="shared" si="5"/>
        <v>0.7116894337767582</v>
      </c>
    </row>
    <row r="69" spans="1:9" ht="14.25" customHeight="1" x14ac:dyDescent="0.35">
      <c r="A69" s="3" t="s">
        <v>46</v>
      </c>
      <c r="B69" s="3" t="s">
        <v>3</v>
      </c>
      <c r="C69" s="3">
        <v>1218</v>
      </c>
      <c r="D69" s="3">
        <v>212</v>
      </c>
      <c r="E69" s="3">
        <v>63177</v>
      </c>
      <c r="F69" s="3">
        <v>8.1300000000000008</v>
      </c>
      <c r="G69" s="7">
        <v>38883</v>
      </c>
      <c r="H69">
        <f t="shared" si="4"/>
        <v>1006</v>
      </c>
      <c r="I69" s="6">
        <f t="shared" si="5"/>
        <v>1.927916805166437</v>
      </c>
    </row>
    <row r="70" spans="1:9" ht="14.25" customHeight="1" x14ac:dyDescent="0.35">
      <c r="A70" s="3" t="s">
        <v>47</v>
      </c>
      <c r="B70" s="3" t="s">
        <v>5</v>
      </c>
      <c r="C70" s="3">
        <v>1433</v>
      </c>
      <c r="D70" s="3">
        <v>408</v>
      </c>
      <c r="E70" s="3">
        <v>370269</v>
      </c>
      <c r="F70" s="3">
        <v>3.3</v>
      </c>
      <c r="G70" s="7">
        <v>30575</v>
      </c>
      <c r="H70">
        <f t="shared" si="4"/>
        <v>1025</v>
      </c>
      <c r="I70" s="6">
        <f t="shared" si="5"/>
        <v>0.3870159262590171</v>
      </c>
    </row>
    <row r="71" spans="1:9" ht="14.25" customHeight="1" x14ac:dyDescent="0.35">
      <c r="A71" s="3" t="s">
        <v>47</v>
      </c>
      <c r="B71" s="3" t="s">
        <v>7</v>
      </c>
      <c r="C71" s="3">
        <v>250</v>
      </c>
      <c r="D71" s="3">
        <v>429</v>
      </c>
      <c r="E71" s="3">
        <v>453423</v>
      </c>
      <c r="F71" s="3">
        <v>1.77</v>
      </c>
      <c r="G71" s="7">
        <v>2315</v>
      </c>
      <c r="H71">
        <f t="shared" si="4"/>
        <v>-179</v>
      </c>
      <c r="I71" s="6">
        <f t="shared" si="5"/>
        <v>5.5136153216753456E-2</v>
      </c>
    </row>
    <row r="72" spans="1:9" ht="14.25" customHeight="1" x14ac:dyDescent="0.35">
      <c r="A72" s="3" t="s">
        <v>47</v>
      </c>
      <c r="B72" s="3" t="s">
        <v>1</v>
      </c>
      <c r="C72" s="3">
        <v>752</v>
      </c>
      <c r="D72" s="3">
        <v>153</v>
      </c>
      <c r="E72" s="3">
        <v>64906</v>
      </c>
      <c r="F72" s="3">
        <v>2.09</v>
      </c>
      <c r="G72" s="7">
        <v>12148</v>
      </c>
      <c r="H72">
        <f t="shared" si="4"/>
        <v>599</v>
      </c>
      <c r="I72" s="6">
        <f t="shared" si="5"/>
        <v>1.1585985887283148</v>
      </c>
    </row>
    <row r="73" spans="1:9" ht="14.25" customHeight="1" x14ac:dyDescent="0.35">
      <c r="A73" s="3" t="s">
        <v>47</v>
      </c>
      <c r="B73" s="3" t="s">
        <v>3</v>
      </c>
      <c r="C73" s="3">
        <v>1918</v>
      </c>
      <c r="D73" s="3">
        <v>212</v>
      </c>
      <c r="E73" s="3">
        <v>94360</v>
      </c>
      <c r="F73" s="3">
        <v>7.36</v>
      </c>
      <c r="G73" s="7">
        <v>36851</v>
      </c>
      <c r="H73">
        <f t="shared" si="4"/>
        <v>1706</v>
      </c>
      <c r="I73" s="6">
        <f t="shared" si="5"/>
        <v>2.0326409495548963</v>
      </c>
    </row>
    <row r="74" spans="1:9" ht="14.25" customHeight="1" x14ac:dyDescent="0.35">
      <c r="A74" s="3" t="s">
        <v>48</v>
      </c>
      <c r="B74" s="3" t="s">
        <v>5</v>
      </c>
      <c r="C74" s="3">
        <v>1939</v>
      </c>
      <c r="D74" s="3">
        <v>67</v>
      </c>
      <c r="E74" s="3">
        <v>187183</v>
      </c>
      <c r="F74" s="3">
        <v>6.25</v>
      </c>
      <c r="G74" s="7">
        <v>41215</v>
      </c>
      <c r="H74">
        <f t="shared" si="4"/>
        <v>1872</v>
      </c>
      <c r="I74" s="6">
        <f t="shared" si="5"/>
        <v>1.035884669013746</v>
      </c>
    </row>
    <row r="75" spans="1:9" ht="14.25" customHeight="1" x14ac:dyDescent="0.35">
      <c r="A75" s="3" t="s">
        <v>48</v>
      </c>
      <c r="B75" s="3" t="s">
        <v>7</v>
      </c>
      <c r="C75" s="3">
        <v>1929</v>
      </c>
      <c r="D75" s="3">
        <v>267</v>
      </c>
      <c r="E75" s="3">
        <v>379363</v>
      </c>
      <c r="F75" s="3">
        <v>1.75</v>
      </c>
      <c r="G75" s="7">
        <v>43836</v>
      </c>
      <c r="H75">
        <f t="shared" si="4"/>
        <v>1662</v>
      </c>
      <c r="I75" s="6">
        <f t="shared" si="5"/>
        <v>0.50848395863592388</v>
      </c>
    </row>
    <row r="76" spans="1:9" ht="14.25" customHeight="1" x14ac:dyDescent="0.35">
      <c r="A76" s="3" t="s">
        <v>48</v>
      </c>
      <c r="B76" s="3" t="s">
        <v>1</v>
      </c>
      <c r="C76" s="3">
        <v>437</v>
      </c>
      <c r="D76" s="3">
        <v>330</v>
      </c>
      <c r="E76" s="3">
        <v>476486</v>
      </c>
      <c r="F76" s="3">
        <v>4.97</v>
      </c>
      <c r="G76" s="7">
        <v>4509</v>
      </c>
      <c r="H76">
        <f t="shared" si="4"/>
        <v>107</v>
      </c>
      <c r="I76" s="6">
        <f t="shared" si="5"/>
        <v>9.1713082860776604E-2</v>
      </c>
    </row>
    <row r="77" spans="1:9" ht="14.25" customHeight="1" x14ac:dyDescent="0.35">
      <c r="A77" s="3" t="s">
        <v>48</v>
      </c>
      <c r="B77" s="3" t="s">
        <v>3</v>
      </c>
      <c r="C77" s="3">
        <v>307</v>
      </c>
      <c r="D77" s="3">
        <v>189</v>
      </c>
      <c r="E77" s="3">
        <v>117767</v>
      </c>
      <c r="F77" s="3">
        <v>9.3000000000000007</v>
      </c>
      <c r="G77" s="7">
        <v>27822</v>
      </c>
      <c r="H77">
        <f t="shared" si="4"/>
        <v>118</v>
      </c>
      <c r="I77" s="6">
        <f t="shared" si="5"/>
        <v>0.26068423242504268</v>
      </c>
    </row>
    <row r="78" spans="1:9" ht="14.25" customHeight="1" x14ac:dyDescent="0.35">
      <c r="A78" s="3" t="s">
        <v>49</v>
      </c>
      <c r="B78" s="3" t="s">
        <v>5</v>
      </c>
      <c r="C78" s="3">
        <v>1527</v>
      </c>
      <c r="D78" s="3">
        <v>303</v>
      </c>
      <c r="E78" s="3">
        <v>388555</v>
      </c>
      <c r="F78" s="3">
        <v>8.9</v>
      </c>
      <c r="G78" s="7">
        <v>36397</v>
      </c>
      <c r="H78">
        <f t="shared" si="4"/>
        <v>1224</v>
      </c>
      <c r="I78" s="6">
        <f t="shared" si="5"/>
        <v>0.39299455675515688</v>
      </c>
    </row>
    <row r="79" spans="1:9" ht="14.25" customHeight="1" x14ac:dyDescent="0.35">
      <c r="A79" s="3" t="s">
        <v>49</v>
      </c>
      <c r="B79" s="3" t="s">
        <v>7</v>
      </c>
      <c r="C79" s="3">
        <v>643</v>
      </c>
      <c r="D79" s="3">
        <v>358</v>
      </c>
      <c r="E79" s="3">
        <v>157599</v>
      </c>
      <c r="F79" s="3">
        <v>3.88</v>
      </c>
      <c r="G79" s="7">
        <v>7285</v>
      </c>
      <c r="H79">
        <f t="shared" si="4"/>
        <v>285</v>
      </c>
      <c r="I79" s="6">
        <f t="shared" si="5"/>
        <v>0.40799751267457279</v>
      </c>
    </row>
    <row r="80" spans="1:9" ht="14.25" customHeight="1" x14ac:dyDescent="0.35">
      <c r="A80" s="3" t="s">
        <v>49</v>
      </c>
      <c r="B80" s="3" t="s">
        <v>1</v>
      </c>
      <c r="C80" s="3">
        <v>201</v>
      </c>
      <c r="D80" s="3">
        <v>221</v>
      </c>
      <c r="E80" s="3">
        <v>309772</v>
      </c>
      <c r="F80" s="3">
        <v>5.9</v>
      </c>
      <c r="G80" s="7">
        <v>33174</v>
      </c>
      <c r="H80">
        <f t="shared" si="4"/>
        <v>-20</v>
      </c>
      <c r="I80" s="6">
        <f t="shared" si="5"/>
        <v>6.4886432602042798E-2</v>
      </c>
    </row>
    <row r="81" spans="1:9" ht="14.25" customHeight="1" x14ac:dyDescent="0.35">
      <c r="A81" s="3" t="s">
        <v>49</v>
      </c>
      <c r="B81" s="3" t="s">
        <v>3</v>
      </c>
      <c r="C81" s="3">
        <v>414</v>
      </c>
      <c r="D81" s="3">
        <v>47</v>
      </c>
      <c r="E81" s="3">
        <v>199178</v>
      </c>
      <c r="F81" s="3">
        <v>1.53</v>
      </c>
      <c r="G81" s="7">
        <v>6742</v>
      </c>
      <c r="H81">
        <f t="shared" si="4"/>
        <v>367</v>
      </c>
      <c r="I81" s="6">
        <f t="shared" si="5"/>
        <v>0.20785428109530171</v>
      </c>
    </row>
    <row r="82" spans="1:9" ht="14.25" customHeight="1" x14ac:dyDescent="0.35">
      <c r="A82" s="3" t="s">
        <v>21</v>
      </c>
      <c r="B82" s="3" t="s">
        <v>5</v>
      </c>
      <c r="C82" s="3">
        <v>703</v>
      </c>
      <c r="D82" s="3">
        <v>441</v>
      </c>
      <c r="E82" s="3">
        <v>357089</v>
      </c>
      <c r="F82" s="3">
        <v>6.5</v>
      </c>
      <c r="G82" s="7">
        <v>32478</v>
      </c>
      <c r="H82">
        <f t="shared" si="4"/>
        <v>262</v>
      </c>
      <c r="I82" s="6">
        <f t="shared" si="5"/>
        <v>0.19686968794894269</v>
      </c>
    </row>
    <row r="83" spans="1:9" ht="14.25" customHeight="1" x14ac:dyDescent="0.35">
      <c r="A83" s="3" t="s">
        <v>21</v>
      </c>
      <c r="B83" s="3" t="s">
        <v>7</v>
      </c>
      <c r="C83" s="3">
        <v>508</v>
      </c>
      <c r="D83" s="3">
        <v>69</v>
      </c>
      <c r="E83" s="3">
        <v>23492</v>
      </c>
      <c r="F83" s="3">
        <v>3.16</v>
      </c>
      <c r="G83" s="7">
        <v>42824</v>
      </c>
      <c r="H83">
        <f t="shared" si="4"/>
        <v>439</v>
      </c>
      <c r="I83" s="6">
        <f t="shared" si="5"/>
        <v>2.162438276860208</v>
      </c>
    </row>
    <row r="84" spans="1:9" ht="14.25" customHeight="1" x14ac:dyDescent="0.35">
      <c r="A84" s="3" t="s">
        <v>21</v>
      </c>
      <c r="B84" s="3" t="s">
        <v>1</v>
      </c>
      <c r="C84" s="3">
        <v>697</v>
      </c>
      <c r="D84" s="3">
        <v>61</v>
      </c>
      <c r="E84" s="3">
        <v>258287</v>
      </c>
      <c r="F84" s="3">
        <v>8.25</v>
      </c>
      <c r="G84" s="7">
        <v>21208</v>
      </c>
      <c r="H84">
        <f t="shared" si="4"/>
        <v>636</v>
      </c>
      <c r="I84" s="6">
        <f t="shared" si="5"/>
        <v>0.26985485138624865</v>
      </c>
    </row>
    <row r="85" spans="1:9" ht="14.25" customHeight="1" x14ac:dyDescent="0.35">
      <c r="A85" s="3" t="s">
        <v>21</v>
      </c>
      <c r="B85" s="3" t="s">
        <v>3</v>
      </c>
      <c r="C85" s="3">
        <v>1707</v>
      </c>
      <c r="D85" s="3">
        <v>223</v>
      </c>
      <c r="E85" s="3">
        <v>256910</v>
      </c>
      <c r="F85" s="3">
        <v>5.41</v>
      </c>
      <c r="G85" s="7">
        <v>44321</v>
      </c>
      <c r="H85">
        <f t="shared" si="4"/>
        <v>1484</v>
      </c>
      <c r="I85" s="6">
        <f t="shared" si="5"/>
        <v>0.66443501615351686</v>
      </c>
    </row>
    <row r="86" spans="1:9" ht="14.25" customHeight="1" x14ac:dyDescent="0.35">
      <c r="A86" s="3" t="s">
        <v>24</v>
      </c>
      <c r="B86" s="3" t="s">
        <v>5</v>
      </c>
      <c r="C86" s="3">
        <v>642</v>
      </c>
      <c r="D86" s="3">
        <v>66</v>
      </c>
      <c r="E86" s="3">
        <v>346522</v>
      </c>
      <c r="F86" s="3">
        <v>5.85</v>
      </c>
      <c r="G86" s="7">
        <v>13116</v>
      </c>
      <c r="H86">
        <f t="shared" si="4"/>
        <v>576</v>
      </c>
      <c r="I86" s="6">
        <f t="shared" si="5"/>
        <v>0.1852696221307738</v>
      </c>
    </row>
    <row r="87" spans="1:9" ht="14.25" customHeight="1" x14ac:dyDescent="0.35">
      <c r="A87" s="3" t="s">
        <v>24</v>
      </c>
      <c r="B87" s="3" t="s">
        <v>7</v>
      </c>
      <c r="C87" s="3">
        <v>859</v>
      </c>
      <c r="D87" s="3">
        <v>473</v>
      </c>
      <c r="E87" s="3">
        <v>209987</v>
      </c>
      <c r="F87" s="3">
        <v>4.46</v>
      </c>
      <c r="G87" s="7">
        <v>30214</v>
      </c>
      <c r="H87">
        <f t="shared" si="4"/>
        <v>386</v>
      </c>
      <c r="I87" s="6">
        <f t="shared" si="5"/>
        <v>0.40907294261073301</v>
      </c>
    </row>
    <row r="88" spans="1:9" ht="14.25" customHeight="1" x14ac:dyDescent="0.35">
      <c r="A88" s="3" t="s">
        <v>24</v>
      </c>
      <c r="B88" s="3" t="s">
        <v>1</v>
      </c>
      <c r="C88" s="3">
        <v>191</v>
      </c>
      <c r="D88" s="3">
        <v>154</v>
      </c>
      <c r="E88" s="3">
        <v>240550</v>
      </c>
      <c r="F88" s="3">
        <v>5.22</v>
      </c>
      <c r="G88" s="7">
        <v>15827</v>
      </c>
      <c r="H88">
        <f t="shared" si="4"/>
        <v>37</v>
      </c>
      <c r="I88" s="6">
        <f t="shared" si="5"/>
        <v>7.9401371856162958E-2</v>
      </c>
    </row>
    <row r="89" spans="1:9" ht="14.25" customHeight="1" x14ac:dyDescent="0.35">
      <c r="A89" s="3" t="s">
        <v>24</v>
      </c>
      <c r="B89" s="3" t="s">
        <v>3</v>
      </c>
      <c r="C89" s="3">
        <v>1814</v>
      </c>
      <c r="D89" s="3">
        <v>157</v>
      </c>
      <c r="E89" s="3">
        <v>305827</v>
      </c>
      <c r="F89" s="3">
        <v>1.99</v>
      </c>
      <c r="G89" s="7">
        <v>46643</v>
      </c>
      <c r="H89">
        <f t="shared" si="4"/>
        <v>1657</v>
      </c>
      <c r="I89" s="6">
        <f t="shared" si="5"/>
        <v>0.59314579811462032</v>
      </c>
    </row>
    <row r="90" spans="1:9" ht="14.25" customHeight="1" x14ac:dyDescent="0.35">
      <c r="A90" s="3" t="s">
        <v>31</v>
      </c>
      <c r="B90" s="3" t="s">
        <v>5</v>
      </c>
      <c r="C90" s="3">
        <v>1466</v>
      </c>
      <c r="D90" s="3">
        <v>69</v>
      </c>
      <c r="E90" s="3">
        <v>54935</v>
      </c>
      <c r="F90" s="3">
        <v>6.85</v>
      </c>
      <c r="G90" s="7">
        <v>36484</v>
      </c>
      <c r="H90">
        <f t="shared" si="4"/>
        <v>1397</v>
      </c>
      <c r="I90" s="6">
        <f t="shared" si="5"/>
        <v>2.6686083553290252</v>
      </c>
    </row>
    <row r="91" spans="1:9" ht="14.25" customHeight="1" x14ac:dyDescent="0.35">
      <c r="A91" s="3" t="s">
        <v>31</v>
      </c>
      <c r="B91" s="3" t="s">
        <v>7</v>
      </c>
      <c r="C91" s="3">
        <v>947</v>
      </c>
      <c r="D91" s="3">
        <v>407</v>
      </c>
      <c r="E91" s="3">
        <v>319186</v>
      </c>
      <c r="F91" s="3">
        <v>3.32</v>
      </c>
      <c r="G91" s="7">
        <v>4996</v>
      </c>
      <c r="H91">
        <f t="shared" si="4"/>
        <v>540</v>
      </c>
      <c r="I91" s="6">
        <f t="shared" si="5"/>
        <v>0.29669221081125108</v>
      </c>
    </row>
    <row r="92" spans="1:9" ht="14.25" customHeight="1" x14ac:dyDescent="0.35">
      <c r="A92" s="3" t="s">
        <v>31</v>
      </c>
      <c r="B92" s="3" t="s">
        <v>1</v>
      </c>
      <c r="C92" s="3">
        <v>1821</v>
      </c>
      <c r="D92" s="3">
        <v>218</v>
      </c>
      <c r="E92" s="3">
        <v>439080</v>
      </c>
      <c r="F92" s="3">
        <v>5.68</v>
      </c>
      <c r="G92" s="7">
        <v>36095</v>
      </c>
      <c r="H92">
        <f t="shared" si="4"/>
        <v>1603</v>
      </c>
      <c r="I92" s="6">
        <f t="shared" si="5"/>
        <v>0.41473080076523638</v>
      </c>
    </row>
    <row r="93" spans="1:9" ht="14.25" customHeight="1" x14ac:dyDescent="0.35">
      <c r="A93" s="3" t="s">
        <v>31</v>
      </c>
      <c r="B93" s="3" t="s">
        <v>3</v>
      </c>
      <c r="C93" s="3">
        <v>1507</v>
      </c>
      <c r="D93" s="3">
        <v>463</v>
      </c>
      <c r="E93" s="3">
        <v>258944</v>
      </c>
      <c r="F93" s="3">
        <v>6.08</v>
      </c>
      <c r="G93" s="7">
        <v>16443</v>
      </c>
      <c r="H93">
        <f t="shared" si="4"/>
        <v>1044</v>
      </c>
      <c r="I93" s="6">
        <f t="shared" si="5"/>
        <v>0.58197911517548195</v>
      </c>
    </row>
    <row r="94" spans="1:9" ht="14.25" customHeight="1" x14ac:dyDescent="0.35">
      <c r="A94" s="3" t="s">
        <v>50</v>
      </c>
      <c r="B94" s="3" t="s">
        <v>5</v>
      </c>
      <c r="C94" s="3">
        <v>1075</v>
      </c>
      <c r="D94" s="3">
        <v>173</v>
      </c>
      <c r="E94" s="3">
        <v>51395</v>
      </c>
      <c r="F94" s="3">
        <v>4.66</v>
      </c>
      <c r="G94" s="7">
        <v>47812</v>
      </c>
      <c r="H94">
        <f t="shared" si="4"/>
        <v>902</v>
      </c>
      <c r="I94" s="6">
        <f t="shared" si="5"/>
        <v>2.0916431559490225</v>
      </c>
    </row>
    <row r="95" spans="1:9" ht="14.25" customHeight="1" x14ac:dyDescent="0.35">
      <c r="A95" s="3" t="s">
        <v>50</v>
      </c>
      <c r="B95" s="3" t="s">
        <v>7</v>
      </c>
      <c r="C95" s="3">
        <v>171</v>
      </c>
      <c r="D95" s="3">
        <v>277</v>
      </c>
      <c r="E95" s="3">
        <v>309483</v>
      </c>
      <c r="F95" s="3">
        <v>8.6999999999999993</v>
      </c>
      <c r="G95" s="7">
        <v>38452</v>
      </c>
      <c r="H95">
        <f t="shared" si="4"/>
        <v>-106</v>
      </c>
      <c r="I95" s="6">
        <f t="shared" si="5"/>
        <v>5.5253438799546334E-2</v>
      </c>
    </row>
    <row r="96" spans="1:9" ht="14.25" customHeight="1" x14ac:dyDescent="0.35">
      <c r="A96" s="3" t="s">
        <v>50</v>
      </c>
      <c r="B96" s="3" t="s">
        <v>1</v>
      </c>
      <c r="C96" s="3">
        <v>1487</v>
      </c>
      <c r="D96" s="3">
        <v>337</v>
      </c>
      <c r="E96" s="3">
        <v>87305</v>
      </c>
      <c r="F96" s="3">
        <v>2.46</v>
      </c>
      <c r="G96" s="7">
        <v>30428</v>
      </c>
      <c r="H96">
        <f t="shared" si="4"/>
        <v>1150</v>
      </c>
      <c r="I96" s="6">
        <f t="shared" si="5"/>
        <v>1.703224328503522</v>
      </c>
    </row>
    <row r="97" spans="1:9" ht="14.25" customHeight="1" x14ac:dyDescent="0.35">
      <c r="A97" s="3" t="s">
        <v>50</v>
      </c>
      <c r="B97" s="3" t="s">
        <v>3</v>
      </c>
      <c r="C97" s="3">
        <v>454</v>
      </c>
      <c r="D97" s="3">
        <v>105</v>
      </c>
      <c r="E97" s="3">
        <v>121091</v>
      </c>
      <c r="F97" s="3">
        <v>7.97</v>
      </c>
      <c r="G97" s="7">
        <v>9269</v>
      </c>
      <c r="H97">
        <f t="shared" si="4"/>
        <v>349</v>
      </c>
      <c r="I97" s="6">
        <f t="shared" si="5"/>
        <v>0.3749246434499674</v>
      </c>
    </row>
    <row r="98" spans="1:9" ht="14.25" customHeight="1" x14ac:dyDescent="0.35">
      <c r="A98" s="3" t="s">
        <v>9</v>
      </c>
      <c r="B98" s="3" t="s">
        <v>5</v>
      </c>
      <c r="C98" s="3">
        <v>187</v>
      </c>
      <c r="D98" s="3">
        <v>236</v>
      </c>
      <c r="E98" s="3">
        <v>51087</v>
      </c>
      <c r="F98" s="3">
        <v>9.41</v>
      </c>
      <c r="G98" s="7">
        <v>29533</v>
      </c>
      <c r="H98">
        <f t="shared" ref="H98:H129" si="6">C98-D98</f>
        <v>-49</v>
      </c>
      <c r="I98" s="6">
        <f t="shared" ref="I98:I129" si="7">C98/E98*100</f>
        <v>0.36604224166617733</v>
      </c>
    </row>
    <row r="99" spans="1:9" ht="14.25" customHeight="1" x14ac:dyDescent="0.35">
      <c r="A99" s="3" t="s">
        <v>9</v>
      </c>
      <c r="B99" s="3" t="s">
        <v>7</v>
      </c>
      <c r="C99" s="3">
        <v>513</v>
      </c>
      <c r="D99" s="3">
        <v>441</v>
      </c>
      <c r="E99" s="3">
        <v>338847</v>
      </c>
      <c r="F99" s="3">
        <v>2.68</v>
      </c>
      <c r="G99" s="7">
        <v>39997</v>
      </c>
      <c r="H99">
        <f t="shared" si="6"/>
        <v>72</v>
      </c>
      <c r="I99" s="6">
        <f t="shared" si="7"/>
        <v>0.15139576268935537</v>
      </c>
    </row>
    <row r="100" spans="1:9" ht="14.25" customHeight="1" x14ac:dyDescent="0.35">
      <c r="A100" s="3" t="s">
        <v>9</v>
      </c>
      <c r="B100" s="3" t="s">
        <v>1</v>
      </c>
      <c r="C100" s="3">
        <v>628</v>
      </c>
      <c r="D100" s="3">
        <v>183</v>
      </c>
      <c r="E100" s="3">
        <v>487523</v>
      </c>
      <c r="F100" s="3">
        <v>7.32</v>
      </c>
      <c r="G100" s="7">
        <v>5391</v>
      </c>
      <c r="H100">
        <f t="shared" si="6"/>
        <v>445</v>
      </c>
      <c r="I100" s="6">
        <f t="shared" si="7"/>
        <v>0.12881443542150833</v>
      </c>
    </row>
    <row r="101" spans="1:9" ht="14.25" customHeight="1" x14ac:dyDescent="0.35">
      <c r="A101" s="3" t="s">
        <v>9</v>
      </c>
      <c r="B101" s="3" t="s">
        <v>3</v>
      </c>
      <c r="C101" s="3">
        <v>278</v>
      </c>
      <c r="D101" s="3">
        <v>218</v>
      </c>
      <c r="E101" s="3">
        <v>301695</v>
      </c>
      <c r="F101" s="3">
        <v>4.68</v>
      </c>
      <c r="G101" s="7">
        <v>22373</v>
      </c>
      <c r="H101">
        <f t="shared" si="6"/>
        <v>60</v>
      </c>
      <c r="I101" s="6">
        <f t="shared" si="7"/>
        <v>9.2146041532010808E-2</v>
      </c>
    </row>
    <row r="102" spans="1:9" ht="14.25" customHeight="1" x14ac:dyDescent="0.35">
      <c r="A102" s="3" t="s">
        <v>17</v>
      </c>
      <c r="B102" s="3" t="s">
        <v>5</v>
      </c>
      <c r="C102" s="3">
        <v>1854</v>
      </c>
      <c r="D102" s="3">
        <v>161</v>
      </c>
      <c r="E102" s="3">
        <v>282466</v>
      </c>
      <c r="F102" s="3">
        <v>5.17</v>
      </c>
      <c r="G102" s="7">
        <v>1810</v>
      </c>
      <c r="H102">
        <f t="shared" si="6"/>
        <v>1693</v>
      </c>
      <c r="I102" s="6">
        <f t="shared" si="7"/>
        <v>0.65636218164310034</v>
      </c>
    </row>
    <row r="103" spans="1:9" ht="14.25" customHeight="1" x14ac:dyDescent="0.35">
      <c r="A103" s="3" t="s">
        <v>17</v>
      </c>
      <c r="B103" s="3" t="s">
        <v>7</v>
      </c>
      <c r="C103" s="3">
        <v>1710</v>
      </c>
      <c r="D103" s="3">
        <v>378</v>
      </c>
      <c r="E103" s="3">
        <v>336661</v>
      </c>
      <c r="F103" s="3">
        <v>6.2</v>
      </c>
      <c r="G103" s="7">
        <v>28498</v>
      </c>
      <c r="H103">
        <f t="shared" si="6"/>
        <v>1332</v>
      </c>
      <c r="I103" s="6">
        <f t="shared" si="7"/>
        <v>0.50792934138495405</v>
      </c>
    </row>
    <row r="104" spans="1:9" ht="14.25" customHeight="1" x14ac:dyDescent="0.35">
      <c r="A104" s="3" t="s">
        <v>17</v>
      </c>
      <c r="B104" s="3" t="s">
        <v>1</v>
      </c>
      <c r="C104" s="3">
        <v>330</v>
      </c>
      <c r="D104" s="3">
        <v>232</v>
      </c>
      <c r="E104" s="3">
        <v>88455</v>
      </c>
      <c r="F104" s="3">
        <v>2.69</v>
      </c>
      <c r="G104" s="7">
        <v>39530</v>
      </c>
      <c r="H104">
        <f t="shared" si="6"/>
        <v>98</v>
      </c>
      <c r="I104" s="6">
        <f t="shared" si="7"/>
        <v>0.37307105307783617</v>
      </c>
    </row>
    <row r="105" spans="1:9" ht="14.25" customHeight="1" x14ac:dyDescent="0.35">
      <c r="A105" s="3" t="s">
        <v>17</v>
      </c>
      <c r="B105" s="3" t="s">
        <v>3</v>
      </c>
      <c r="C105" s="3">
        <v>1293</v>
      </c>
      <c r="D105" s="3">
        <v>408</v>
      </c>
      <c r="E105" s="3">
        <v>62535</v>
      </c>
      <c r="F105" s="3">
        <v>8.9</v>
      </c>
      <c r="G105" s="7">
        <v>37876</v>
      </c>
      <c r="H105">
        <f t="shared" si="6"/>
        <v>885</v>
      </c>
      <c r="I105" s="6">
        <f t="shared" si="7"/>
        <v>2.067642120412569</v>
      </c>
    </row>
    <row r="106" spans="1:9" ht="14.25" customHeight="1" x14ac:dyDescent="0.35">
      <c r="A106" s="3" t="s">
        <v>51</v>
      </c>
      <c r="B106" s="3" t="s">
        <v>5</v>
      </c>
      <c r="C106" s="3">
        <v>1696</v>
      </c>
      <c r="D106" s="3">
        <v>71</v>
      </c>
      <c r="E106" s="3">
        <v>421957</v>
      </c>
      <c r="F106" s="3">
        <v>3.79</v>
      </c>
      <c r="G106" s="7">
        <v>36103</v>
      </c>
      <c r="H106">
        <f t="shared" si="6"/>
        <v>1625</v>
      </c>
      <c r="I106" s="6">
        <f t="shared" si="7"/>
        <v>0.40193669023146905</v>
      </c>
    </row>
    <row r="107" spans="1:9" ht="14.25" customHeight="1" x14ac:dyDescent="0.35">
      <c r="A107" s="3" t="s">
        <v>51</v>
      </c>
      <c r="B107" s="3" t="s">
        <v>7</v>
      </c>
      <c r="C107" s="3">
        <v>1902</v>
      </c>
      <c r="D107" s="3">
        <v>196</v>
      </c>
      <c r="E107" s="3">
        <v>470269</v>
      </c>
      <c r="F107" s="3">
        <v>4.79</v>
      </c>
      <c r="G107" s="7">
        <v>26103</v>
      </c>
      <c r="H107">
        <f t="shared" si="6"/>
        <v>1706</v>
      </c>
      <c r="I107" s="6">
        <f t="shared" si="7"/>
        <v>0.40444936834024786</v>
      </c>
    </row>
    <row r="108" spans="1:9" ht="14.25" customHeight="1" x14ac:dyDescent="0.35">
      <c r="A108" s="3" t="s">
        <v>51</v>
      </c>
      <c r="B108" s="3" t="s">
        <v>1</v>
      </c>
      <c r="C108" s="3">
        <v>1441</v>
      </c>
      <c r="D108" s="3">
        <v>268</v>
      </c>
      <c r="E108" s="3">
        <v>309904</v>
      </c>
      <c r="F108" s="3">
        <v>6.37</v>
      </c>
      <c r="G108" s="7">
        <v>3455</v>
      </c>
      <c r="H108">
        <f t="shared" si="6"/>
        <v>1173</v>
      </c>
      <c r="I108" s="6">
        <f t="shared" si="7"/>
        <v>0.4649827043213382</v>
      </c>
    </row>
    <row r="109" spans="1:9" ht="14.25" customHeight="1" x14ac:dyDescent="0.35">
      <c r="A109" s="3" t="s">
        <v>51</v>
      </c>
      <c r="B109" s="3" t="s">
        <v>3</v>
      </c>
      <c r="C109" s="3">
        <v>452</v>
      </c>
      <c r="D109" s="3">
        <v>161</v>
      </c>
      <c r="E109" s="3">
        <v>221274</v>
      </c>
      <c r="F109" s="3">
        <v>2.65</v>
      </c>
      <c r="G109" s="7">
        <v>40888</v>
      </c>
      <c r="H109">
        <f t="shared" si="6"/>
        <v>291</v>
      </c>
      <c r="I109" s="6">
        <f t="shared" si="7"/>
        <v>0.20427162703254789</v>
      </c>
    </row>
    <row r="110" spans="1:9" ht="14.25" customHeight="1" x14ac:dyDescent="0.35">
      <c r="A110" s="3" t="s">
        <v>25</v>
      </c>
      <c r="B110" s="3" t="s">
        <v>5</v>
      </c>
      <c r="C110" s="3">
        <v>1494</v>
      </c>
      <c r="D110" s="3">
        <v>375</v>
      </c>
      <c r="E110" s="3">
        <v>220616</v>
      </c>
      <c r="F110" s="3">
        <v>1.81</v>
      </c>
      <c r="G110" s="7">
        <v>22724</v>
      </c>
      <c r="H110">
        <f t="shared" si="6"/>
        <v>1119</v>
      </c>
      <c r="I110" s="6">
        <f t="shared" si="7"/>
        <v>0.6771947637524024</v>
      </c>
    </row>
    <row r="111" spans="1:9" ht="14.25" customHeight="1" x14ac:dyDescent="0.35">
      <c r="A111" s="3" t="s">
        <v>25</v>
      </c>
      <c r="B111" s="3" t="s">
        <v>7</v>
      </c>
      <c r="C111" s="3">
        <v>1514</v>
      </c>
      <c r="D111" s="3">
        <v>141</v>
      </c>
      <c r="E111" s="3">
        <v>35842</v>
      </c>
      <c r="F111" s="3">
        <v>7.47</v>
      </c>
      <c r="G111" s="7">
        <v>18601</v>
      </c>
      <c r="H111">
        <f t="shared" si="6"/>
        <v>1373</v>
      </c>
      <c r="I111" s="6">
        <f t="shared" si="7"/>
        <v>4.2240946375760275</v>
      </c>
    </row>
    <row r="112" spans="1:9" ht="14.25" customHeight="1" x14ac:dyDescent="0.35">
      <c r="A112" s="3" t="s">
        <v>25</v>
      </c>
      <c r="B112" s="3" t="s">
        <v>1</v>
      </c>
      <c r="C112" s="3">
        <v>1937</v>
      </c>
      <c r="D112" s="3">
        <v>210</v>
      </c>
      <c r="E112" s="3">
        <v>20607</v>
      </c>
      <c r="F112" s="3">
        <v>4.2</v>
      </c>
      <c r="G112" s="7">
        <v>20861</v>
      </c>
      <c r="H112">
        <f t="shared" si="6"/>
        <v>1727</v>
      </c>
      <c r="I112" s="6">
        <f t="shared" si="7"/>
        <v>9.3997185422429261</v>
      </c>
    </row>
    <row r="113" spans="1:9" ht="14.25" customHeight="1" x14ac:dyDescent="0.35">
      <c r="A113" s="3" t="s">
        <v>25</v>
      </c>
      <c r="B113" s="3" t="s">
        <v>3</v>
      </c>
      <c r="C113" s="3">
        <v>736</v>
      </c>
      <c r="D113" s="3">
        <v>163</v>
      </c>
      <c r="E113" s="3">
        <v>451894</v>
      </c>
      <c r="F113" s="3">
        <v>5.43</v>
      </c>
      <c r="G113" s="7">
        <v>46625</v>
      </c>
      <c r="H113">
        <f t="shared" si="6"/>
        <v>573</v>
      </c>
      <c r="I113" s="6">
        <f t="shared" si="7"/>
        <v>0.16287005359663992</v>
      </c>
    </row>
    <row r="114" spans="1:9" ht="14.25" customHeight="1" x14ac:dyDescent="0.35">
      <c r="A114" s="3" t="s">
        <v>14</v>
      </c>
      <c r="B114" s="3" t="s">
        <v>5</v>
      </c>
      <c r="C114" s="3">
        <v>1502</v>
      </c>
      <c r="D114" s="3">
        <v>70</v>
      </c>
      <c r="E114" s="3">
        <v>465553</v>
      </c>
      <c r="F114" s="3">
        <v>3.32</v>
      </c>
      <c r="G114" s="7">
        <v>20692</v>
      </c>
      <c r="H114">
        <f t="shared" si="6"/>
        <v>1432</v>
      </c>
      <c r="I114" s="6">
        <f t="shared" si="7"/>
        <v>0.32262706931326829</v>
      </c>
    </row>
    <row r="115" spans="1:9" ht="14.25" customHeight="1" x14ac:dyDescent="0.35">
      <c r="A115" s="3" t="s">
        <v>14</v>
      </c>
      <c r="B115" s="3" t="s">
        <v>7</v>
      </c>
      <c r="C115" s="3">
        <v>1623</v>
      </c>
      <c r="D115" s="3">
        <v>246</v>
      </c>
      <c r="E115" s="3">
        <v>415815</v>
      </c>
      <c r="F115" s="3">
        <v>8.11</v>
      </c>
      <c r="G115" s="7">
        <v>18656</v>
      </c>
      <c r="H115">
        <f t="shared" si="6"/>
        <v>1377</v>
      </c>
      <c r="I115" s="6">
        <f t="shared" si="7"/>
        <v>0.39031780960282819</v>
      </c>
    </row>
    <row r="116" spans="1:9" ht="14.25" customHeight="1" x14ac:dyDescent="0.35">
      <c r="A116" s="3" t="s">
        <v>14</v>
      </c>
      <c r="B116" s="3" t="s">
        <v>1</v>
      </c>
      <c r="C116" s="3">
        <v>1592</v>
      </c>
      <c r="D116" s="3">
        <v>233</v>
      </c>
      <c r="E116" s="3">
        <v>327183</v>
      </c>
      <c r="F116" s="3">
        <v>6.66</v>
      </c>
      <c r="G116" s="7">
        <v>13316</v>
      </c>
      <c r="H116">
        <f t="shared" si="6"/>
        <v>1359</v>
      </c>
      <c r="I116" s="6">
        <f t="shared" si="7"/>
        <v>0.48657784787106911</v>
      </c>
    </row>
    <row r="117" spans="1:9" ht="14.25" customHeight="1" x14ac:dyDescent="0.35">
      <c r="A117" s="3" t="s">
        <v>14</v>
      </c>
      <c r="B117" s="3" t="s">
        <v>3</v>
      </c>
      <c r="C117" s="3">
        <v>1004</v>
      </c>
      <c r="D117" s="3">
        <v>128</v>
      </c>
      <c r="E117" s="3">
        <v>488901</v>
      </c>
      <c r="F117" s="3">
        <v>8.09</v>
      </c>
      <c r="G117" s="7">
        <v>49558</v>
      </c>
      <c r="H117">
        <f t="shared" si="6"/>
        <v>876</v>
      </c>
      <c r="I117" s="6">
        <f t="shared" si="7"/>
        <v>0.20535854907230708</v>
      </c>
    </row>
    <row r="118" spans="1:9" ht="14.25" customHeight="1" x14ac:dyDescent="0.35">
      <c r="A118" s="3" t="s">
        <v>2</v>
      </c>
      <c r="B118" s="3" t="s">
        <v>5</v>
      </c>
      <c r="C118" s="3">
        <v>1092</v>
      </c>
      <c r="D118" s="3">
        <v>408</v>
      </c>
      <c r="E118" s="3">
        <v>280795</v>
      </c>
      <c r="F118" s="3">
        <v>8.44</v>
      </c>
      <c r="G118" s="7">
        <v>4683</v>
      </c>
      <c r="H118">
        <f t="shared" si="6"/>
        <v>684</v>
      </c>
      <c r="I118" s="6">
        <f t="shared" si="7"/>
        <v>0.38889581367189585</v>
      </c>
    </row>
    <row r="119" spans="1:9" ht="14.25" customHeight="1" x14ac:dyDescent="0.35">
      <c r="A119" s="3" t="s">
        <v>2</v>
      </c>
      <c r="B119" s="3" t="s">
        <v>7</v>
      </c>
      <c r="C119" s="3">
        <v>1155</v>
      </c>
      <c r="D119" s="3">
        <v>425</v>
      </c>
      <c r="E119" s="3">
        <v>93347</v>
      </c>
      <c r="F119" s="3">
        <v>2.02</v>
      </c>
      <c r="G119" s="7">
        <v>47502</v>
      </c>
      <c r="H119">
        <f t="shared" si="6"/>
        <v>730</v>
      </c>
      <c r="I119" s="6">
        <f t="shared" si="7"/>
        <v>1.237318821172614</v>
      </c>
    </row>
    <row r="120" spans="1:9" ht="14.25" customHeight="1" x14ac:dyDescent="0.35">
      <c r="A120" s="3" t="s">
        <v>2</v>
      </c>
      <c r="B120" s="3" t="s">
        <v>1</v>
      </c>
      <c r="C120" s="3">
        <v>1137</v>
      </c>
      <c r="D120" s="3">
        <v>226</v>
      </c>
      <c r="E120" s="3">
        <v>81119</v>
      </c>
      <c r="F120" s="3">
        <v>7.74</v>
      </c>
      <c r="G120" s="7">
        <v>35359</v>
      </c>
      <c r="H120">
        <f t="shared" si="6"/>
        <v>911</v>
      </c>
      <c r="I120" s="6">
        <f t="shared" si="7"/>
        <v>1.4016444975899605</v>
      </c>
    </row>
    <row r="121" spans="1:9" ht="14.25" customHeight="1" x14ac:dyDescent="0.35">
      <c r="A121" s="3" t="s">
        <v>2</v>
      </c>
      <c r="B121" s="3" t="s">
        <v>3</v>
      </c>
      <c r="C121" s="3">
        <v>1900</v>
      </c>
      <c r="D121" s="3">
        <v>311</v>
      </c>
      <c r="E121" s="3">
        <v>25177</v>
      </c>
      <c r="F121" s="3">
        <v>2.89</v>
      </c>
      <c r="G121" s="7">
        <v>14154</v>
      </c>
      <c r="H121">
        <f t="shared" si="6"/>
        <v>1589</v>
      </c>
      <c r="I121" s="6">
        <f t="shared" si="7"/>
        <v>7.5465702824006042</v>
      </c>
    </row>
    <row r="122" spans="1:9" ht="14.25" customHeight="1" x14ac:dyDescent="0.35">
      <c r="A122" s="3" t="s">
        <v>52</v>
      </c>
      <c r="B122" s="3" t="s">
        <v>5</v>
      </c>
      <c r="C122" s="3">
        <v>1814</v>
      </c>
      <c r="D122" s="3">
        <v>49</v>
      </c>
      <c r="E122" s="3">
        <v>140804</v>
      </c>
      <c r="F122" s="3">
        <v>1.76</v>
      </c>
      <c r="G122" s="7">
        <v>4313</v>
      </c>
      <c r="H122">
        <f t="shared" si="6"/>
        <v>1765</v>
      </c>
      <c r="I122" s="6">
        <f t="shared" si="7"/>
        <v>1.2883156728502032</v>
      </c>
    </row>
    <row r="123" spans="1:9" ht="14.25" customHeight="1" x14ac:dyDescent="0.35">
      <c r="A123" s="3" t="s">
        <v>52</v>
      </c>
      <c r="B123" s="3" t="s">
        <v>7</v>
      </c>
      <c r="C123" s="3">
        <v>1980</v>
      </c>
      <c r="D123" s="3">
        <v>204</v>
      </c>
      <c r="E123" s="3">
        <v>379431</v>
      </c>
      <c r="F123" s="3">
        <v>3.09</v>
      </c>
      <c r="G123" s="7">
        <v>25140</v>
      </c>
      <c r="H123">
        <f t="shared" si="6"/>
        <v>1776</v>
      </c>
      <c r="I123" s="6">
        <f t="shared" si="7"/>
        <v>0.52183400934557267</v>
      </c>
    </row>
    <row r="124" spans="1:9" ht="14.25" customHeight="1" x14ac:dyDescent="0.35">
      <c r="A124" s="3" t="s">
        <v>52</v>
      </c>
      <c r="B124" s="3" t="s">
        <v>1</v>
      </c>
      <c r="C124" s="3">
        <v>1786</v>
      </c>
      <c r="D124" s="3">
        <v>257</v>
      </c>
      <c r="E124" s="3">
        <v>274831</v>
      </c>
      <c r="F124" s="3">
        <v>4.68</v>
      </c>
      <c r="G124" s="7">
        <v>9118</v>
      </c>
      <c r="H124">
        <f t="shared" si="6"/>
        <v>1529</v>
      </c>
      <c r="I124" s="6">
        <f t="shared" si="7"/>
        <v>0.64985391022119054</v>
      </c>
    </row>
    <row r="125" spans="1:9" ht="14.25" customHeight="1" x14ac:dyDescent="0.35">
      <c r="A125" s="3" t="s">
        <v>52</v>
      </c>
      <c r="B125" s="3" t="s">
        <v>3</v>
      </c>
      <c r="C125" s="3">
        <v>1495</v>
      </c>
      <c r="D125" s="3">
        <v>35</v>
      </c>
      <c r="E125" s="3">
        <v>136845</v>
      </c>
      <c r="F125" s="3">
        <v>4.4800000000000004</v>
      </c>
      <c r="G125" s="7">
        <v>39931</v>
      </c>
      <c r="H125">
        <f t="shared" si="6"/>
        <v>1460</v>
      </c>
      <c r="I125" s="6">
        <f t="shared" si="7"/>
        <v>1.0924768899119441</v>
      </c>
    </row>
    <row r="126" spans="1:9" ht="14.25" customHeight="1" x14ac:dyDescent="0.35">
      <c r="A126" s="3" t="s">
        <v>15</v>
      </c>
      <c r="B126" s="3" t="s">
        <v>5</v>
      </c>
      <c r="C126" s="3">
        <v>1013</v>
      </c>
      <c r="D126" s="3">
        <v>110</v>
      </c>
      <c r="E126" s="3">
        <v>466382</v>
      </c>
      <c r="F126" s="3">
        <v>5.3</v>
      </c>
      <c r="G126" s="7">
        <v>37132</v>
      </c>
      <c r="H126">
        <f t="shared" si="6"/>
        <v>903</v>
      </c>
      <c r="I126" s="6">
        <f t="shared" si="7"/>
        <v>0.21720392296443689</v>
      </c>
    </row>
    <row r="127" spans="1:9" ht="14.25" customHeight="1" x14ac:dyDescent="0.35">
      <c r="A127" s="3" t="s">
        <v>15</v>
      </c>
      <c r="B127" s="3" t="s">
        <v>7</v>
      </c>
      <c r="C127" s="3">
        <v>816</v>
      </c>
      <c r="D127" s="3">
        <v>196</v>
      </c>
      <c r="E127" s="3">
        <v>95728</v>
      </c>
      <c r="F127" s="3">
        <v>8.1999999999999993</v>
      </c>
      <c r="G127" s="7">
        <v>17951</v>
      </c>
      <c r="H127">
        <f t="shared" si="6"/>
        <v>620</v>
      </c>
      <c r="I127" s="6">
        <f t="shared" si="7"/>
        <v>0.85241517633294328</v>
      </c>
    </row>
    <row r="128" spans="1:9" ht="14.25" customHeight="1" x14ac:dyDescent="0.35">
      <c r="A128" s="3" t="s">
        <v>15</v>
      </c>
      <c r="B128" s="3" t="s">
        <v>1</v>
      </c>
      <c r="C128" s="3">
        <v>1633</v>
      </c>
      <c r="D128" s="3">
        <v>445</v>
      </c>
      <c r="E128" s="3">
        <v>371156</v>
      </c>
      <c r="F128" s="3">
        <v>2.2200000000000002</v>
      </c>
      <c r="G128" s="7">
        <v>2798</v>
      </c>
      <c r="H128">
        <f t="shared" si="6"/>
        <v>1188</v>
      </c>
      <c r="I128" s="6">
        <f t="shared" si="7"/>
        <v>0.43997672137861171</v>
      </c>
    </row>
    <row r="129" spans="1:9" ht="14.25" customHeight="1" x14ac:dyDescent="0.35">
      <c r="A129" s="3" t="s">
        <v>15</v>
      </c>
      <c r="B129" s="3" t="s">
        <v>3</v>
      </c>
      <c r="C129" s="3">
        <v>891</v>
      </c>
      <c r="D129" s="3">
        <v>45</v>
      </c>
      <c r="E129" s="3">
        <v>95410</v>
      </c>
      <c r="F129" s="3">
        <v>8.33</v>
      </c>
      <c r="G129" s="7">
        <v>15045</v>
      </c>
      <c r="H129">
        <f t="shared" si="6"/>
        <v>846</v>
      </c>
      <c r="I129" s="6">
        <f t="shared" si="7"/>
        <v>0.93386437480347984</v>
      </c>
    </row>
    <row r="130" spans="1:9" ht="14.25" customHeight="1" x14ac:dyDescent="0.35">
      <c r="A130" s="3" t="s">
        <v>53</v>
      </c>
      <c r="B130" s="3" t="s">
        <v>5</v>
      </c>
      <c r="C130" s="3">
        <v>1855</v>
      </c>
      <c r="D130" s="3">
        <v>133</v>
      </c>
      <c r="E130" s="3">
        <v>349413</v>
      </c>
      <c r="F130" s="3">
        <v>3.3</v>
      </c>
      <c r="G130" s="7">
        <v>14548</v>
      </c>
      <c r="H130">
        <f t="shared" ref="H130:H161" si="8">C130-D130</f>
        <v>1722</v>
      </c>
      <c r="I130" s="6">
        <f t="shared" ref="I130:I161" si="9">C130/E130*100</f>
        <v>0.53089037900707758</v>
      </c>
    </row>
    <row r="131" spans="1:9" ht="14.25" customHeight="1" x14ac:dyDescent="0.35">
      <c r="A131" s="3" t="s">
        <v>53</v>
      </c>
      <c r="B131" s="3" t="s">
        <v>7</v>
      </c>
      <c r="C131" s="3">
        <v>651</v>
      </c>
      <c r="D131" s="3">
        <v>353</v>
      </c>
      <c r="E131" s="3">
        <v>224699</v>
      </c>
      <c r="F131" s="3">
        <v>5.61</v>
      </c>
      <c r="G131" s="7">
        <v>45708</v>
      </c>
      <c r="H131">
        <f t="shared" si="8"/>
        <v>298</v>
      </c>
      <c r="I131" s="6">
        <f t="shared" si="9"/>
        <v>0.28972091553589469</v>
      </c>
    </row>
    <row r="132" spans="1:9" ht="14.25" customHeight="1" x14ac:dyDescent="0.35">
      <c r="A132" s="3" t="s">
        <v>53</v>
      </c>
      <c r="B132" s="3" t="s">
        <v>1</v>
      </c>
      <c r="C132" s="3">
        <v>118</v>
      </c>
      <c r="D132" s="3">
        <v>262</v>
      </c>
      <c r="E132" s="3">
        <v>487896</v>
      </c>
      <c r="F132" s="3">
        <v>2.56</v>
      </c>
      <c r="G132" s="7">
        <v>12350</v>
      </c>
      <c r="H132">
        <f t="shared" si="8"/>
        <v>-144</v>
      </c>
      <c r="I132" s="6">
        <f t="shared" si="9"/>
        <v>2.4185482151934019E-2</v>
      </c>
    </row>
    <row r="133" spans="1:9" ht="14.25" customHeight="1" x14ac:dyDescent="0.35">
      <c r="A133" s="3" t="s">
        <v>53</v>
      </c>
      <c r="B133" s="3" t="s">
        <v>3</v>
      </c>
      <c r="C133" s="3">
        <v>1331</v>
      </c>
      <c r="D133" s="3">
        <v>430</v>
      </c>
      <c r="E133" s="3">
        <v>14437</v>
      </c>
      <c r="F133" s="3">
        <v>3.29</v>
      </c>
      <c r="G133" s="7">
        <v>40868</v>
      </c>
      <c r="H133">
        <f t="shared" si="8"/>
        <v>901</v>
      </c>
      <c r="I133" s="6">
        <f t="shared" si="9"/>
        <v>9.2193669044815412</v>
      </c>
    </row>
    <row r="134" spans="1:9" ht="14.25" customHeight="1" x14ac:dyDescent="0.35">
      <c r="A134" s="3" t="s">
        <v>54</v>
      </c>
      <c r="B134" s="3" t="s">
        <v>5</v>
      </c>
      <c r="C134" s="3">
        <v>1748</v>
      </c>
      <c r="D134" s="3">
        <v>176</v>
      </c>
      <c r="E134" s="3">
        <v>383681</v>
      </c>
      <c r="F134" s="3">
        <v>9.24</v>
      </c>
      <c r="G134" s="7">
        <v>43122</v>
      </c>
      <c r="H134">
        <f t="shared" si="8"/>
        <v>1572</v>
      </c>
      <c r="I134" s="6">
        <f t="shared" si="9"/>
        <v>0.45558680257818346</v>
      </c>
    </row>
    <row r="135" spans="1:9" ht="14.25" customHeight="1" x14ac:dyDescent="0.35">
      <c r="A135" s="3" t="s">
        <v>54</v>
      </c>
      <c r="B135" s="3" t="s">
        <v>7</v>
      </c>
      <c r="C135" s="3">
        <v>663</v>
      </c>
      <c r="D135" s="3">
        <v>236</v>
      </c>
      <c r="E135" s="3">
        <v>479490</v>
      </c>
      <c r="F135" s="3">
        <v>4.51</v>
      </c>
      <c r="G135" s="7">
        <v>23853</v>
      </c>
      <c r="H135">
        <f t="shared" si="8"/>
        <v>427</v>
      </c>
      <c r="I135" s="6">
        <f t="shared" si="9"/>
        <v>0.1382719139085278</v>
      </c>
    </row>
    <row r="136" spans="1:9" ht="14.25" customHeight="1" x14ac:dyDescent="0.35">
      <c r="A136" s="3" t="s">
        <v>54</v>
      </c>
      <c r="B136" s="3" t="s">
        <v>1</v>
      </c>
      <c r="C136" s="3">
        <v>1040</v>
      </c>
      <c r="D136" s="3">
        <v>149</v>
      </c>
      <c r="E136" s="3">
        <v>124404</v>
      </c>
      <c r="F136" s="3">
        <v>5.23</v>
      </c>
      <c r="G136" s="7">
        <v>45380</v>
      </c>
      <c r="H136">
        <f t="shared" si="8"/>
        <v>891</v>
      </c>
      <c r="I136" s="6">
        <f t="shared" si="9"/>
        <v>0.83598598115816203</v>
      </c>
    </row>
    <row r="137" spans="1:9" ht="14.25" customHeight="1" x14ac:dyDescent="0.35">
      <c r="A137" s="3" t="s">
        <v>54</v>
      </c>
      <c r="B137" s="3" t="s">
        <v>3</v>
      </c>
      <c r="C137" s="3">
        <v>1166</v>
      </c>
      <c r="D137" s="3">
        <v>442</v>
      </c>
      <c r="E137" s="3">
        <v>336949</v>
      </c>
      <c r="F137" s="3">
        <v>4.68</v>
      </c>
      <c r="G137" s="7">
        <v>7705</v>
      </c>
      <c r="H137">
        <f t="shared" si="8"/>
        <v>724</v>
      </c>
      <c r="I137" s="6">
        <f t="shared" si="9"/>
        <v>0.34604643432685656</v>
      </c>
    </row>
    <row r="138" spans="1:9" ht="14.25" customHeight="1" x14ac:dyDescent="0.35">
      <c r="A138" s="3" t="s">
        <v>26</v>
      </c>
      <c r="B138" s="3" t="s">
        <v>5</v>
      </c>
      <c r="C138" s="3">
        <v>115</v>
      </c>
      <c r="D138" s="3">
        <v>281</v>
      </c>
      <c r="E138" s="3">
        <v>357265</v>
      </c>
      <c r="F138" s="3">
        <v>9.23</v>
      </c>
      <c r="G138" s="7">
        <v>25525</v>
      </c>
      <c r="H138">
        <f t="shared" si="8"/>
        <v>-166</v>
      </c>
      <c r="I138" s="6">
        <f t="shared" si="9"/>
        <v>3.2188991364953186E-2</v>
      </c>
    </row>
    <row r="139" spans="1:9" ht="14.25" customHeight="1" x14ac:dyDescent="0.35">
      <c r="A139" s="3" t="s">
        <v>26</v>
      </c>
      <c r="B139" s="3" t="s">
        <v>7</v>
      </c>
      <c r="C139" s="3">
        <v>1249</v>
      </c>
      <c r="D139" s="3">
        <v>351</v>
      </c>
      <c r="E139" s="3">
        <v>321307</v>
      </c>
      <c r="F139" s="3">
        <v>6.37</v>
      </c>
      <c r="G139" s="7">
        <v>20560</v>
      </c>
      <c r="H139">
        <f t="shared" si="8"/>
        <v>898</v>
      </c>
      <c r="I139" s="6">
        <f t="shared" si="9"/>
        <v>0.38872480213627464</v>
      </c>
    </row>
    <row r="140" spans="1:9" ht="14.25" customHeight="1" x14ac:dyDescent="0.35">
      <c r="A140" s="3" t="s">
        <v>26</v>
      </c>
      <c r="B140" s="3" t="s">
        <v>1</v>
      </c>
      <c r="C140" s="3">
        <v>1501</v>
      </c>
      <c r="D140" s="3">
        <v>75</v>
      </c>
      <c r="E140" s="3">
        <v>262569</v>
      </c>
      <c r="F140" s="3">
        <v>2.0099999999999998</v>
      </c>
      <c r="G140" s="7">
        <v>19119</v>
      </c>
      <c r="H140">
        <f t="shared" si="8"/>
        <v>1426</v>
      </c>
      <c r="I140" s="6">
        <f t="shared" si="9"/>
        <v>0.5716592590899916</v>
      </c>
    </row>
    <row r="141" spans="1:9" ht="14.25" customHeight="1" x14ac:dyDescent="0.35">
      <c r="A141" s="3" t="s">
        <v>26</v>
      </c>
      <c r="B141" s="3" t="s">
        <v>3</v>
      </c>
      <c r="C141" s="3">
        <v>1411</v>
      </c>
      <c r="D141" s="3">
        <v>186</v>
      </c>
      <c r="E141" s="3">
        <v>461669</v>
      </c>
      <c r="F141" s="3">
        <v>3.72</v>
      </c>
      <c r="G141" s="7">
        <v>43999</v>
      </c>
      <c r="H141">
        <f t="shared" si="8"/>
        <v>1225</v>
      </c>
      <c r="I141" s="6">
        <f t="shared" si="9"/>
        <v>0.30563022425157416</v>
      </c>
    </row>
    <row r="142" spans="1:9" ht="14.25" customHeight="1" x14ac:dyDescent="0.35">
      <c r="A142" s="3" t="s">
        <v>55</v>
      </c>
      <c r="B142" s="3" t="s">
        <v>5</v>
      </c>
      <c r="C142" s="3">
        <v>1556</v>
      </c>
      <c r="D142" s="3">
        <v>476</v>
      </c>
      <c r="E142" s="3">
        <v>351556</v>
      </c>
      <c r="F142" s="3">
        <v>3.89</v>
      </c>
      <c r="G142" s="7">
        <v>10825</v>
      </c>
      <c r="H142">
        <f t="shared" si="8"/>
        <v>1080</v>
      </c>
      <c r="I142" s="6">
        <f t="shared" si="9"/>
        <v>0.44260373880690418</v>
      </c>
    </row>
    <row r="143" spans="1:9" ht="14.25" customHeight="1" x14ac:dyDescent="0.35">
      <c r="A143" s="3" t="s">
        <v>55</v>
      </c>
      <c r="B143" s="3" t="s">
        <v>7</v>
      </c>
      <c r="C143" s="3">
        <v>1159</v>
      </c>
      <c r="D143" s="3">
        <v>411</v>
      </c>
      <c r="E143" s="3">
        <v>135987</v>
      </c>
      <c r="F143" s="3">
        <v>8.6999999999999993</v>
      </c>
      <c r="G143" s="7">
        <v>40323</v>
      </c>
      <c r="H143">
        <f t="shared" si="8"/>
        <v>748</v>
      </c>
      <c r="I143" s="6">
        <f t="shared" si="9"/>
        <v>0.85228735099678654</v>
      </c>
    </row>
    <row r="144" spans="1:9" ht="14.25" customHeight="1" x14ac:dyDescent="0.35">
      <c r="A144" s="3" t="s">
        <v>55</v>
      </c>
      <c r="B144" s="3" t="s">
        <v>1</v>
      </c>
      <c r="C144" s="3">
        <v>927</v>
      </c>
      <c r="D144" s="3">
        <v>358</v>
      </c>
      <c r="E144" s="3">
        <v>177554</v>
      </c>
      <c r="F144" s="3">
        <v>6.95</v>
      </c>
      <c r="G144" s="7">
        <v>48270</v>
      </c>
      <c r="H144">
        <f t="shared" si="8"/>
        <v>569</v>
      </c>
      <c r="I144" s="6">
        <f t="shared" si="9"/>
        <v>0.52209468668686709</v>
      </c>
    </row>
    <row r="145" spans="1:9" ht="14.25" customHeight="1" x14ac:dyDescent="0.35">
      <c r="A145" s="3" t="s">
        <v>55</v>
      </c>
      <c r="B145" s="3" t="s">
        <v>3</v>
      </c>
      <c r="C145" s="3">
        <v>152</v>
      </c>
      <c r="D145" s="3">
        <v>355</v>
      </c>
      <c r="E145" s="3">
        <v>270766</v>
      </c>
      <c r="F145" s="3">
        <v>9.48</v>
      </c>
      <c r="G145" s="7">
        <v>18001</v>
      </c>
      <c r="H145">
        <f t="shared" si="8"/>
        <v>-203</v>
      </c>
      <c r="I145" s="6">
        <f t="shared" si="9"/>
        <v>5.6137033453240066E-2</v>
      </c>
    </row>
    <row r="146" spans="1:9" ht="14.25" customHeight="1" x14ac:dyDescent="0.35">
      <c r="A146" s="3" t="s">
        <v>29</v>
      </c>
      <c r="B146" s="3" t="s">
        <v>5</v>
      </c>
      <c r="C146" s="3">
        <v>1957</v>
      </c>
      <c r="D146" s="3">
        <v>234</v>
      </c>
      <c r="E146" s="3">
        <v>222126</v>
      </c>
      <c r="F146" s="3">
        <v>4.6100000000000003</v>
      </c>
      <c r="G146" s="7">
        <v>3314</v>
      </c>
      <c r="H146">
        <f t="shared" si="8"/>
        <v>1723</v>
      </c>
      <c r="I146" s="6">
        <f t="shared" si="9"/>
        <v>0.88103148663371234</v>
      </c>
    </row>
    <row r="147" spans="1:9" ht="14.25" customHeight="1" x14ac:dyDescent="0.35">
      <c r="A147" s="3" t="s">
        <v>29</v>
      </c>
      <c r="B147" s="3" t="s">
        <v>7</v>
      </c>
      <c r="C147" s="3">
        <v>1294</v>
      </c>
      <c r="D147" s="3">
        <v>382</v>
      </c>
      <c r="E147" s="3">
        <v>309914</v>
      </c>
      <c r="F147" s="3">
        <v>8.0299999999999994</v>
      </c>
      <c r="G147" s="7">
        <v>23489</v>
      </c>
      <c r="H147">
        <f t="shared" si="8"/>
        <v>912</v>
      </c>
      <c r="I147" s="6">
        <f t="shared" si="9"/>
        <v>0.41753518718095983</v>
      </c>
    </row>
    <row r="148" spans="1:9" ht="14.25" customHeight="1" x14ac:dyDescent="0.35">
      <c r="A148" s="3" t="s">
        <v>29</v>
      </c>
      <c r="B148" s="3" t="s">
        <v>1</v>
      </c>
      <c r="C148" s="3">
        <v>1587</v>
      </c>
      <c r="D148" s="3">
        <v>385</v>
      </c>
      <c r="E148" s="3">
        <v>126582</v>
      </c>
      <c r="F148" s="3">
        <v>6.99</v>
      </c>
      <c r="G148" s="7">
        <v>42832</v>
      </c>
      <c r="H148">
        <f t="shared" si="8"/>
        <v>1202</v>
      </c>
      <c r="I148" s="6">
        <f t="shared" si="9"/>
        <v>1.2537327582120681</v>
      </c>
    </row>
    <row r="149" spans="1:9" ht="14.25" customHeight="1" x14ac:dyDescent="0.35">
      <c r="A149" s="3" t="s">
        <v>29</v>
      </c>
      <c r="B149" s="3" t="s">
        <v>3</v>
      </c>
      <c r="C149" s="3">
        <v>1707</v>
      </c>
      <c r="D149" s="3">
        <v>263</v>
      </c>
      <c r="E149" s="3">
        <v>485280</v>
      </c>
      <c r="F149" s="3">
        <v>9.0299999999999994</v>
      </c>
      <c r="G149" s="7">
        <v>24494</v>
      </c>
      <c r="H149">
        <f t="shared" si="8"/>
        <v>1444</v>
      </c>
      <c r="I149" s="6">
        <f t="shared" si="9"/>
        <v>0.35175568743818003</v>
      </c>
    </row>
    <row r="150" spans="1:9" ht="14.25" customHeight="1" x14ac:dyDescent="0.35">
      <c r="A150" s="3" t="s">
        <v>16</v>
      </c>
      <c r="B150" s="3" t="s">
        <v>5</v>
      </c>
      <c r="C150" s="3">
        <v>1138</v>
      </c>
      <c r="D150" s="3">
        <v>173</v>
      </c>
      <c r="E150" s="3">
        <v>453243</v>
      </c>
      <c r="F150" s="3">
        <v>2.86</v>
      </c>
      <c r="G150" s="7">
        <v>44097</v>
      </c>
      <c r="H150">
        <f t="shared" si="8"/>
        <v>965</v>
      </c>
      <c r="I150" s="6">
        <f t="shared" si="9"/>
        <v>0.25107944303607554</v>
      </c>
    </row>
    <row r="151" spans="1:9" ht="14.25" customHeight="1" x14ac:dyDescent="0.35">
      <c r="A151" s="3" t="s">
        <v>16</v>
      </c>
      <c r="B151" s="3" t="s">
        <v>7</v>
      </c>
      <c r="C151" s="3">
        <v>1895</v>
      </c>
      <c r="D151" s="3">
        <v>305</v>
      </c>
      <c r="E151" s="3">
        <v>104967</v>
      </c>
      <c r="F151" s="3">
        <v>3.85</v>
      </c>
      <c r="G151" s="7">
        <v>31853</v>
      </c>
      <c r="H151">
        <f t="shared" si="8"/>
        <v>1590</v>
      </c>
      <c r="I151" s="6">
        <f t="shared" si="9"/>
        <v>1.8053292939685808</v>
      </c>
    </row>
    <row r="152" spans="1:9" ht="14.25" customHeight="1" x14ac:dyDescent="0.35">
      <c r="A152" s="3" t="s">
        <v>16</v>
      </c>
      <c r="B152" s="3" t="s">
        <v>1</v>
      </c>
      <c r="C152" s="3">
        <v>362</v>
      </c>
      <c r="D152" s="3">
        <v>399</v>
      </c>
      <c r="E152" s="3">
        <v>145608</v>
      </c>
      <c r="F152" s="3">
        <v>7.3</v>
      </c>
      <c r="G152" s="7">
        <v>37636</v>
      </c>
      <c r="H152">
        <f t="shared" si="8"/>
        <v>-37</v>
      </c>
      <c r="I152" s="6">
        <f t="shared" si="9"/>
        <v>0.24861271358716552</v>
      </c>
    </row>
    <row r="153" spans="1:9" ht="14.25" customHeight="1" x14ac:dyDescent="0.35">
      <c r="A153" s="3" t="s">
        <v>16</v>
      </c>
      <c r="B153" s="3" t="s">
        <v>3</v>
      </c>
      <c r="C153" s="3">
        <v>1662</v>
      </c>
      <c r="D153" s="3">
        <v>487</v>
      </c>
      <c r="E153" s="3">
        <v>105980</v>
      </c>
      <c r="F153" s="3">
        <v>9.08</v>
      </c>
      <c r="G153" s="7">
        <v>22996</v>
      </c>
      <c r="H153">
        <f t="shared" si="8"/>
        <v>1175</v>
      </c>
      <c r="I153" s="6">
        <f t="shared" si="9"/>
        <v>1.5682204189469713</v>
      </c>
    </row>
    <row r="154" spans="1:9" ht="14.25" customHeight="1" x14ac:dyDescent="0.35">
      <c r="A154" s="3" t="s">
        <v>18</v>
      </c>
      <c r="B154" s="3" t="s">
        <v>5</v>
      </c>
      <c r="C154" s="3">
        <v>1440</v>
      </c>
      <c r="D154" s="3">
        <v>65</v>
      </c>
      <c r="E154" s="3">
        <v>126524</v>
      </c>
      <c r="F154" s="3">
        <v>4.34</v>
      </c>
      <c r="G154" s="7">
        <v>49772</v>
      </c>
      <c r="H154">
        <f t="shared" si="8"/>
        <v>1375</v>
      </c>
      <c r="I154" s="6">
        <f t="shared" si="9"/>
        <v>1.1381239922860487</v>
      </c>
    </row>
    <row r="155" spans="1:9" ht="14.25" customHeight="1" x14ac:dyDescent="0.35">
      <c r="A155" s="3" t="s">
        <v>18</v>
      </c>
      <c r="B155" s="3" t="s">
        <v>7</v>
      </c>
      <c r="C155" s="3">
        <v>1884</v>
      </c>
      <c r="D155" s="3">
        <v>177</v>
      </c>
      <c r="E155" s="3">
        <v>230448</v>
      </c>
      <c r="F155" s="3">
        <v>7.8</v>
      </c>
      <c r="G155" s="7">
        <v>22713</v>
      </c>
      <c r="H155">
        <f t="shared" si="8"/>
        <v>1707</v>
      </c>
      <c r="I155" s="6">
        <f t="shared" si="9"/>
        <v>0.81753801291397621</v>
      </c>
    </row>
    <row r="156" spans="1:9" ht="14.25" customHeight="1" x14ac:dyDescent="0.35">
      <c r="A156" s="3" t="s">
        <v>18</v>
      </c>
      <c r="B156" s="3" t="s">
        <v>1</v>
      </c>
      <c r="C156" s="3">
        <v>861</v>
      </c>
      <c r="D156" s="3">
        <v>153</v>
      </c>
      <c r="E156" s="3">
        <v>317007</v>
      </c>
      <c r="F156" s="3">
        <v>3.85</v>
      </c>
      <c r="G156" s="7">
        <v>8718</v>
      </c>
      <c r="H156">
        <f t="shared" si="8"/>
        <v>708</v>
      </c>
      <c r="I156" s="6">
        <f t="shared" si="9"/>
        <v>0.27160283526862183</v>
      </c>
    </row>
    <row r="157" spans="1:9" ht="14.25" customHeight="1" x14ac:dyDescent="0.35">
      <c r="A157" s="3" t="s">
        <v>18</v>
      </c>
      <c r="B157" s="3" t="s">
        <v>3</v>
      </c>
      <c r="C157" s="3">
        <v>1063</v>
      </c>
      <c r="D157" s="3">
        <v>47</v>
      </c>
      <c r="E157" s="3">
        <v>464239</v>
      </c>
      <c r="F157" s="3">
        <v>6.58</v>
      </c>
      <c r="G157" s="7">
        <v>39031</v>
      </c>
      <c r="H157">
        <f t="shared" si="8"/>
        <v>1016</v>
      </c>
      <c r="I157" s="6">
        <f t="shared" si="9"/>
        <v>0.22897688475117342</v>
      </c>
    </row>
    <row r="158" spans="1:9" ht="14.25" customHeight="1" x14ac:dyDescent="0.35">
      <c r="A158" s="3" t="s">
        <v>23</v>
      </c>
      <c r="B158" s="3" t="s">
        <v>5</v>
      </c>
      <c r="C158" s="3">
        <v>1371</v>
      </c>
      <c r="D158" s="3">
        <v>56</v>
      </c>
      <c r="E158" s="3">
        <v>257579</v>
      </c>
      <c r="F158" s="3">
        <v>8.6199999999999992</v>
      </c>
      <c r="G158" s="7">
        <v>33799</v>
      </c>
      <c r="H158">
        <f t="shared" si="8"/>
        <v>1315</v>
      </c>
      <c r="I158" s="6">
        <f t="shared" si="9"/>
        <v>0.53226388797223378</v>
      </c>
    </row>
    <row r="159" spans="1:9" ht="14.25" customHeight="1" x14ac:dyDescent="0.35">
      <c r="A159" s="3" t="s">
        <v>23</v>
      </c>
      <c r="B159" s="3" t="s">
        <v>7</v>
      </c>
      <c r="C159" s="3">
        <v>345</v>
      </c>
      <c r="D159" s="3">
        <v>464</v>
      </c>
      <c r="E159" s="3">
        <v>366881</v>
      </c>
      <c r="F159" s="3">
        <v>4.55</v>
      </c>
      <c r="G159" s="7">
        <v>20553</v>
      </c>
      <c r="H159">
        <f t="shared" si="8"/>
        <v>-119</v>
      </c>
      <c r="I159" s="6">
        <f t="shared" si="9"/>
        <v>9.4035940809145194E-2</v>
      </c>
    </row>
    <row r="160" spans="1:9" ht="14.25" customHeight="1" x14ac:dyDescent="0.35">
      <c r="A160" s="3" t="s">
        <v>23</v>
      </c>
      <c r="B160" s="3" t="s">
        <v>1</v>
      </c>
      <c r="C160" s="3">
        <v>946</v>
      </c>
      <c r="D160" s="3">
        <v>47</v>
      </c>
      <c r="E160" s="3">
        <v>466575</v>
      </c>
      <c r="F160" s="3">
        <v>8.33</v>
      </c>
      <c r="G160" s="7">
        <v>10002</v>
      </c>
      <c r="H160">
        <f t="shared" si="8"/>
        <v>899</v>
      </c>
      <c r="I160" s="6">
        <f t="shared" si="9"/>
        <v>0.20275411241493865</v>
      </c>
    </row>
    <row r="161" spans="1:9" ht="14.25" customHeight="1" x14ac:dyDescent="0.35">
      <c r="A161" s="3" t="s">
        <v>23</v>
      </c>
      <c r="B161" s="3" t="s">
        <v>3</v>
      </c>
      <c r="C161" s="3">
        <v>510</v>
      </c>
      <c r="D161" s="3">
        <v>195</v>
      </c>
      <c r="E161" s="3">
        <v>224534</v>
      </c>
      <c r="F161" s="3">
        <v>9.4</v>
      </c>
      <c r="G161" s="7">
        <v>30987</v>
      </c>
      <c r="H161">
        <f t="shared" si="8"/>
        <v>315</v>
      </c>
      <c r="I161" s="6">
        <f t="shared" si="9"/>
        <v>0.22713709282335859</v>
      </c>
    </row>
    <row r="162" spans="1:9" ht="14.25" customHeight="1" x14ac:dyDescent="0.35">
      <c r="A162" s="3" t="s">
        <v>56</v>
      </c>
      <c r="B162" s="3" t="s">
        <v>5</v>
      </c>
      <c r="C162" s="3">
        <v>393</v>
      </c>
      <c r="D162" s="3">
        <v>181</v>
      </c>
      <c r="E162" s="3">
        <v>462142</v>
      </c>
      <c r="F162" s="3">
        <v>7.23</v>
      </c>
      <c r="G162" s="7">
        <v>6296</v>
      </c>
      <c r="H162">
        <f t="shared" ref="H162:H193" si="10">C162-D162</f>
        <v>212</v>
      </c>
      <c r="I162" s="6">
        <f t="shared" ref="I162:I193" si="11">C162/E162*100</f>
        <v>8.5038797599006372E-2</v>
      </c>
    </row>
    <row r="163" spans="1:9" ht="14.25" customHeight="1" x14ac:dyDescent="0.35">
      <c r="A163" s="3" t="s">
        <v>56</v>
      </c>
      <c r="B163" s="3" t="s">
        <v>7</v>
      </c>
      <c r="C163" s="3">
        <v>1098</v>
      </c>
      <c r="D163" s="3">
        <v>190</v>
      </c>
      <c r="E163" s="3">
        <v>340842</v>
      </c>
      <c r="F163" s="3">
        <v>9.39</v>
      </c>
      <c r="G163" s="7">
        <v>21539</v>
      </c>
      <c r="H163">
        <f t="shared" si="10"/>
        <v>908</v>
      </c>
      <c r="I163" s="6">
        <f t="shared" si="11"/>
        <v>0.32214339782069112</v>
      </c>
    </row>
    <row r="164" spans="1:9" ht="14.25" customHeight="1" x14ac:dyDescent="0.35">
      <c r="A164" s="3" t="s">
        <v>56</v>
      </c>
      <c r="B164" s="3" t="s">
        <v>1</v>
      </c>
      <c r="C164" s="3">
        <v>1399</v>
      </c>
      <c r="D164" s="3">
        <v>49</v>
      </c>
      <c r="E164" s="3">
        <v>12471</v>
      </c>
      <c r="F164" s="3">
        <v>5.12</v>
      </c>
      <c r="G164" s="7">
        <v>14722</v>
      </c>
      <c r="H164">
        <f t="shared" si="10"/>
        <v>1350</v>
      </c>
      <c r="I164" s="6">
        <f t="shared" si="11"/>
        <v>11.218025819902174</v>
      </c>
    </row>
    <row r="165" spans="1:9" ht="14.25" customHeight="1" x14ac:dyDescent="0.35">
      <c r="A165" s="3" t="s">
        <v>56</v>
      </c>
      <c r="B165" s="3" t="s">
        <v>3</v>
      </c>
      <c r="C165" s="3">
        <v>1658</v>
      </c>
      <c r="D165" s="3">
        <v>416</v>
      </c>
      <c r="E165" s="3">
        <v>98397</v>
      </c>
      <c r="F165" s="3">
        <v>6.11</v>
      </c>
      <c r="G165" s="7">
        <v>11383</v>
      </c>
      <c r="H165">
        <f t="shared" si="10"/>
        <v>1242</v>
      </c>
      <c r="I165" s="6">
        <f t="shared" si="11"/>
        <v>1.6850107218716017</v>
      </c>
    </row>
    <row r="166" spans="1:9" ht="14.25" customHeight="1" x14ac:dyDescent="0.35">
      <c r="A166" s="3" t="s">
        <v>57</v>
      </c>
      <c r="B166" s="3" t="s">
        <v>5</v>
      </c>
      <c r="C166" s="3">
        <v>1102</v>
      </c>
      <c r="D166" s="3">
        <v>422</v>
      </c>
      <c r="E166" s="3">
        <v>410330</v>
      </c>
      <c r="F166" s="3">
        <v>7.74</v>
      </c>
      <c r="G166" s="7">
        <v>9480</v>
      </c>
      <c r="H166">
        <f t="shared" si="10"/>
        <v>680</v>
      </c>
      <c r="I166" s="6">
        <f t="shared" si="11"/>
        <v>0.26856432627397459</v>
      </c>
    </row>
    <row r="167" spans="1:9" ht="14.25" customHeight="1" x14ac:dyDescent="0.35">
      <c r="A167" s="3" t="s">
        <v>57</v>
      </c>
      <c r="B167" s="3" t="s">
        <v>7</v>
      </c>
      <c r="C167" s="3">
        <v>1358</v>
      </c>
      <c r="D167" s="3">
        <v>242</v>
      </c>
      <c r="E167" s="3">
        <v>342129</v>
      </c>
      <c r="F167" s="3">
        <v>4.9400000000000004</v>
      </c>
      <c r="G167" s="7">
        <v>29116</v>
      </c>
      <c r="H167">
        <f t="shared" si="10"/>
        <v>1116</v>
      </c>
      <c r="I167" s="6">
        <f t="shared" si="11"/>
        <v>0.3969263055747978</v>
      </c>
    </row>
    <row r="168" spans="1:9" ht="14.25" customHeight="1" x14ac:dyDescent="0.35">
      <c r="A168" s="3" t="s">
        <v>57</v>
      </c>
      <c r="B168" s="3" t="s">
        <v>1</v>
      </c>
      <c r="C168" s="3">
        <v>1077</v>
      </c>
      <c r="D168" s="3">
        <v>216</v>
      </c>
      <c r="E168" s="3">
        <v>12447</v>
      </c>
      <c r="F168" s="3">
        <v>1.8</v>
      </c>
      <c r="G168" s="7">
        <v>14068</v>
      </c>
      <c r="H168">
        <f t="shared" si="10"/>
        <v>861</v>
      </c>
      <c r="I168" s="6">
        <f t="shared" si="11"/>
        <v>8.6526873945529044</v>
      </c>
    </row>
    <row r="169" spans="1:9" ht="14.25" customHeight="1" x14ac:dyDescent="0.35">
      <c r="A169" s="3" t="s">
        <v>57</v>
      </c>
      <c r="B169" s="3" t="s">
        <v>3</v>
      </c>
      <c r="C169" s="3">
        <v>1596</v>
      </c>
      <c r="D169" s="3">
        <v>211</v>
      </c>
      <c r="E169" s="3">
        <v>17380</v>
      </c>
      <c r="F169" s="3">
        <v>8.64</v>
      </c>
      <c r="G169" s="7">
        <v>35801</v>
      </c>
      <c r="H169">
        <f t="shared" si="10"/>
        <v>1385</v>
      </c>
      <c r="I169" s="6">
        <f t="shared" si="11"/>
        <v>9.1829689298043728</v>
      </c>
    </row>
    <row r="170" spans="1:9" ht="14.25" customHeight="1" x14ac:dyDescent="0.35">
      <c r="A170" s="3" t="s">
        <v>28</v>
      </c>
      <c r="B170" s="3" t="s">
        <v>5</v>
      </c>
      <c r="C170" s="3">
        <v>490</v>
      </c>
      <c r="D170" s="3">
        <v>29</v>
      </c>
      <c r="E170" s="3">
        <v>364810</v>
      </c>
      <c r="F170" s="3">
        <v>1.53</v>
      </c>
      <c r="G170" s="7">
        <v>49077</v>
      </c>
      <c r="H170">
        <f t="shared" si="10"/>
        <v>461</v>
      </c>
      <c r="I170" s="6">
        <f t="shared" si="11"/>
        <v>0.13431649351717331</v>
      </c>
    </row>
    <row r="171" spans="1:9" ht="14.25" customHeight="1" x14ac:dyDescent="0.35">
      <c r="A171" s="3" t="s">
        <v>28</v>
      </c>
      <c r="B171" s="3" t="s">
        <v>7</v>
      </c>
      <c r="C171" s="3">
        <v>609</v>
      </c>
      <c r="D171" s="3">
        <v>135</v>
      </c>
      <c r="E171" s="3">
        <v>373606</v>
      </c>
      <c r="F171" s="3">
        <v>8.52</v>
      </c>
      <c r="G171" s="7">
        <v>21453</v>
      </c>
      <c r="H171">
        <f t="shared" si="10"/>
        <v>474</v>
      </c>
      <c r="I171" s="6">
        <f t="shared" si="11"/>
        <v>0.16300594744195757</v>
      </c>
    </row>
    <row r="172" spans="1:9" ht="14.25" customHeight="1" x14ac:dyDescent="0.35">
      <c r="A172" s="3" t="s">
        <v>28</v>
      </c>
      <c r="B172" s="3" t="s">
        <v>1</v>
      </c>
      <c r="C172" s="3">
        <v>364</v>
      </c>
      <c r="D172" s="3">
        <v>72</v>
      </c>
      <c r="E172" s="3">
        <v>211090</v>
      </c>
      <c r="F172" s="3">
        <v>5.53</v>
      </c>
      <c r="G172" s="7">
        <v>21061</v>
      </c>
      <c r="H172">
        <f t="shared" si="10"/>
        <v>292</v>
      </c>
      <c r="I172" s="6">
        <f t="shared" si="11"/>
        <v>0.17243829646122508</v>
      </c>
    </row>
    <row r="173" spans="1:9" ht="14.25" customHeight="1" x14ac:dyDescent="0.35">
      <c r="A173" s="3" t="s">
        <v>28</v>
      </c>
      <c r="B173" s="3" t="s">
        <v>3</v>
      </c>
      <c r="C173" s="3">
        <v>442</v>
      </c>
      <c r="D173" s="3">
        <v>53</v>
      </c>
      <c r="E173" s="3">
        <v>441931</v>
      </c>
      <c r="F173" s="3">
        <v>1.87</v>
      </c>
      <c r="G173" s="7">
        <v>20059</v>
      </c>
      <c r="H173">
        <f t="shared" si="10"/>
        <v>389</v>
      </c>
      <c r="I173" s="6">
        <f t="shared" si="11"/>
        <v>0.10001561329709842</v>
      </c>
    </row>
    <row r="174" spans="1:9" ht="14.25" customHeight="1" x14ac:dyDescent="0.35">
      <c r="A174" s="3" t="s">
        <v>58</v>
      </c>
      <c r="B174" s="3" t="s">
        <v>5</v>
      </c>
      <c r="C174" s="3">
        <v>1033</v>
      </c>
      <c r="D174" s="3">
        <v>392</v>
      </c>
      <c r="E174" s="3">
        <v>282780</v>
      </c>
      <c r="F174" s="3">
        <v>6.27</v>
      </c>
      <c r="G174" s="7">
        <v>23140</v>
      </c>
      <c r="H174">
        <f t="shared" si="10"/>
        <v>641</v>
      </c>
      <c r="I174" s="6">
        <f t="shared" si="11"/>
        <v>0.36530164792418135</v>
      </c>
    </row>
    <row r="175" spans="1:9" ht="14.25" customHeight="1" x14ac:dyDescent="0.35">
      <c r="A175" s="3" t="s">
        <v>58</v>
      </c>
      <c r="B175" s="3" t="s">
        <v>7</v>
      </c>
      <c r="C175" s="3">
        <v>988</v>
      </c>
      <c r="D175" s="3">
        <v>474</v>
      </c>
      <c r="E175" s="3">
        <v>370070</v>
      </c>
      <c r="F175" s="3">
        <v>9.4600000000000009</v>
      </c>
      <c r="G175" s="7">
        <v>23461</v>
      </c>
      <c r="H175">
        <f t="shared" si="10"/>
        <v>514</v>
      </c>
      <c r="I175" s="6">
        <f t="shared" si="11"/>
        <v>0.26697651795606236</v>
      </c>
    </row>
    <row r="176" spans="1:9" ht="14.25" customHeight="1" x14ac:dyDescent="0.35">
      <c r="A176" s="3" t="s">
        <v>58</v>
      </c>
      <c r="B176" s="3" t="s">
        <v>1</v>
      </c>
      <c r="C176" s="3">
        <v>1946</v>
      </c>
      <c r="D176" s="3">
        <v>270</v>
      </c>
      <c r="E176" s="3">
        <v>198350</v>
      </c>
      <c r="F176" s="3">
        <v>7.5</v>
      </c>
      <c r="G176" s="7">
        <v>11805</v>
      </c>
      <c r="H176">
        <f t="shared" si="10"/>
        <v>1676</v>
      </c>
      <c r="I176" s="6">
        <f t="shared" si="11"/>
        <v>0.98109402571212501</v>
      </c>
    </row>
    <row r="177" spans="1:9" ht="14.25" customHeight="1" x14ac:dyDescent="0.35">
      <c r="A177" s="3" t="s">
        <v>58</v>
      </c>
      <c r="B177" s="3" t="s">
        <v>3</v>
      </c>
      <c r="C177" s="3">
        <v>1957</v>
      </c>
      <c r="D177" s="3">
        <v>490</v>
      </c>
      <c r="E177" s="3">
        <v>435726</v>
      </c>
      <c r="F177" s="3">
        <v>4.7300000000000004</v>
      </c>
      <c r="G177" s="7">
        <v>15969</v>
      </c>
      <c r="H177">
        <f t="shared" si="10"/>
        <v>1467</v>
      </c>
      <c r="I177" s="6">
        <f t="shared" si="11"/>
        <v>0.4491354658661636</v>
      </c>
    </row>
    <row r="178" spans="1:9" ht="14.25" customHeight="1" x14ac:dyDescent="0.35">
      <c r="A178" s="3" t="s">
        <v>34</v>
      </c>
      <c r="B178" s="3" t="s">
        <v>5</v>
      </c>
      <c r="C178" s="3">
        <v>559</v>
      </c>
      <c r="D178" s="3">
        <v>392</v>
      </c>
      <c r="E178" s="3">
        <v>78789</v>
      </c>
      <c r="F178" s="3">
        <v>3.19</v>
      </c>
      <c r="G178" s="7">
        <v>2436</v>
      </c>
      <c r="H178">
        <f t="shared" si="10"/>
        <v>167</v>
      </c>
      <c r="I178" s="6">
        <f t="shared" si="11"/>
        <v>0.70948990341291296</v>
      </c>
    </row>
    <row r="179" spans="1:9" ht="14.25" customHeight="1" x14ac:dyDescent="0.35">
      <c r="A179" s="3" t="s">
        <v>34</v>
      </c>
      <c r="B179" s="3" t="s">
        <v>7</v>
      </c>
      <c r="C179" s="3">
        <v>1307</v>
      </c>
      <c r="D179" s="3">
        <v>278</v>
      </c>
      <c r="E179" s="3">
        <v>98596</v>
      </c>
      <c r="F179" s="3">
        <v>2.4900000000000002</v>
      </c>
      <c r="G179" s="7">
        <v>47603</v>
      </c>
      <c r="H179">
        <f t="shared" si="10"/>
        <v>1029</v>
      </c>
      <c r="I179" s="6">
        <f t="shared" si="11"/>
        <v>1.3256115866769442</v>
      </c>
    </row>
    <row r="180" spans="1:9" ht="14.25" customHeight="1" x14ac:dyDescent="0.35">
      <c r="A180" s="3" t="s">
        <v>34</v>
      </c>
      <c r="B180" s="3" t="s">
        <v>1</v>
      </c>
      <c r="C180" s="3">
        <v>1432</v>
      </c>
      <c r="D180" s="3">
        <v>425</v>
      </c>
      <c r="E180" s="3">
        <v>29589</v>
      </c>
      <c r="F180" s="3">
        <v>4.5</v>
      </c>
      <c r="G180" s="7">
        <v>42964</v>
      </c>
      <c r="H180">
        <f t="shared" si="10"/>
        <v>1007</v>
      </c>
      <c r="I180" s="6">
        <f t="shared" si="11"/>
        <v>4.8396363513467842</v>
      </c>
    </row>
    <row r="181" spans="1:9" ht="14.25" customHeight="1" x14ac:dyDescent="0.35">
      <c r="A181" s="3" t="s">
        <v>34</v>
      </c>
      <c r="B181" s="3" t="s">
        <v>3</v>
      </c>
      <c r="C181" s="3">
        <v>623</v>
      </c>
      <c r="D181" s="3">
        <v>414</v>
      </c>
      <c r="E181" s="3">
        <v>290354</v>
      </c>
      <c r="F181" s="3">
        <v>6.49</v>
      </c>
      <c r="G181" s="7">
        <v>39923</v>
      </c>
      <c r="H181">
        <f t="shared" si="10"/>
        <v>209</v>
      </c>
      <c r="I181" s="6">
        <f t="shared" si="11"/>
        <v>0.21456566811547281</v>
      </c>
    </row>
    <row r="182" spans="1:9" ht="14.25" customHeight="1" x14ac:dyDescent="0.35">
      <c r="A182" s="3" t="s">
        <v>59</v>
      </c>
      <c r="B182" s="3" t="s">
        <v>5</v>
      </c>
      <c r="C182" s="3">
        <v>198</v>
      </c>
      <c r="D182" s="3">
        <v>358</v>
      </c>
      <c r="E182" s="3">
        <v>66682</v>
      </c>
      <c r="F182" s="3">
        <v>6.73</v>
      </c>
      <c r="G182" s="7">
        <v>2293</v>
      </c>
      <c r="H182">
        <f t="shared" si="10"/>
        <v>-160</v>
      </c>
      <c r="I182" s="6">
        <f t="shared" si="11"/>
        <v>0.29693170570768723</v>
      </c>
    </row>
    <row r="183" spans="1:9" ht="14.25" customHeight="1" x14ac:dyDescent="0.35">
      <c r="A183" s="3" t="s">
        <v>59</v>
      </c>
      <c r="B183" s="3" t="s">
        <v>7</v>
      </c>
      <c r="C183" s="3">
        <v>198</v>
      </c>
      <c r="D183" s="3">
        <v>373</v>
      </c>
      <c r="E183" s="3">
        <v>70707</v>
      </c>
      <c r="F183" s="3">
        <v>4.83</v>
      </c>
      <c r="G183" s="7">
        <v>25920</v>
      </c>
      <c r="H183">
        <f t="shared" si="10"/>
        <v>-175</v>
      </c>
      <c r="I183" s="6">
        <f t="shared" si="11"/>
        <v>0.2800288514574229</v>
      </c>
    </row>
    <row r="184" spans="1:9" ht="14.25" customHeight="1" x14ac:dyDescent="0.35">
      <c r="A184" s="3" t="s">
        <v>59</v>
      </c>
      <c r="B184" s="3" t="s">
        <v>1</v>
      </c>
      <c r="C184" s="3">
        <v>353</v>
      </c>
      <c r="D184" s="3">
        <v>300</v>
      </c>
      <c r="E184" s="3">
        <v>142507</v>
      </c>
      <c r="F184" s="3">
        <v>5.3</v>
      </c>
      <c r="G184" s="7">
        <v>11035</v>
      </c>
      <c r="H184">
        <f t="shared" si="10"/>
        <v>53</v>
      </c>
      <c r="I184" s="6">
        <f t="shared" si="11"/>
        <v>0.24770713017606152</v>
      </c>
    </row>
    <row r="185" spans="1:9" ht="14.25" customHeight="1" x14ac:dyDescent="0.35">
      <c r="A185" s="3" t="s">
        <v>59</v>
      </c>
      <c r="B185" s="3" t="s">
        <v>3</v>
      </c>
      <c r="C185" s="3">
        <v>520</v>
      </c>
      <c r="D185" s="3">
        <v>375</v>
      </c>
      <c r="E185" s="3">
        <v>369525</v>
      </c>
      <c r="F185" s="3">
        <v>6.54</v>
      </c>
      <c r="G185" s="7">
        <v>20733</v>
      </c>
      <c r="H185">
        <f t="shared" si="10"/>
        <v>145</v>
      </c>
      <c r="I185" s="6">
        <f t="shared" si="11"/>
        <v>0.14072119613016712</v>
      </c>
    </row>
    <row r="186" spans="1:9" ht="14.25" customHeight="1" x14ac:dyDescent="0.35">
      <c r="A186" s="3" t="s">
        <v>60</v>
      </c>
      <c r="B186" s="3" t="s">
        <v>5</v>
      </c>
      <c r="C186" s="3">
        <v>961</v>
      </c>
      <c r="D186" s="3">
        <v>358</v>
      </c>
      <c r="E186" s="3">
        <v>62942</v>
      </c>
      <c r="F186" s="3">
        <v>6.8</v>
      </c>
      <c r="G186" s="7">
        <v>18693</v>
      </c>
      <c r="H186">
        <f t="shared" si="10"/>
        <v>603</v>
      </c>
      <c r="I186" s="6">
        <f t="shared" si="11"/>
        <v>1.5268024530520161</v>
      </c>
    </row>
    <row r="187" spans="1:9" ht="14.25" customHeight="1" x14ac:dyDescent="0.35">
      <c r="A187" s="3" t="s">
        <v>60</v>
      </c>
      <c r="B187" s="3" t="s">
        <v>7</v>
      </c>
      <c r="C187" s="3">
        <v>1375</v>
      </c>
      <c r="D187" s="3">
        <v>330</v>
      </c>
      <c r="E187" s="3">
        <v>377382</v>
      </c>
      <c r="F187" s="3">
        <v>2.6</v>
      </c>
      <c r="G187" s="7">
        <v>7875</v>
      </c>
      <c r="H187">
        <f t="shared" si="10"/>
        <v>1045</v>
      </c>
      <c r="I187" s="6">
        <f t="shared" si="11"/>
        <v>0.36435230085165693</v>
      </c>
    </row>
    <row r="188" spans="1:9" ht="14.25" customHeight="1" x14ac:dyDescent="0.35">
      <c r="A188" s="3" t="s">
        <v>60</v>
      </c>
      <c r="B188" s="3" t="s">
        <v>1</v>
      </c>
      <c r="C188" s="3">
        <v>1147</v>
      </c>
      <c r="D188" s="3">
        <v>388</v>
      </c>
      <c r="E188" s="3">
        <v>333851</v>
      </c>
      <c r="F188" s="3">
        <v>2.44</v>
      </c>
      <c r="G188" s="7">
        <v>8471</v>
      </c>
      <c r="H188">
        <f t="shared" si="10"/>
        <v>759</v>
      </c>
      <c r="I188" s="6">
        <f t="shared" si="11"/>
        <v>0.34356644131663527</v>
      </c>
    </row>
    <row r="189" spans="1:9" ht="14.25" customHeight="1" x14ac:dyDescent="0.35">
      <c r="A189" s="3" t="s">
        <v>60</v>
      </c>
      <c r="B189" s="3" t="s">
        <v>3</v>
      </c>
      <c r="C189" s="3">
        <v>1707</v>
      </c>
      <c r="D189" s="3">
        <v>74</v>
      </c>
      <c r="E189" s="3">
        <v>270958</v>
      </c>
      <c r="F189" s="3">
        <v>3.09</v>
      </c>
      <c r="G189" s="7">
        <v>14090</v>
      </c>
      <c r="H189">
        <f t="shared" si="10"/>
        <v>1633</v>
      </c>
      <c r="I189" s="6">
        <f t="shared" si="11"/>
        <v>0.62998693524457661</v>
      </c>
    </row>
    <row r="190" spans="1:9" ht="14.25" customHeight="1" x14ac:dyDescent="0.35">
      <c r="A190" s="3" t="s">
        <v>33</v>
      </c>
      <c r="B190" s="3" t="s">
        <v>5</v>
      </c>
      <c r="C190" s="3">
        <v>1693</v>
      </c>
      <c r="D190" s="3">
        <v>154</v>
      </c>
      <c r="E190" s="3">
        <v>445944</v>
      </c>
      <c r="F190" s="3">
        <v>5.69</v>
      </c>
      <c r="G190" s="7">
        <v>14216</v>
      </c>
      <c r="H190">
        <f t="shared" si="10"/>
        <v>1539</v>
      </c>
      <c r="I190" s="6">
        <f t="shared" si="11"/>
        <v>0.37964408087114077</v>
      </c>
    </row>
    <row r="191" spans="1:9" ht="14.25" customHeight="1" x14ac:dyDescent="0.35">
      <c r="A191" s="3" t="s">
        <v>33</v>
      </c>
      <c r="B191" s="3" t="s">
        <v>7</v>
      </c>
      <c r="C191" s="3">
        <v>833</v>
      </c>
      <c r="D191" s="3">
        <v>380</v>
      </c>
      <c r="E191" s="3">
        <v>224830</v>
      </c>
      <c r="F191" s="3">
        <v>3.86</v>
      </c>
      <c r="G191" s="7">
        <v>3582</v>
      </c>
      <c r="H191">
        <f t="shared" si="10"/>
        <v>453</v>
      </c>
      <c r="I191" s="6">
        <f t="shared" si="11"/>
        <v>0.370502157185429</v>
      </c>
    </row>
    <row r="192" spans="1:9" ht="14.25" customHeight="1" x14ac:dyDescent="0.35">
      <c r="A192" s="3" t="s">
        <v>33</v>
      </c>
      <c r="B192" s="3" t="s">
        <v>1</v>
      </c>
      <c r="C192" s="3">
        <v>1222</v>
      </c>
      <c r="D192" s="3">
        <v>274</v>
      </c>
      <c r="E192" s="3">
        <v>487289</v>
      </c>
      <c r="F192" s="3">
        <v>3.16</v>
      </c>
      <c r="G192" s="7">
        <v>32500</v>
      </c>
      <c r="H192">
        <f t="shared" si="10"/>
        <v>948</v>
      </c>
      <c r="I192" s="6">
        <f t="shared" si="11"/>
        <v>0.25077520732050179</v>
      </c>
    </row>
    <row r="193" spans="1:9" ht="14.25" customHeight="1" x14ac:dyDescent="0.35">
      <c r="A193" s="3" t="s">
        <v>33</v>
      </c>
      <c r="B193" s="3" t="s">
        <v>3</v>
      </c>
      <c r="C193" s="3">
        <v>777</v>
      </c>
      <c r="D193" s="3">
        <v>140</v>
      </c>
      <c r="E193" s="3">
        <v>11435</v>
      </c>
      <c r="F193" s="3">
        <v>1.6</v>
      </c>
      <c r="G193" s="7">
        <v>6832</v>
      </c>
      <c r="H193">
        <f t="shared" si="10"/>
        <v>637</v>
      </c>
      <c r="I193" s="6">
        <f t="shared" si="11"/>
        <v>6.7949278530826414</v>
      </c>
    </row>
    <row r="194" spans="1:9" ht="14.25" customHeight="1" x14ac:dyDescent="0.35">
      <c r="A194" s="3" t="s">
        <v>11</v>
      </c>
      <c r="B194" s="3" t="s">
        <v>5</v>
      </c>
      <c r="C194" s="3">
        <v>1957</v>
      </c>
      <c r="D194" s="3">
        <v>76</v>
      </c>
      <c r="E194" s="3">
        <v>447902</v>
      </c>
      <c r="F194" s="3">
        <v>6.09</v>
      </c>
      <c r="G194" s="7">
        <v>33381</v>
      </c>
      <c r="H194">
        <f t="shared" ref="H194:H201" si="12">C194-D194</f>
        <v>1881</v>
      </c>
      <c r="I194" s="6">
        <f t="shared" ref="I194:I201" si="13">C194/E194*100</f>
        <v>0.43692593469107077</v>
      </c>
    </row>
    <row r="195" spans="1:9" ht="14.25" customHeight="1" x14ac:dyDescent="0.35">
      <c r="A195" s="3" t="s">
        <v>11</v>
      </c>
      <c r="B195" s="3" t="s">
        <v>7</v>
      </c>
      <c r="C195" s="3">
        <v>405</v>
      </c>
      <c r="D195" s="3">
        <v>66</v>
      </c>
      <c r="E195" s="3">
        <v>418696</v>
      </c>
      <c r="F195" s="3">
        <v>5.59</v>
      </c>
      <c r="G195" s="7">
        <v>48419</v>
      </c>
      <c r="H195">
        <f t="shared" si="12"/>
        <v>339</v>
      </c>
      <c r="I195" s="6">
        <f t="shared" si="13"/>
        <v>9.6728891606320574E-2</v>
      </c>
    </row>
    <row r="196" spans="1:9" ht="14.25" customHeight="1" x14ac:dyDescent="0.35">
      <c r="A196" s="3" t="s">
        <v>11</v>
      </c>
      <c r="B196" s="3" t="s">
        <v>1</v>
      </c>
      <c r="C196" s="3">
        <v>1581</v>
      </c>
      <c r="D196" s="3">
        <v>71</v>
      </c>
      <c r="E196" s="3">
        <v>484364</v>
      </c>
      <c r="F196" s="3">
        <v>3.55</v>
      </c>
      <c r="G196" s="7">
        <v>16149</v>
      </c>
      <c r="H196">
        <f t="shared" si="12"/>
        <v>1510</v>
      </c>
      <c r="I196" s="6">
        <f t="shared" si="13"/>
        <v>0.32640741260704759</v>
      </c>
    </row>
    <row r="197" spans="1:9" ht="14.25" customHeight="1" x14ac:dyDescent="0.35">
      <c r="A197" s="3" t="s">
        <v>11</v>
      </c>
      <c r="B197" s="3" t="s">
        <v>3</v>
      </c>
      <c r="C197" s="3">
        <v>1035</v>
      </c>
      <c r="D197" s="3">
        <v>171</v>
      </c>
      <c r="E197" s="3">
        <v>148477</v>
      </c>
      <c r="F197" s="3">
        <v>5.21</v>
      </c>
      <c r="G197" s="7">
        <v>7541</v>
      </c>
      <c r="H197">
        <f t="shared" si="12"/>
        <v>864</v>
      </c>
      <c r="I197" s="6">
        <f t="shared" si="13"/>
        <v>0.69707766186008602</v>
      </c>
    </row>
    <row r="198" spans="1:9" ht="14.25" customHeight="1" x14ac:dyDescent="0.35">
      <c r="A198" s="3" t="s">
        <v>4</v>
      </c>
      <c r="B198" s="3" t="s">
        <v>5</v>
      </c>
      <c r="C198" s="3">
        <v>1765</v>
      </c>
      <c r="D198" s="3">
        <v>109</v>
      </c>
      <c r="E198" s="3">
        <v>468301</v>
      </c>
      <c r="F198" s="3">
        <v>1.82</v>
      </c>
      <c r="G198" s="7">
        <v>20042</v>
      </c>
      <c r="H198">
        <f t="shared" si="12"/>
        <v>1656</v>
      </c>
      <c r="I198" s="6">
        <f t="shared" si="13"/>
        <v>0.37689434786600928</v>
      </c>
    </row>
    <row r="199" spans="1:9" ht="14.25" customHeight="1" x14ac:dyDescent="0.35">
      <c r="A199" s="3" t="s">
        <v>4</v>
      </c>
      <c r="B199" s="3" t="s">
        <v>7</v>
      </c>
      <c r="C199" s="3">
        <v>837</v>
      </c>
      <c r="D199" s="3">
        <v>430</v>
      </c>
      <c r="E199" s="3">
        <v>364820</v>
      </c>
      <c r="F199" s="3">
        <v>4</v>
      </c>
      <c r="G199" s="7">
        <v>49400</v>
      </c>
      <c r="H199">
        <f t="shared" si="12"/>
        <v>407</v>
      </c>
      <c r="I199" s="6">
        <f t="shared" si="13"/>
        <v>0.22942821117263307</v>
      </c>
    </row>
    <row r="200" spans="1:9" ht="14.25" customHeight="1" x14ac:dyDescent="0.35">
      <c r="A200" s="3" t="s">
        <v>4</v>
      </c>
      <c r="B200" s="3" t="s">
        <v>1</v>
      </c>
      <c r="C200" s="3">
        <v>337</v>
      </c>
      <c r="D200" s="3">
        <v>68</v>
      </c>
      <c r="E200" s="3">
        <v>456298</v>
      </c>
      <c r="F200" s="3">
        <v>7.57</v>
      </c>
      <c r="G200" s="7">
        <v>4007</v>
      </c>
      <c r="H200">
        <f t="shared" si="12"/>
        <v>269</v>
      </c>
      <c r="I200" s="6">
        <f t="shared" si="13"/>
        <v>7.3855243722304287E-2</v>
      </c>
    </row>
    <row r="201" spans="1:9" ht="14.25" customHeight="1" x14ac:dyDescent="0.35">
      <c r="A201" s="3" t="s">
        <v>4</v>
      </c>
      <c r="B201" s="3" t="s">
        <v>3</v>
      </c>
      <c r="C201" s="3">
        <v>119</v>
      </c>
      <c r="D201" s="3">
        <v>456</v>
      </c>
      <c r="E201" s="3">
        <v>82558</v>
      </c>
      <c r="F201" s="3">
        <v>6.81</v>
      </c>
      <c r="G201" s="7">
        <v>12174</v>
      </c>
      <c r="H201">
        <f t="shared" si="12"/>
        <v>-337</v>
      </c>
      <c r="I201" s="6">
        <f t="shared" si="13"/>
        <v>0.14414108868916398</v>
      </c>
    </row>
    <row r="202" spans="1:9" ht="14.25" customHeight="1" x14ac:dyDescent="0.35"/>
    <row r="203" spans="1:9" ht="14.25" customHeight="1" x14ac:dyDescent="0.35"/>
    <row r="204" spans="1:9" ht="14.25" customHeight="1" x14ac:dyDescent="0.35"/>
    <row r="205" spans="1:9" ht="14.25" customHeight="1" x14ac:dyDescent="0.35"/>
    <row r="206" spans="1:9" ht="14.25" customHeight="1" x14ac:dyDescent="0.35"/>
    <row r="207" spans="1:9" ht="14.25" customHeight="1" x14ac:dyDescent="0.35"/>
    <row r="208" spans="1:9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I201" xr:uid="{00000000-0001-0000-0100-000000000000}"/>
  <phoneticPr fontId="4" type="noConversion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E22A9-0348-4E1A-8C1A-1C48A84C6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 and charts</vt:lpstr>
      <vt:lpstr>Engagement Summary (2)</vt:lpstr>
      <vt:lpstr>Engagement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Rashmita Pradhan</cp:lastModifiedBy>
  <dcterms:created xsi:type="dcterms:W3CDTF">2025-05-26T02:16:03Z</dcterms:created>
  <dcterms:modified xsi:type="dcterms:W3CDTF">2026-01-20T08:14:02Z</dcterms:modified>
</cp:coreProperties>
</file>